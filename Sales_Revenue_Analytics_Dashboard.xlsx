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37AD78402C059A5A/Pictures/Camera Roll/Desktop/ItVedant/Dashboards/"/>
    </mc:Choice>
  </mc:AlternateContent>
  <xr:revisionPtr revIDLastSave="431" documentId="13_ncr:1_{D533B4FB-C035-4267-8A5B-B2F133A84CA3}" xr6:coauthVersionLast="47" xr6:coauthVersionMax="47" xr10:uidLastSave="{EA97F784-E840-4084-A17D-99AAD2AE67CB}"/>
  <bookViews>
    <workbookView xWindow="-110" yWindow="-110" windowWidth="19420" windowHeight="11500" activeTab="2" xr2:uid="{00000000-000D-0000-FFFF-FFFF00000000}"/>
  </bookViews>
  <sheets>
    <sheet name="DATA" sheetId="1" r:id="rId1"/>
    <sheet name="PIVOT TABLE" sheetId="2" r:id="rId2"/>
    <sheet name="Sales Dashboard" sheetId="5" r:id="rId3"/>
  </sheets>
  <definedNames>
    <definedName name="_xlchart.v1.3" hidden="1">'PIVOT TABLE'!$S$17:$S$19</definedName>
    <definedName name="_xlchart.v1.4" hidden="1">'PIVOT TABLE'!$T$16</definedName>
    <definedName name="_xlchart.v1.5" hidden="1">'PIVOT TABLE'!$T$17:$T$19</definedName>
    <definedName name="_xlchart.v2.0" hidden="1">'PIVOT TABLE'!$M$17:$M$20</definedName>
    <definedName name="_xlchart.v2.1" hidden="1">'PIVOT TABLE'!$N$16</definedName>
    <definedName name="_xlchart.v2.2" hidden="1">'PIVOT TABLE'!$N$17:$N$20</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N18" i="2"/>
  <c r="B2" i="2"/>
  <c r="N20" i="2"/>
  <c r="Q17" i="2"/>
  <c r="N19" i="2"/>
  <c r="T17" i="2"/>
  <c r="Q19" i="2"/>
  <c r="Q18" i="2"/>
  <c r="B5" i="2"/>
  <c r="B3" i="2"/>
  <c r="N17" i="2"/>
  <c r="B4" i="2" l="1"/>
</calcChain>
</file>

<file path=xl/sharedStrings.xml><?xml version="1.0" encoding="utf-8"?>
<sst xmlns="http://schemas.openxmlformats.org/spreadsheetml/2006/main" count="15142" uniqueCount="4284">
  <si>
    <t>No.</t>
  </si>
  <si>
    <t>Voter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</si>
  <si>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</si>
  <si>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</si>
  <si>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</si>
  <si>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</si>
  <si>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</si>
  <si>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</si>
  <si>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</si>
  <si>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</si>
  <si>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</si>
  <si>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</si>
  <si>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</si>
  <si>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</si>
  <si>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</si>
  <si>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</si>
  <si>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</si>
  <si>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</si>
  <si>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</si>
  <si>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</si>
  <si>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</si>
  <si>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VID100001</t>
  </si>
  <si>
    <t>20-05-2021</t>
  </si>
  <si>
    <t>21-05-2021</t>
  </si>
  <si>
    <t>Second Class</t>
  </si>
  <si>
    <t>CUST-1001</t>
  </si>
  <si>
    <t>Sneha Reddy</t>
  </si>
  <si>
    <t>Home Office</t>
  </si>
  <si>
    <t>India</t>
  </si>
  <si>
    <t>Delhi</t>
  </si>
  <si>
    <t>North</t>
  </si>
  <si>
    <t>PROD-2001</t>
  </si>
  <si>
    <t>Furniture</t>
  </si>
  <si>
    <t>Chair</t>
  </si>
  <si>
    <t>Office Chair</t>
  </si>
  <si>
    <t>VID100002</t>
  </si>
  <si>
    <t>12-12-2021</t>
  </si>
  <si>
    <t>18-12-2021</t>
  </si>
  <si>
    <t>Same Day</t>
  </si>
  <si>
    <t>CUST-1002</t>
  </si>
  <si>
    <t>Amit Verma</t>
  </si>
  <si>
    <t>Corporate</t>
  </si>
  <si>
    <t>Bengaluru</t>
  </si>
  <si>
    <t>Karnataka</t>
  </si>
  <si>
    <t>South</t>
  </si>
  <si>
    <t>PROD-2002</t>
  </si>
  <si>
    <t>Technology</t>
  </si>
  <si>
    <t>Laptop</t>
  </si>
  <si>
    <t>Dell Inspiron</t>
  </si>
  <si>
    <t>VID100003</t>
  </si>
  <si>
    <t>22-12-2021</t>
  </si>
  <si>
    <t>25-12-2021</t>
  </si>
  <si>
    <t>CUST-1003</t>
  </si>
  <si>
    <t>Kolkata</t>
  </si>
  <si>
    <t>West Bengal</t>
  </si>
  <si>
    <t>East</t>
  </si>
  <si>
    <t>PROD-2003</t>
  </si>
  <si>
    <t>Smartphone</t>
  </si>
  <si>
    <t>Samsung Galaxy</t>
  </si>
  <si>
    <t>VID100004</t>
  </si>
  <si>
    <t>08-12-2024</t>
  </si>
  <si>
    <t>14-12-2024</t>
  </si>
  <si>
    <t>Standard Class</t>
  </si>
  <si>
    <t>CUST-1004</t>
  </si>
  <si>
    <t>Ahmedabad</t>
  </si>
  <si>
    <t>Gujarat</t>
  </si>
  <si>
    <t>West</t>
  </si>
  <si>
    <t>PROD-2004</t>
  </si>
  <si>
    <t>Office Supplies</t>
  </si>
  <si>
    <t>Paper</t>
  </si>
  <si>
    <t>A4 Paper</t>
  </si>
  <si>
    <t>VID100005</t>
  </si>
  <si>
    <t>31-08-2021</t>
  </si>
  <si>
    <t>06-09-2021</t>
  </si>
  <si>
    <t>CUST-1005</t>
  </si>
  <si>
    <t>Diya Nair</t>
  </si>
  <si>
    <t>PROD-2005</t>
  </si>
  <si>
    <t>VID100006</t>
  </si>
  <si>
    <t>10-06-2022</t>
  </si>
  <si>
    <t>14-06-2022</t>
  </si>
  <si>
    <t>CUST-1006</t>
  </si>
  <si>
    <t>Ananya Mishra</t>
  </si>
  <si>
    <t>PROD-2006</t>
  </si>
  <si>
    <t>VID100007</t>
  </si>
  <si>
    <t>14-04-2021</t>
  </si>
  <si>
    <t>20-04-2021</t>
  </si>
  <si>
    <t>CUST-1007</t>
  </si>
  <si>
    <t>Priya Patel</t>
  </si>
  <si>
    <t>PROD-2007</t>
  </si>
  <si>
    <t>VID100008</t>
  </si>
  <si>
    <t>27-08-2023</t>
  </si>
  <si>
    <t>30-08-2023</t>
  </si>
  <si>
    <t>CUST-1008</t>
  </si>
  <si>
    <t>Rahul Joshi</t>
  </si>
  <si>
    <t>Consumer</t>
  </si>
  <si>
    <t>PROD-2008</t>
  </si>
  <si>
    <t>VID100009</t>
  </si>
  <si>
    <t>07-03-2024</t>
  </si>
  <si>
    <t>14-03-2024</t>
  </si>
  <si>
    <t>CUST-1009</t>
  </si>
  <si>
    <t>PROD-2009</t>
  </si>
  <si>
    <t>VID100010</t>
  </si>
  <si>
    <t>03-07-2023</t>
  </si>
  <si>
    <t>10-07-2023</t>
  </si>
  <si>
    <t>CUST-1010</t>
  </si>
  <si>
    <t>PROD-2010</t>
  </si>
  <si>
    <t>VID100011</t>
  </si>
  <si>
    <t>02-04-2024</t>
  </si>
  <si>
    <t>05-04-2024</t>
  </si>
  <si>
    <t>CUST-1011</t>
  </si>
  <si>
    <t>Vikram Singh</t>
  </si>
  <si>
    <t>PROD-2011</t>
  </si>
  <si>
    <t>VID100012</t>
  </si>
  <si>
    <t>01-10-2021</t>
  </si>
  <si>
    <t>04-10-2021</t>
  </si>
  <si>
    <t>First Class</t>
  </si>
  <si>
    <t>CUST-1012</t>
  </si>
  <si>
    <t>PROD-2012</t>
  </si>
  <si>
    <t>VID100013</t>
  </si>
  <si>
    <t>18-10-2021</t>
  </si>
  <si>
    <t>24-10-2021</t>
  </si>
  <si>
    <t>CUST-1013</t>
  </si>
  <si>
    <t>Aarav Sharma</t>
  </si>
  <si>
    <t>PROD-2013</t>
  </si>
  <si>
    <t>VID100014</t>
  </si>
  <si>
    <t>31-05-2021</t>
  </si>
  <si>
    <t>03-06-2021</t>
  </si>
  <si>
    <t>CUST-1014</t>
  </si>
  <si>
    <t>Mumbai</t>
  </si>
  <si>
    <t>Maharashtra</t>
  </si>
  <si>
    <t>PROD-2014</t>
  </si>
  <si>
    <t>VID100015</t>
  </si>
  <si>
    <t>07-06-2025</t>
  </si>
  <si>
    <t>11-06-2025</t>
  </si>
  <si>
    <t>CUST-1015</t>
  </si>
  <si>
    <t>PROD-2015</t>
  </si>
  <si>
    <t>VID100016</t>
  </si>
  <si>
    <t>28-01-2024</t>
  </si>
  <si>
    <t>02-02-2024</t>
  </si>
  <si>
    <t>CUST-1016</t>
  </si>
  <si>
    <t>Rohan Das</t>
  </si>
  <si>
    <t>PROD-2016</t>
  </si>
  <si>
    <t>VID100017</t>
  </si>
  <si>
    <t>24-10-2025</t>
  </si>
  <si>
    <t>26-10-2025</t>
  </si>
  <si>
    <t>CUST-1017</t>
  </si>
  <si>
    <t>PROD-2017</t>
  </si>
  <si>
    <t>VID100018</t>
  </si>
  <si>
    <t>14-11-2025</t>
  </si>
  <si>
    <t>18-11-2025</t>
  </si>
  <si>
    <t>CUST-1018</t>
  </si>
  <si>
    <t>PROD-2018</t>
  </si>
  <si>
    <t>VID100019</t>
  </si>
  <si>
    <t>28-12-2021</t>
  </si>
  <si>
    <t>CUST-1019</t>
  </si>
  <si>
    <t>PROD-2019</t>
  </si>
  <si>
    <t>VID100020</t>
  </si>
  <si>
    <t>07-09-2021</t>
  </si>
  <si>
    <t>CUST-1020</t>
  </si>
  <si>
    <t>PROD-2020</t>
  </si>
  <si>
    <t>VID100021</t>
  </si>
  <si>
    <t>30-11-2024</t>
  </si>
  <si>
    <t>03-12-2024</t>
  </si>
  <si>
    <t>CUST-1021</t>
  </si>
  <si>
    <t>PROD-2021</t>
  </si>
  <si>
    <t>VID100022</t>
  </si>
  <si>
    <t>12-11-2025</t>
  </si>
  <si>
    <t>CUST-1022</t>
  </si>
  <si>
    <t>PROD-2022</t>
  </si>
  <si>
    <t>VID100023</t>
  </si>
  <si>
    <t>27-11-2023</t>
  </si>
  <si>
    <t>02-12-2023</t>
  </si>
  <si>
    <t>CUST-1023</t>
  </si>
  <si>
    <t>PROD-2023</t>
  </si>
  <si>
    <t>VID100024</t>
  </si>
  <si>
    <t>24-06-2024</t>
  </si>
  <si>
    <t>26-06-2024</t>
  </si>
  <si>
    <t>CUST-1024</t>
  </si>
  <si>
    <t>PROD-2024</t>
  </si>
  <si>
    <t>VID100025</t>
  </si>
  <si>
    <t>25-03-2022</t>
  </si>
  <si>
    <t>01-04-2022</t>
  </si>
  <si>
    <t>CUST-1025</t>
  </si>
  <si>
    <t>PROD-2025</t>
  </si>
  <si>
    <t>VID100026</t>
  </si>
  <si>
    <t>09-02-2022</t>
  </si>
  <si>
    <t>11-02-2022</t>
  </si>
  <si>
    <t>CUST-1026</t>
  </si>
  <si>
    <t>Pooja Hegde</t>
  </si>
  <si>
    <t>PROD-2026</t>
  </si>
  <si>
    <t>VID100027</t>
  </si>
  <si>
    <t>18-06-2024</t>
  </si>
  <si>
    <t>23-06-2024</t>
  </si>
  <si>
    <t>CUST-1027</t>
  </si>
  <si>
    <t>PROD-2027</t>
  </si>
  <si>
    <t>VID100028</t>
  </si>
  <si>
    <t>18-02-2023</t>
  </si>
  <si>
    <t>21-02-2023</t>
  </si>
  <si>
    <t>CUST-1028</t>
  </si>
  <si>
    <t>PROD-2028</t>
  </si>
  <si>
    <t>VID100029</t>
  </si>
  <si>
    <t>01-11-2022</t>
  </si>
  <si>
    <t>03-11-2022</t>
  </si>
  <si>
    <t>CUST-1029</t>
  </si>
  <si>
    <t>PROD-2029</t>
  </si>
  <si>
    <t>VID100030</t>
  </si>
  <si>
    <t>29-10-2023</t>
  </si>
  <si>
    <t>05-11-2023</t>
  </si>
  <si>
    <t>CUST-1030</t>
  </si>
  <si>
    <t>PROD-2030</t>
  </si>
  <si>
    <t>VID100031</t>
  </si>
  <si>
    <t>20-06-2022</t>
  </si>
  <si>
    <t>27-06-2022</t>
  </si>
  <si>
    <t>CUST-1031</t>
  </si>
  <si>
    <t>PROD-2031</t>
  </si>
  <si>
    <t>VID100032</t>
  </si>
  <si>
    <t>06-05-2021</t>
  </si>
  <si>
    <t>09-05-2021</t>
  </si>
  <si>
    <t>CUST-1032</t>
  </si>
  <si>
    <t>PROD-2032</t>
  </si>
  <si>
    <t>VID100033</t>
  </si>
  <si>
    <t>06-05-2022</t>
  </si>
  <si>
    <t>09-05-2022</t>
  </si>
  <si>
    <t>CUST-1033</t>
  </si>
  <si>
    <t>PROD-2033</t>
  </si>
  <si>
    <t>VID100034</t>
  </si>
  <si>
    <t>30-01-2023</t>
  </si>
  <si>
    <t>02-02-2023</t>
  </si>
  <si>
    <t>CUST-1034</t>
  </si>
  <si>
    <t>PROD-2034</t>
  </si>
  <si>
    <t>VID100035</t>
  </si>
  <si>
    <t>16-10-2021</t>
  </si>
  <si>
    <t>20-10-2021</t>
  </si>
  <si>
    <t>CUST-1035</t>
  </si>
  <si>
    <t>PROD-2035</t>
  </si>
  <si>
    <t>VID100036</t>
  </si>
  <si>
    <t>26-04-2025</t>
  </si>
  <si>
    <t>28-04-2025</t>
  </si>
  <si>
    <t>CUST-1036</t>
  </si>
  <si>
    <t>PROD-2036</t>
  </si>
  <si>
    <t>VID100037</t>
  </si>
  <si>
    <t>10-01-2024</t>
  </si>
  <si>
    <t>14-01-2024</t>
  </si>
  <si>
    <t>CUST-1037</t>
  </si>
  <si>
    <t>PROD-2037</t>
  </si>
  <si>
    <t>VID100038</t>
  </si>
  <si>
    <t>22-02-2024</t>
  </si>
  <si>
    <t>26-02-2024</t>
  </si>
  <si>
    <t>CUST-1038</t>
  </si>
  <si>
    <t>PROD-2038</t>
  </si>
  <si>
    <t>VID100039</t>
  </si>
  <si>
    <t>04-03-2024</t>
  </si>
  <si>
    <t>09-03-2024</t>
  </si>
  <si>
    <t>CUST-1039</t>
  </si>
  <si>
    <t>PROD-2039</t>
  </si>
  <si>
    <t>VID100040</t>
  </si>
  <si>
    <t>31-07-2025</t>
  </si>
  <si>
    <t>05-08-2025</t>
  </si>
  <si>
    <t>CUST-1040</t>
  </si>
  <si>
    <t>PROD-2040</t>
  </si>
  <si>
    <t>VID100041</t>
  </si>
  <si>
    <t>18-08-2022</t>
  </si>
  <si>
    <t>25-08-2022</t>
  </si>
  <si>
    <t>CUST-1041</t>
  </si>
  <si>
    <t>PROD-2041</t>
  </si>
  <si>
    <t>VID100042</t>
  </si>
  <si>
    <t>01-09-2022</t>
  </si>
  <si>
    <t>07-09-2022</t>
  </si>
  <si>
    <t>CUST-1042</t>
  </si>
  <si>
    <t>PROD-2042</t>
  </si>
  <si>
    <t>VID100043</t>
  </si>
  <si>
    <t>29-10-2025</t>
  </si>
  <si>
    <t>30-10-2025</t>
  </si>
  <si>
    <t>CUST-1043</t>
  </si>
  <si>
    <t>PROD-2043</t>
  </si>
  <si>
    <t>VID100044</t>
  </si>
  <si>
    <t>24-11-2023</t>
  </si>
  <si>
    <t>29-11-2023</t>
  </si>
  <si>
    <t>CUST-1044</t>
  </si>
  <si>
    <t>PROD-2044</t>
  </si>
  <si>
    <t>VID100045</t>
  </si>
  <si>
    <t>02-02-2022</t>
  </si>
  <si>
    <t>CUST-1045</t>
  </si>
  <si>
    <t>PROD-2045</t>
  </si>
  <si>
    <t>VID100046</t>
  </si>
  <si>
    <t>10-10-2025</t>
  </si>
  <si>
    <t>12-10-2025</t>
  </si>
  <si>
    <t>CUST-1046</t>
  </si>
  <si>
    <t>PROD-2046</t>
  </si>
  <si>
    <t>VID100047</t>
  </si>
  <si>
    <t>29-05-2024</t>
  </si>
  <si>
    <t>02-06-2024</t>
  </si>
  <si>
    <t>CUST-1047</t>
  </si>
  <si>
    <t>PROD-2047</t>
  </si>
  <si>
    <t>VID100048</t>
  </si>
  <si>
    <t>11-01-2024</t>
  </si>
  <si>
    <t>16-01-2024</t>
  </si>
  <si>
    <t>CUST-1048</t>
  </si>
  <si>
    <t>PROD-2048</t>
  </si>
  <si>
    <t>VID100049</t>
  </si>
  <si>
    <t>26-03-2023</t>
  </si>
  <si>
    <t>28-03-2023</t>
  </si>
  <si>
    <t>CUST-1049</t>
  </si>
  <si>
    <t>PROD-2049</t>
  </si>
  <si>
    <t>VID100050</t>
  </si>
  <si>
    <t>02-12-2024</t>
  </si>
  <si>
    <t>07-12-2024</t>
  </si>
  <si>
    <t>CUST-1050</t>
  </si>
  <si>
    <t>PROD-2050</t>
  </si>
  <si>
    <t>VID100051</t>
  </si>
  <si>
    <t>08-03-2021</t>
  </si>
  <si>
    <t>09-03-2021</t>
  </si>
  <si>
    <t>CUST-1051</t>
  </si>
  <si>
    <t>PROD-2051</t>
  </si>
  <si>
    <t>VID100052</t>
  </si>
  <si>
    <t>27-01-2024</t>
  </si>
  <si>
    <t>29-01-2024</t>
  </si>
  <si>
    <t>CUST-1052</t>
  </si>
  <si>
    <t>PROD-2052</t>
  </si>
  <si>
    <t>VID100053</t>
  </si>
  <si>
    <t>23-02-2024</t>
  </si>
  <si>
    <t>27-02-2024</t>
  </si>
  <si>
    <t>CUST-1053</t>
  </si>
  <si>
    <t>PROD-2053</t>
  </si>
  <si>
    <t>VID100054</t>
  </si>
  <si>
    <t>08-05-2024</t>
  </si>
  <si>
    <t>11-05-2024</t>
  </si>
  <si>
    <t>CUST-1054</t>
  </si>
  <si>
    <t>PROD-2054</t>
  </si>
  <si>
    <t>VID100055</t>
  </si>
  <si>
    <t>14-09-2024</t>
  </si>
  <si>
    <t>17-09-2024</t>
  </si>
  <si>
    <t>CUST-1055</t>
  </si>
  <si>
    <t>PROD-2055</t>
  </si>
  <si>
    <t>VID100056</t>
  </si>
  <si>
    <t>01-08-2022</t>
  </si>
  <si>
    <t>02-08-2022</t>
  </si>
  <si>
    <t>CUST-1056</t>
  </si>
  <si>
    <t>PROD-2056</t>
  </si>
  <si>
    <t>VID100057</t>
  </si>
  <si>
    <t>01-01-2021</t>
  </si>
  <si>
    <t>04-01-2021</t>
  </si>
  <si>
    <t>CUST-1057</t>
  </si>
  <si>
    <t>PROD-2057</t>
  </si>
  <si>
    <t>VID100058</t>
  </si>
  <si>
    <t>09-11-2023</t>
  </si>
  <si>
    <t>16-11-2023</t>
  </si>
  <si>
    <t>CUST-1058</t>
  </si>
  <si>
    <t>PROD-2058</t>
  </si>
  <si>
    <t>VID100059</t>
  </si>
  <si>
    <t>06-08-2021</t>
  </si>
  <si>
    <t>08-08-2021</t>
  </si>
  <si>
    <t>CUST-1059</t>
  </si>
  <si>
    <t>PROD-2059</t>
  </si>
  <si>
    <t>VID100060</t>
  </si>
  <si>
    <t>14-05-2021</t>
  </si>
  <si>
    <t>CUST-1060</t>
  </si>
  <si>
    <t>PROD-2060</t>
  </si>
  <si>
    <t>VID100061</t>
  </si>
  <si>
    <t>11-03-2025</t>
  </si>
  <si>
    <t>18-03-2025</t>
  </si>
  <si>
    <t>CUST-1061</t>
  </si>
  <si>
    <t>PROD-2061</t>
  </si>
  <si>
    <t>VID100062</t>
  </si>
  <si>
    <t>05-12-2023</t>
  </si>
  <si>
    <t>CUST-1062</t>
  </si>
  <si>
    <t>PROD-2062</t>
  </si>
  <si>
    <t>VID100063</t>
  </si>
  <si>
    <t>09-01-2024</t>
  </si>
  <si>
    <t>CUST-1063</t>
  </si>
  <si>
    <t>PROD-2063</t>
  </si>
  <si>
    <t>VID100064</t>
  </si>
  <si>
    <t>30-05-2021</t>
  </si>
  <si>
    <t>05-06-2021</t>
  </si>
  <si>
    <t>CUST-1064</t>
  </si>
  <si>
    <t>PROD-2064</t>
  </si>
  <si>
    <t>VID100065</t>
  </si>
  <si>
    <t>28-10-2023</t>
  </si>
  <si>
    <t>01-11-2023</t>
  </si>
  <si>
    <t>CUST-1065</t>
  </si>
  <si>
    <t>PROD-2065</t>
  </si>
  <si>
    <t>VID100066</t>
  </si>
  <si>
    <t>05-07-2022</t>
  </si>
  <si>
    <t>06-07-2022</t>
  </si>
  <si>
    <t>CUST-1066</t>
  </si>
  <si>
    <t>PROD-2066</t>
  </si>
  <si>
    <t>VID100067</t>
  </si>
  <si>
    <t>16-12-2021</t>
  </si>
  <si>
    <t>21-12-2021</t>
  </si>
  <si>
    <t>CUST-1067</t>
  </si>
  <si>
    <t>PROD-2067</t>
  </si>
  <si>
    <t>VID100068</t>
  </si>
  <si>
    <t>06-11-2024</t>
  </si>
  <si>
    <t>13-11-2024</t>
  </si>
  <si>
    <t>CUST-1068</t>
  </si>
  <si>
    <t>PROD-2068</t>
  </si>
  <si>
    <t>VID100069</t>
  </si>
  <si>
    <t>06-12-2021</t>
  </si>
  <si>
    <t>07-12-2021</t>
  </si>
  <si>
    <t>CUST-1069</t>
  </si>
  <si>
    <t>PROD-2069</t>
  </si>
  <si>
    <t>VID100070</t>
  </si>
  <si>
    <t>28-12-2023</t>
  </si>
  <si>
    <t>03-01-2024</t>
  </si>
  <si>
    <t>CUST-1070</t>
  </si>
  <si>
    <t>PROD-2070</t>
  </si>
  <si>
    <t>VID100071</t>
  </si>
  <si>
    <t>10-01-2025</t>
  </si>
  <si>
    <t>13-01-2025</t>
  </si>
  <si>
    <t>CUST-1071</t>
  </si>
  <si>
    <t>PROD-2071</t>
  </si>
  <si>
    <t>VID100072</t>
  </si>
  <si>
    <t>14-11-2022</t>
  </si>
  <si>
    <t>20-11-2022</t>
  </si>
  <si>
    <t>CUST-1072</t>
  </si>
  <si>
    <t>PROD-2072</t>
  </si>
  <si>
    <t>VID100073</t>
  </si>
  <si>
    <t>05-05-2021</t>
  </si>
  <si>
    <t>07-05-2021</t>
  </si>
  <si>
    <t>CUST-1073</t>
  </si>
  <si>
    <t>PROD-2073</t>
  </si>
  <si>
    <t>VID100074</t>
  </si>
  <si>
    <t>07-07-2023</t>
  </si>
  <si>
    <t>11-07-2023</t>
  </si>
  <si>
    <t>CUST-1074</t>
  </si>
  <si>
    <t>PROD-2074</t>
  </si>
  <si>
    <t>VID100075</t>
  </si>
  <si>
    <t>21-08-2024</t>
  </si>
  <si>
    <t>22-08-2024</t>
  </si>
  <si>
    <t>CUST-1075</t>
  </si>
  <si>
    <t>PROD-2075</t>
  </si>
  <si>
    <t>VID100076</t>
  </si>
  <si>
    <t>11-04-2023</t>
  </si>
  <si>
    <t>17-04-2023</t>
  </si>
  <si>
    <t>CUST-1076</t>
  </si>
  <si>
    <t>PROD-2076</t>
  </si>
  <si>
    <t>VID100077</t>
  </si>
  <si>
    <t>26-02-2022</t>
  </si>
  <si>
    <t>02-03-2022</t>
  </si>
  <si>
    <t>CUST-1077</t>
  </si>
  <si>
    <t>PROD-2077</t>
  </si>
  <si>
    <t>VID100078</t>
  </si>
  <si>
    <t>04-07-2024</t>
  </si>
  <si>
    <t>11-07-2024</t>
  </si>
  <si>
    <t>CUST-1078</t>
  </si>
  <si>
    <t>PROD-2078</t>
  </si>
  <si>
    <t>VID100079</t>
  </si>
  <si>
    <t>10-05-2021</t>
  </si>
  <si>
    <t>CUST-1079</t>
  </si>
  <si>
    <t>PROD-2079</t>
  </si>
  <si>
    <t>VID100080</t>
  </si>
  <si>
    <t>02-11-2023</t>
  </si>
  <si>
    <t>06-11-2023</t>
  </si>
  <si>
    <t>CUST-1080</t>
  </si>
  <si>
    <t>PROD-2080</t>
  </si>
  <si>
    <t>VID100081</t>
  </si>
  <si>
    <t>19-11-2024</t>
  </si>
  <si>
    <t>20-11-2024</t>
  </si>
  <si>
    <t>CUST-1081</t>
  </si>
  <si>
    <t>PROD-2081</t>
  </si>
  <si>
    <t>VID100082</t>
  </si>
  <si>
    <t>01-05-2021</t>
  </si>
  <si>
    <t>CUST-1082</t>
  </si>
  <si>
    <t>PROD-2082</t>
  </si>
  <si>
    <t>VID100083</t>
  </si>
  <si>
    <t>09-08-2025</t>
  </si>
  <si>
    <t>14-08-2025</t>
  </si>
  <si>
    <t>CUST-1083</t>
  </si>
  <si>
    <t>PROD-2083</t>
  </si>
  <si>
    <t>VID100084</t>
  </si>
  <si>
    <t>24-04-2025</t>
  </si>
  <si>
    <t>30-04-2025</t>
  </si>
  <si>
    <t>CUST-1084</t>
  </si>
  <si>
    <t>PROD-2084</t>
  </si>
  <si>
    <t>VID100085</t>
  </si>
  <si>
    <t>15-10-2024</t>
  </si>
  <si>
    <t>16-10-2024</t>
  </si>
  <si>
    <t>CUST-1085</t>
  </si>
  <si>
    <t>PROD-2085</t>
  </si>
  <si>
    <t>VID100086</t>
  </si>
  <si>
    <t>29-12-2024</t>
  </si>
  <si>
    <t>03-01-2025</t>
  </si>
  <si>
    <t>CUST-1086</t>
  </si>
  <si>
    <t>PROD-2086</t>
  </si>
  <si>
    <t>VID100087</t>
  </si>
  <si>
    <t>03-03-2022</t>
  </si>
  <si>
    <t>06-03-2022</t>
  </si>
  <si>
    <t>CUST-1087</t>
  </si>
  <si>
    <t>PROD-2087</t>
  </si>
  <si>
    <t>VID100088</t>
  </si>
  <si>
    <t>08-09-2025</t>
  </si>
  <si>
    <t>09-09-2025</t>
  </si>
  <si>
    <t>CUST-1088</t>
  </si>
  <si>
    <t>PROD-2088</t>
  </si>
  <si>
    <t>VID100089</t>
  </si>
  <si>
    <t>01-07-2021</t>
  </si>
  <si>
    <t>05-07-2021</t>
  </si>
  <si>
    <t>CUST-1089</t>
  </si>
  <si>
    <t>PROD-2089</t>
  </si>
  <si>
    <t>VID100090</t>
  </si>
  <si>
    <t>25-03-2021</t>
  </si>
  <si>
    <t>31-03-2021</t>
  </si>
  <si>
    <t>CUST-1090</t>
  </si>
  <si>
    <t>PROD-2090</t>
  </si>
  <si>
    <t>VID100091</t>
  </si>
  <si>
    <t>30-07-2023</t>
  </si>
  <si>
    <t>31-07-2023</t>
  </si>
  <si>
    <t>CUST-1091</t>
  </si>
  <si>
    <t>PROD-2091</t>
  </si>
  <si>
    <t>VID100092</t>
  </si>
  <si>
    <t>03-04-2024</t>
  </si>
  <si>
    <t>CUST-1092</t>
  </si>
  <si>
    <t>PROD-2092</t>
  </si>
  <si>
    <t>VID100093</t>
  </si>
  <si>
    <t>20-10-2025</t>
  </si>
  <si>
    <t>25-10-2025</t>
  </si>
  <si>
    <t>CUST-1093</t>
  </si>
  <si>
    <t>PROD-2093</t>
  </si>
  <si>
    <t>VID100094</t>
  </si>
  <si>
    <t>02-04-2021</t>
  </si>
  <si>
    <t>08-04-2021</t>
  </si>
  <si>
    <t>CUST-1094</t>
  </si>
  <si>
    <t>PROD-2094</t>
  </si>
  <si>
    <t>VID100095</t>
  </si>
  <si>
    <t>02-09-2022</t>
  </si>
  <si>
    <t>CUST-1095</t>
  </si>
  <si>
    <t>PROD-2095</t>
  </si>
  <si>
    <t>VID100096</t>
  </si>
  <si>
    <t>26-08-2024</t>
  </si>
  <si>
    <t>CUST-1096</t>
  </si>
  <si>
    <t>PROD-2096</t>
  </si>
  <si>
    <t>VID100097</t>
  </si>
  <si>
    <t>03-03-2024</t>
  </si>
  <si>
    <t>06-03-2024</t>
  </si>
  <si>
    <t>CUST-1097</t>
  </si>
  <si>
    <t>PROD-2097</t>
  </si>
  <si>
    <t>VID100098</t>
  </si>
  <si>
    <t>31-12-2022</t>
  </si>
  <si>
    <t>01-01-2023</t>
  </si>
  <si>
    <t>CUST-1098</t>
  </si>
  <si>
    <t>PROD-2098</t>
  </si>
  <si>
    <t>VID100099</t>
  </si>
  <si>
    <t>02-04-2022</t>
  </si>
  <si>
    <t>06-04-2022</t>
  </si>
  <si>
    <t>CUST-1099</t>
  </si>
  <si>
    <t>PROD-2099</t>
  </si>
  <si>
    <t>VID100100</t>
  </si>
  <si>
    <t>10-10-2021</t>
  </si>
  <si>
    <t>14-10-2021</t>
  </si>
  <si>
    <t>CUST-1100</t>
  </si>
  <si>
    <t>PROD-2100</t>
  </si>
  <si>
    <t>VID100101</t>
  </si>
  <si>
    <t>15-12-2022</t>
  </si>
  <si>
    <t>21-12-2022</t>
  </si>
  <si>
    <t>CUST-1101</t>
  </si>
  <si>
    <t>PROD-2101</t>
  </si>
  <si>
    <t>VID100102</t>
  </si>
  <si>
    <t>01-11-2024</t>
  </si>
  <si>
    <t>03-11-2024</t>
  </si>
  <si>
    <t>CUST-1102</t>
  </si>
  <si>
    <t>PROD-2102</t>
  </si>
  <si>
    <t>VID100103</t>
  </si>
  <si>
    <t>28-02-2024</t>
  </si>
  <si>
    <t>29-02-2024</t>
  </si>
  <si>
    <t>CUST-1103</t>
  </si>
  <si>
    <t>PROD-2103</t>
  </si>
  <si>
    <t>VID100104</t>
  </si>
  <si>
    <t>01-10-2022</t>
  </si>
  <si>
    <t>06-10-2022</t>
  </si>
  <si>
    <t>CUST-1104</t>
  </si>
  <si>
    <t>PROD-2104</t>
  </si>
  <si>
    <t>VID100105</t>
  </si>
  <si>
    <t>03-01-2023</t>
  </si>
  <si>
    <t>04-01-2023</t>
  </si>
  <si>
    <t>CUST-1105</t>
  </si>
  <si>
    <t>PROD-2105</t>
  </si>
  <si>
    <t>VID100106</t>
  </si>
  <si>
    <t>09-07-2023</t>
  </si>
  <si>
    <t>CUST-1106</t>
  </si>
  <si>
    <t>PROD-2106</t>
  </si>
  <si>
    <t>VID100107</t>
  </si>
  <si>
    <t>19-04-2022</t>
  </si>
  <si>
    <t>25-04-2022</t>
  </si>
  <si>
    <t>CUST-1107</t>
  </si>
  <si>
    <t>PROD-2107</t>
  </si>
  <si>
    <t>VID100108</t>
  </si>
  <si>
    <t>18-06-2023</t>
  </si>
  <si>
    <t>22-06-2023</t>
  </si>
  <si>
    <t>CUST-1108</t>
  </si>
  <si>
    <t>PROD-2108</t>
  </si>
  <si>
    <t>VID100109</t>
  </si>
  <si>
    <t>16-08-2025</t>
  </si>
  <si>
    <t>22-08-2025</t>
  </si>
  <si>
    <t>CUST-1109</t>
  </si>
  <si>
    <t>PROD-2109</t>
  </si>
  <si>
    <t>VID100110</t>
  </si>
  <si>
    <t>28-08-2023</t>
  </si>
  <si>
    <t>04-09-2023</t>
  </si>
  <si>
    <t>CUST-1110</t>
  </si>
  <si>
    <t>PROD-2110</t>
  </si>
  <si>
    <t>VID100111</t>
  </si>
  <si>
    <t>06-08-2022</t>
  </si>
  <si>
    <t>11-08-2022</t>
  </si>
  <si>
    <t>CUST-1111</t>
  </si>
  <si>
    <t>PROD-2111</t>
  </si>
  <si>
    <t>VID100112</t>
  </si>
  <si>
    <t>10-11-2025</t>
  </si>
  <si>
    <t>11-11-2025</t>
  </si>
  <si>
    <t>CUST-1112</t>
  </si>
  <si>
    <t>PROD-2112</t>
  </si>
  <si>
    <t>VID100113</t>
  </si>
  <si>
    <t>05-06-2024</t>
  </si>
  <si>
    <t>CUST-1113</t>
  </si>
  <si>
    <t>PROD-2113</t>
  </si>
  <si>
    <t>VID100114</t>
  </si>
  <si>
    <t>09-03-2023</t>
  </si>
  <si>
    <t>12-03-2023</t>
  </si>
  <si>
    <t>CUST-1114</t>
  </si>
  <si>
    <t>PROD-2114</t>
  </si>
  <si>
    <t>VID100115</t>
  </si>
  <si>
    <t>02-03-2024</t>
  </si>
  <si>
    <t>CUST-1115</t>
  </si>
  <si>
    <t>PROD-2115</t>
  </si>
  <si>
    <t>VID100116</t>
  </si>
  <si>
    <t>15-09-2024</t>
  </si>
  <si>
    <t>CUST-1116</t>
  </si>
  <si>
    <t>PROD-2116</t>
  </si>
  <si>
    <t>VID100117</t>
  </si>
  <si>
    <t>01-01-2024</t>
  </si>
  <si>
    <t>07-01-2024</t>
  </si>
  <si>
    <t>CUST-1117</t>
  </si>
  <si>
    <t>PROD-2117</t>
  </si>
  <si>
    <t>VID100118</t>
  </si>
  <si>
    <t>17-06-2022</t>
  </si>
  <si>
    <t>19-06-2022</t>
  </si>
  <si>
    <t>CUST-1118</t>
  </si>
  <si>
    <t>PROD-2118</t>
  </si>
  <si>
    <t>VID100119</t>
  </si>
  <si>
    <t>25-10-2021</t>
  </si>
  <si>
    <t>30-10-2021</t>
  </si>
  <si>
    <t>CUST-1119</t>
  </si>
  <si>
    <t>PROD-2119</t>
  </si>
  <si>
    <t>VID100120</t>
  </si>
  <si>
    <t>04-11-2023</t>
  </si>
  <si>
    <t>CUST-1120</t>
  </si>
  <si>
    <t>PROD-2120</t>
  </si>
  <si>
    <t>VID100121</t>
  </si>
  <si>
    <t>26-05-2021</t>
  </si>
  <si>
    <t>27-05-2021</t>
  </si>
  <si>
    <t>CUST-1121</t>
  </si>
  <si>
    <t>PROD-2121</t>
  </si>
  <si>
    <t>VID100122</t>
  </si>
  <si>
    <t>27-04-2024</t>
  </si>
  <si>
    <t>04-05-2024</t>
  </si>
  <si>
    <t>CUST-1122</t>
  </si>
  <si>
    <t>PROD-2122</t>
  </si>
  <si>
    <t>VID100123</t>
  </si>
  <si>
    <t>14-05-2022</t>
  </si>
  <si>
    <t>21-05-2022</t>
  </si>
  <si>
    <t>CUST-1123</t>
  </si>
  <si>
    <t>PROD-2123</t>
  </si>
  <si>
    <t>VID100124</t>
  </si>
  <si>
    <t>23-03-2022</t>
  </si>
  <si>
    <t>30-03-2022</t>
  </si>
  <si>
    <t>CUST-1124</t>
  </si>
  <si>
    <t>PROD-2124</t>
  </si>
  <si>
    <t>VID100125</t>
  </si>
  <si>
    <t>14-02-2025</t>
  </si>
  <si>
    <t>19-02-2025</t>
  </si>
  <si>
    <t>CUST-1125</t>
  </si>
  <si>
    <t>PROD-2125</t>
  </si>
  <si>
    <t>VID100126</t>
  </si>
  <si>
    <t>28-05-2021</t>
  </si>
  <si>
    <t>02-06-2021</t>
  </si>
  <si>
    <t>CUST-1126</t>
  </si>
  <si>
    <t>PROD-2126</t>
  </si>
  <si>
    <t>VID100127</t>
  </si>
  <si>
    <t>25-02-2022</t>
  </si>
  <si>
    <t>28-02-2022</t>
  </si>
  <si>
    <t>CUST-1127</t>
  </si>
  <si>
    <t>PROD-2127</t>
  </si>
  <si>
    <t>VID100128</t>
  </si>
  <si>
    <t>13-11-2023</t>
  </si>
  <si>
    <t>18-11-2023</t>
  </si>
  <si>
    <t>CUST-1128</t>
  </si>
  <si>
    <t>PROD-2128</t>
  </si>
  <si>
    <t>VID100129</t>
  </si>
  <si>
    <t>12-09-2023</t>
  </si>
  <si>
    <t>14-09-2023</t>
  </si>
  <si>
    <t>CUST-1129</t>
  </si>
  <si>
    <t>PROD-2129</t>
  </si>
  <si>
    <t>VID100130</t>
  </si>
  <si>
    <t>27-01-2025</t>
  </si>
  <si>
    <t>31-01-2025</t>
  </si>
  <si>
    <t>CUST-1130</t>
  </si>
  <si>
    <t>PROD-2130</t>
  </si>
  <si>
    <t>VID100131</t>
  </si>
  <si>
    <t>28-04-2023</t>
  </si>
  <si>
    <t>30-04-2023</t>
  </si>
  <si>
    <t>CUST-1131</t>
  </si>
  <si>
    <t>PROD-2131</t>
  </si>
  <si>
    <t>VID100132</t>
  </si>
  <si>
    <t>04-07-2025</t>
  </si>
  <si>
    <t>05-07-2025</t>
  </si>
  <si>
    <t>CUST-1132</t>
  </si>
  <si>
    <t>PROD-2132</t>
  </si>
  <si>
    <t>VID100133</t>
  </si>
  <si>
    <t>21-08-2025</t>
  </si>
  <si>
    <t>23-08-2025</t>
  </si>
  <si>
    <t>CUST-1133</t>
  </si>
  <si>
    <t>PROD-2133</t>
  </si>
  <si>
    <t>VID100134</t>
  </si>
  <si>
    <t>27-11-2025</t>
  </si>
  <si>
    <t>29-11-2025</t>
  </si>
  <si>
    <t>CUST-1134</t>
  </si>
  <si>
    <t>PROD-2134</t>
  </si>
  <si>
    <t>VID100135</t>
  </si>
  <si>
    <t>28-11-2023</t>
  </si>
  <si>
    <t>CUST-1135</t>
  </si>
  <si>
    <t>PROD-2135</t>
  </si>
  <si>
    <t>VID100136</t>
  </si>
  <si>
    <t>04-08-2022</t>
  </si>
  <si>
    <t>10-08-2022</t>
  </si>
  <si>
    <t>CUST-1136</t>
  </si>
  <si>
    <t>PROD-2136</t>
  </si>
  <si>
    <t>VID100137</t>
  </si>
  <si>
    <t>16-04-2022</t>
  </si>
  <si>
    <t>21-04-2022</t>
  </si>
  <si>
    <t>CUST-1137</t>
  </si>
  <si>
    <t>PROD-2137</t>
  </si>
  <si>
    <t>VID100138</t>
  </si>
  <si>
    <t>16-03-2025</t>
  </si>
  <si>
    <t>21-03-2025</t>
  </si>
  <si>
    <t>CUST-1138</t>
  </si>
  <si>
    <t>PROD-2138</t>
  </si>
  <si>
    <t>VID100139</t>
  </si>
  <si>
    <t>30-07-2022</t>
  </si>
  <si>
    <t>31-07-2022</t>
  </si>
  <si>
    <t>CUST-1139</t>
  </si>
  <si>
    <t>PROD-2139</t>
  </si>
  <si>
    <t>VID100140</t>
  </si>
  <si>
    <t>28-12-2024</t>
  </si>
  <si>
    <t>01-01-2025</t>
  </si>
  <si>
    <t>CUST-1140</t>
  </si>
  <si>
    <t>PROD-2140</t>
  </si>
  <si>
    <t>VID100141</t>
  </si>
  <si>
    <t>10-07-2025</t>
  </si>
  <si>
    <t>14-07-2025</t>
  </si>
  <si>
    <t>CUST-1141</t>
  </si>
  <si>
    <t>PROD-2141</t>
  </si>
  <si>
    <t>VID100142</t>
  </si>
  <si>
    <t>21-06-2021</t>
  </si>
  <si>
    <t>23-06-2021</t>
  </si>
  <si>
    <t>CUST-1142</t>
  </si>
  <si>
    <t>PROD-2142</t>
  </si>
  <si>
    <t>VID100143</t>
  </si>
  <si>
    <t>08-07-2023</t>
  </si>
  <si>
    <t>CUST-1143</t>
  </si>
  <si>
    <t>PROD-2143</t>
  </si>
  <si>
    <t>VID100144</t>
  </si>
  <si>
    <t>28-06-2025</t>
  </si>
  <si>
    <t>29-06-2025</t>
  </si>
  <si>
    <t>CUST-1144</t>
  </si>
  <si>
    <t>PROD-2144</t>
  </si>
  <si>
    <t>VID100145</t>
  </si>
  <si>
    <t>14-10-2025</t>
  </si>
  <si>
    <t>CUST-1145</t>
  </si>
  <si>
    <t>PROD-2145</t>
  </si>
  <si>
    <t>VID100146</t>
  </si>
  <si>
    <t>19-04-2024</t>
  </si>
  <si>
    <t>22-04-2024</t>
  </si>
  <si>
    <t>CUST-1146</t>
  </si>
  <si>
    <t>PROD-2146</t>
  </si>
  <si>
    <t>VID100147</t>
  </si>
  <si>
    <t>06-06-2022</t>
  </si>
  <si>
    <t>08-06-2022</t>
  </si>
  <si>
    <t>CUST-1147</t>
  </si>
  <si>
    <t>PROD-2147</t>
  </si>
  <si>
    <t>VID100148</t>
  </si>
  <si>
    <t>21-03-2021</t>
  </si>
  <si>
    <t>22-03-2021</t>
  </si>
  <si>
    <t>CUST-1148</t>
  </si>
  <si>
    <t>PROD-2148</t>
  </si>
  <si>
    <t>VID100149</t>
  </si>
  <si>
    <t>08-11-2021</t>
  </si>
  <si>
    <t>09-11-2021</t>
  </si>
  <si>
    <t>CUST-1149</t>
  </si>
  <si>
    <t>PROD-2149</t>
  </si>
  <si>
    <t>VID100150</t>
  </si>
  <si>
    <t>07-08-2025</t>
  </si>
  <si>
    <t>CUST-1150</t>
  </si>
  <si>
    <t>PROD-2150</t>
  </si>
  <si>
    <t>VID100151</t>
  </si>
  <si>
    <t>18-10-2023</t>
  </si>
  <si>
    <t>25-10-2023</t>
  </si>
  <si>
    <t>CUST-1151</t>
  </si>
  <si>
    <t>PROD-2151</t>
  </si>
  <si>
    <t>VID100152</t>
  </si>
  <si>
    <t>06-05-2024</t>
  </si>
  <si>
    <t>13-05-2024</t>
  </si>
  <si>
    <t>CUST-1152</t>
  </si>
  <si>
    <t>PROD-2152</t>
  </si>
  <si>
    <t>VID100153</t>
  </si>
  <si>
    <t>25-11-2023</t>
  </si>
  <si>
    <t>01-12-2023</t>
  </si>
  <si>
    <t>CUST-1153</t>
  </si>
  <si>
    <t>PROD-2153</t>
  </si>
  <si>
    <t>VID100154</t>
  </si>
  <si>
    <t>CUST-1154</t>
  </si>
  <si>
    <t>PROD-2154</t>
  </si>
  <si>
    <t>VID100155</t>
  </si>
  <si>
    <t>31-10-2022</t>
  </si>
  <si>
    <t>02-11-2022</t>
  </si>
  <si>
    <t>CUST-1155</t>
  </si>
  <si>
    <t>PROD-2155</t>
  </si>
  <si>
    <t>VID100156</t>
  </si>
  <si>
    <t>19-09-2024</t>
  </si>
  <si>
    <t>CUST-1156</t>
  </si>
  <si>
    <t>PROD-2156</t>
  </si>
  <si>
    <t>VID100157</t>
  </si>
  <si>
    <t>19-05-2025</t>
  </si>
  <si>
    <t>20-05-2025</t>
  </si>
  <si>
    <t>CUST-1157</t>
  </si>
  <si>
    <t>PROD-2157</t>
  </si>
  <si>
    <t>VID100158</t>
  </si>
  <si>
    <t>26-09-2022</t>
  </si>
  <si>
    <t>30-09-2022</t>
  </si>
  <si>
    <t>CUST-1158</t>
  </si>
  <si>
    <t>PROD-2158</t>
  </si>
  <si>
    <t>VID100159</t>
  </si>
  <si>
    <t>19-12-2023</t>
  </si>
  <si>
    <t>21-12-2023</t>
  </si>
  <si>
    <t>CUST-1159</t>
  </si>
  <si>
    <t>PROD-2159</t>
  </si>
  <si>
    <t>VID100160</t>
  </si>
  <si>
    <t>25-03-2023</t>
  </si>
  <si>
    <t>30-03-2023</t>
  </si>
  <si>
    <t>CUST-1160</t>
  </si>
  <si>
    <t>PROD-2160</t>
  </si>
  <si>
    <t>VID100161</t>
  </si>
  <si>
    <t>11-02-2024</t>
  </si>
  <si>
    <t>15-02-2024</t>
  </si>
  <si>
    <t>CUST-1161</t>
  </si>
  <si>
    <t>PROD-2161</t>
  </si>
  <si>
    <t>VID100162</t>
  </si>
  <si>
    <t>05-12-2025</t>
  </si>
  <si>
    <t>12-12-2025</t>
  </si>
  <si>
    <t>CUST-1162</t>
  </si>
  <si>
    <t>PROD-2162</t>
  </si>
  <si>
    <t>VID100163</t>
  </si>
  <si>
    <t>19-12-2024</t>
  </si>
  <si>
    <t>24-12-2024</t>
  </si>
  <si>
    <t>CUST-1163</t>
  </si>
  <si>
    <t>PROD-2163</t>
  </si>
  <si>
    <t>VID100164</t>
  </si>
  <si>
    <t>23-12-2022</t>
  </si>
  <si>
    <t>29-12-2022</t>
  </si>
  <si>
    <t>CUST-1164</t>
  </si>
  <si>
    <t>PROD-2164</t>
  </si>
  <si>
    <t>VID100165</t>
  </si>
  <si>
    <t>25-12-2022</t>
  </si>
  <si>
    <t>27-12-2022</t>
  </si>
  <si>
    <t>CUST-1165</t>
  </si>
  <si>
    <t>PROD-2165</t>
  </si>
  <si>
    <t>VID100166</t>
  </si>
  <si>
    <t>08-02-2024</t>
  </si>
  <si>
    <t>09-02-2024</t>
  </si>
  <si>
    <t>CUST-1166</t>
  </si>
  <si>
    <t>PROD-2166</t>
  </si>
  <si>
    <t>VID100167</t>
  </si>
  <si>
    <t>28-10-2024</t>
  </si>
  <si>
    <t>02-11-2024</t>
  </si>
  <si>
    <t>CUST-1167</t>
  </si>
  <si>
    <t>PROD-2167</t>
  </si>
  <si>
    <t>VID100168</t>
  </si>
  <si>
    <t>17-07-2022</t>
  </si>
  <si>
    <t>20-07-2022</t>
  </si>
  <si>
    <t>CUST-1168</t>
  </si>
  <si>
    <t>PROD-2168</t>
  </si>
  <si>
    <t>VID100169</t>
  </si>
  <si>
    <t>28-10-2022</t>
  </si>
  <si>
    <t>CUST-1169</t>
  </si>
  <si>
    <t>PROD-2169</t>
  </si>
  <si>
    <t>VID100170</t>
  </si>
  <si>
    <t>10-10-2023</t>
  </si>
  <si>
    <t>14-10-2023</t>
  </si>
  <si>
    <t>CUST-1170</t>
  </si>
  <si>
    <t>PROD-2170</t>
  </si>
  <si>
    <t>VID100171</t>
  </si>
  <si>
    <t>07-02-2022</t>
  </si>
  <si>
    <t>CUST-1171</t>
  </si>
  <si>
    <t>PROD-2171</t>
  </si>
  <si>
    <t>VID100172</t>
  </si>
  <si>
    <t>21-11-2024</t>
  </si>
  <si>
    <t>CUST-1172</t>
  </si>
  <si>
    <t>PROD-2172</t>
  </si>
  <si>
    <t>VID100173</t>
  </si>
  <si>
    <t>31-05-2025</t>
  </si>
  <si>
    <t>02-06-2025</t>
  </si>
  <si>
    <t>CUST-1173</t>
  </si>
  <si>
    <t>PROD-2173</t>
  </si>
  <si>
    <t>VID100174</t>
  </si>
  <si>
    <t>30-01-2024</t>
  </si>
  <si>
    <t>CUST-1174</t>
  </si>
  <si>
    <t>PROD-2174</t>
  </si>
  <si>
    <t>VID100175</t>
  </si>
  <si>
    <t>CUST-1175</t>
  </si>
  <si>
    <t>PROD-2175</t>
  </si>
  <si>
    <t>VID100176</t>
  </si>
  <si>
    <t>06-02-2021</t>
  </si>
  <si>
    <t>07-02-2021</t>
  </si>
  <si>
    <t>CUST-1176</t>
  </si>
  <si>
    <t>PROD-2176</t>
  </si>
  <si>
    <t>VID100177</t>
  </si>
  <si>
    <t>18-11-2022</t>
  </si>
  <si>
    <t>25-11-2022</t>
  </si>
  <si>
    <t>CUST-1177</t>
  </si>
  <si>
    <t>PROD-2177</t>
  </si>
  <si>
    <t>VID100178</t>
  </si>
  <si>
    <t>16-07-2023</t>
  </si>
  <si>
    <t>22-07-2023</t>
  </si>
  <si>
    <t>CUST-1178</t>
  </si>
  <si>
    <t>PROD-2178</t>
  </si>
  <si>
    <t>VID100179</t>
  </si>
  <si>
    <t>19-01-2025</t>
  </si>
  <si>
    <t>26-01-2025</t>
  </si>
  <si>
    <t>CUST-1179</t>
  </si>
  <si>
    <t>PROD-2179</t>
  </si>
  <si>
    <t>VID100180</t>
  </si>
  <si>
    <t>30-08-2025</t>
  </si>
  <si>
    <t>01-09-2025</t>
  </si>
  <si>
    <t>CUST-1180</t>
  </si>
  <si>
    <t>PROD-2180</t>
  </si>
  <si>
    <t>VID100181</t>
  </si>
  <si>
    <t>25-10-2022</t>
  </si>
  <si>
    <t>CUST-1181</t>
  </si>
  <si>
    <t>PROD-2181</t>
  </si>
  <si>
    <t>VID100182</t>
  </si>
  <si>
    <t>08-09-2024</t>
  </si>
  <si>
    <t>11-09-2024</t>
  </si>
  <si>
    <t>CUST-1182</t>
  </si>
  <si>
    <t>PROD-2182</t>
  </si>
  <si>
    <t>VID100183</t>
  </si>
  <si>
    <t>01-08-2024</t>
  </si>
  <si>
    <t>06-08-2024</t>
  </si>
  <si>
    <t>CUST-1183</t>
  </si>
  <si>
    <t>PROD-2183</t>
  </si>
  <si>
    <t>VID100184</t>
  </si>
  <si>
    <t>28-12-2025</t>
  </si>
  <si>
    <t>31-12-2025</t>
  </si>
  <si>
    <t>CUST-1184</t>
  </si>
  <si>
    <t>PROD-2184</t>
  </si>
  <si>
    <t>VID100185</t>
  </si>
  <si>
    <t>18-09-2025</t>
  </si>
  <si>
    <t>23-09-2025</t>
  </si>
  <si>
    <t>CUST-1185</t>
  </si>
  <si>
    <t>PROD-2185</t>
  </si>
  <si>
    <t>VID100186</t>
  </si>
  <si>
    <t>13-07-2025</t>
  </si>
  <si>
    <t>20-07-2025</t>
  </si>
  <si>
    <t>CUST-1186</t>
  </si>
  <si>
    <t>PROD-2186</t>
  </si>
  <si>
    <t>VID100187</t>
  </si>
  <si>
    <t>09-06-2023</t>
  </si>
  <si>
    <t>11-06-2023</t>
  </si>
  <si>
    <t>CUST-1187</t>
  </si>
  <si>
    <t>PROD-2187</t>
  </si>
  <si>
    <t>VID100188</t>
  </si>
  <si>
    <t>12-11-2024</t>
  </si>
  <si>
    <t>CUST-1188</t>
  </si>
  <si>
    <t>PROD-2188</t>
  </si>
  <si>
    <t>VID100189</t>
  </si>
  <si>
    <t>23-10-2021</t>
  </si>
  <si>
    <t>29-10-2021</t>
  </si>
  <si>
    <t>CUST-1189</t>
  </si>
  <si>
    <t>PROD-2189</t>
  </si>
  <si>
    <t>VID100190</t>
  </si>
  <si>
    <t>19-12-2022</t>
  </si>
  <si>
    <t>20-12-2022</t>
  </si>
  <si>
    <t>CUST-1190</t>
  </si>
  <si>
    <t>PROD-2190</t>
  </si>
  <si>
    <t>VID100191</t>
  </si>
  <si>
    <t>17-08-2025</t>
  </si>
  <si>
    <t>18-08-2025</t>
  </si>
  <si>
    <t>CUST-1191</t>
  </si>
  <si>
    <t>PROD-2191</t>
  </si>
  <si>
    <t>VID100192</t>
  </si>
  <si>
    <t>26-11-2022</t>
  </si>
  <si>
    <t>03-12-2022</t>
  </si>
  <si>
    <t>CUST-1192</t>
  </si>
  <si>
    <t>PROD-2192</t>
  </si>
  <si>
    <t>VID100193</t>
  </si>
  <si>
    <t>14-12-2021</t>
  </si>
  <si>
    <t>CUST-1193</t>
  </si>
  <si>
    <t>PROD-2193</t>
  </si>
  <si>
    <t>VID100194</t>
  </si>
  <si>
    <t>15-12-2025</t>
  </si>
  <si>
    <t>CUST-1194</t>
  </si>
  <si>
    <t>PROD-2194</t>
  </si>
  <si>
    <t>VID100195</t>
  </si>
  <si>
    <t>07-10-2025</t>
  </si>
  <si>
    <t>08-10-2025</t>
  </si>
  <si>
    <t>CUST-1195</t>
  </si>
  <si>
    <t>PROD-2195</t>
  </si>
  <si>
    <t>VID100196</t>
  </si>
  <si>
    <t>07-11-2023</t>
  </si>
  <si>
    <t>CUST-1196</t>
  </si>
  <si>
    <t>PROD-2196</t>
  </si>
  <si>
    <t>VID100197</t>
  </si>
  <si>
    <t>28-08-2025</t>
  </si>
  <si>
    <t>31-08-2025</t>
  </si>
  <si>
    <t>CUST-1197</t>
  </si>
  <si>
    <t>PROD-2197</t>
  </si>
  <si>
    <t>VID100198</t>
  </si>
  <si>
    <t>27-09-2025</t>
  </si>
  <si>
    <t>03-10-2025</t>
  </si>
  <si>
    <t>CUST-1198</t>
  </si>
  <si>
    <t>PROD-2198</t>
  </si>
  <si>
    <t>VID100199</t>
  </si>
  <si>
    <t>23-06-2022</t>
  </si>
  <si>
    <t>CUST-1199</t>
  </si>
  <si>
    <t>PROD-2199</t>
  </si>
  <si>
    <t>VID100200</t>
  </si>
  <si>
    <t>29-08-2021</t>
  </si>
  <si>
    <t>04-09-2021</t>
  </si>
  <si>
    <t>CUST-1200</t>
  </si>
  <si>
    <t>PROD-2200</t>
  </si>
  <si>
    <t>VID100201</t>
  </si>
  <si>
    <t>22-06-2025</t>
  </si>
  <si>
    <t>23-06-2025</t>
  </si>
  <si>
    <t>CUST-1201</t>
  </si>
  <si>
    <t>PROD-2201</t>
  </si>
  <si>
    <t>VID100202</t>
  </si>
  <si>
    <t>25-07-2024</t>
  </si>
  <si>
    <t>CUST-1202</t>
  </si>
  <si>
    <t>PROD-2202</t>
  </si>
  <si>
    <t>VID100203</t>
  </si>
  <si>
    <t>05-04-2022</t>
  </si>
  <si>
    <t>CUST-1203</t>
  </si>
  <si>
    <t>PROD-2203</t>
  </si>
  <si>
    <t>VID100204</t>
  </si>
  <si>
    <t>04-01-2026</t>
  </si>
  <si>
    <t>CUST-1204</t>
  </si>
  <si>
    <t>PROD-2204</t>
  </si>
  <si>
    <t>VID100205</t>
  </si>
  <si>
    <t>02-05-2022</t>
  </si>
  <si>
    <t>03-05-2022</t>
  </si>
  <si>
    <t>CUST-1205</t>
  </si>
  <si>
    <t>PROD-2205</t>
  </si>
  <si>
    <t>VID100206</t>
  </si>
  <si>
    <t>CUST-1206</t>
  </si>
  <si>
    <t>PROD-2206</t>
  </si>
  <si>
    <t>VID100207</t>
  </si>
  <si>
    <t>29-06-2023</t>
  </si>
  <si>
    <t>04-07-2023</t>
  </si>
  <si>
    <t>CUST-1207</t>
  </si>
  <si>
    <t>PROD-2207</t>
  </si>
  <si>
    <t>VID100208</t>
  </si>
  <si>
    <t>12-05-2021</t>
  </si>
  <si>
    <t>15-05-2021</t>
  </si>
  <si>
    <t>CUST-1208</t>
  </si>
  <si>
    <t>PROD-2208</t>
  </si>
  <si>
    <t>VID100209</t>
  </si>
  <si>
    <t>02-07-2025</t>
  </si>
  <si>
    <t>CUST-1209</t>
  </si>
  <si>
    <t>PROD-2209</t>
  </si>
  <si>
    <t>VID100210</t>
  </si>
  <si>
    <t>20-12-2021</t>
  </si>
  <si>
    <t>26-12-2021</t>
  </si>
  <si>
    <t>CUST-1210</t>
  </si>
  <si>
    <t>PROD-2210</t>
  </si>
  <si>
    <t>VID100211</t>
  </si>
  <si>
    <t>22-12-2022</t>
  </si>
  <si>
    <t>24-12-2022</t>
  </si>
  <si>
    <t>CUST-1211</t>
  </si>
  <si>
    <t>PROD-2211</t>
  </si>
  <si>
    <t>VID100212</t>
  </si>
  <si>
    <t>27-03-2023</t>
  </si>
  <si>
    <t>CUST-1212</t>
  </si>
  <si>
    <t>PROD-2212</t>
  </si>
  <si>
    <t>VID100213</t>
  </si>
  <si>
    <t>31-03-2024</t>
  </si>
  <si>
    <t>06-04-2024</t>
  </si>
  <si>
    <t>CUST-1213</t>
  </si>
  <si>
    <t>PROD-2213</t>
  </si>
  <si>
    <t>VID100214</t>
  </si>
  <si>
    <t>24-05-2023</t>
  </si>
  <si>
    <t>26-05-2023</t>
  </si>
  <si>
    <t>CUST-1214</t>
  </si>
  <si>
    <t>PROD-2214</t>
  </si>
  <si>
    <t>VID100215</t>
  </si>
  <si>
    <t>01-05-2022</t>
  </si>
  <si>
    <t>04-05-2022</t>
  </si>
  <si>
    <t>CUST-1215</t>
  </si>
  <si>
    <t>PROD-2215</t>
  </si>
  <si>
    <t>VID100216</t>
  </si>
  <si>
    <t>29-07-2024</t>
  </si>
  <si>
    <t>CUST-1216</t>
  </si>
  <si>
    <t>PROD-2216</t>
  </si>
  <si>
    <t>VID100217</t>
  </si>
  <si>
    <t>06-12-2023</t>
  </si>
  <si>
    <t>13-12-2023</t>
  </si>
  <si>
    <t>CUST-1217</t>
  </si>
  <si>
    <t>PROD-2217</t>
  </si>
  <si>
    <t>VID100218</t>
  </si>
  <si>
    <t>04-02-2022</t>
  </si>
  <si>
    <t>05-02-2022</t>
  </si>
  <si>
    <t>CUST-1218</t>
  </si>
  <si>
    <t>PROD-2218</t>
  </si>
  <si>
    <t>VID100219</t>
  </si>
  <si>
    <t>CUST-1219</t>
  </si>
  <si>
    <t>PROD-2219</t>
  </si>
  <si>
    <t>VID100220</t>
  </si>
  <si>
    <t>15-02-2025</t>
  </si>
  <si>
    <t>21-02-2025</t>
  </si>
  <si>
    <t>CUST-1220</t>
  </si>
  <si>
    <t>PROD-2220</t>
  </si>
  <si>
    <t>VID100221</t>
  </si>
  <si>
    <t>09-04-2024</t>
  </si>
  <si>
    <t>14-04-2024</t>
  </si>
  <si>
    <t>CUST-1221</t>
  </si>
  <si>
    <t>PROD-2221</t>
  </si>
  <si>
    <t>VID100222</t>
  </si>
  <si>
    <t>20-05-2024</t>
  </si>
  <si>
    <t>27-05-2024</t>
  </si>
  <si>
    <t>CUST-1222</t>
  </si>
  <si>
    <t>PROD-2222</t>
  </si>
  <si>
    <t>VID100223</t>
  </si>
  <si>
    <t>29-11-2022</t>
  </si>
  <si>
    <t>CUST-1223</t>
  </si>
  <si>
    <t>PROD-2223</t>
  </si>
  <si>
    <t>VID100224</t>
  </si>
  <si>
    <t>CUST-1224</t>
  </si>
  <si>
    <t>PROD-2224</t>
  </si>
  <si>
    <t>VID100225</t>
  </si>
  <si>
    <t>02-05-2025</t>
  </si>
  <si>
    <t>03-05-2025</t>
  </si>
  <si>
    <t>CUST-1225</t>
  </si>
  <si>
    <t>PROD-2225</t>
  </si>
  <si>
    <t>VID100226</t>
  </si>
  <si>
    <t>08-11-2022</t>
  </si>
  <si>
    <t>13-11-2022</t>
  </si>
  <si>
    <t>CUST-1226</t>
  </si>
  <si>
    <t>PROD-2226</t>
  </si>
  <si>
    <t>VID100227</t>
  </si>
  <si>
    <t>12-06-2021</t>
  </si>
  <si>
    <t>15-06-2021</t>
  </si>
  <si>
    <t>CUST-1227</t>
  </si>
  <si>
    <t>PROD-2227</t>
  </si>
  <si>
    <t>VID100228</t>
  </si>
  <si>
    <t>27-04-2021</t>
  </si>
  <si>
    <t>02-05-2021</t>
  </si>
  <si>
    <t>CUST-1228</t>
  </si>
  <si>
    <t>PROD-2228</t>
  </si>
  <si>
    <t>VID100229</t>
  </si>
  <si>
    <t>07-05-2025</t>
  </si>
  <si>
    <t>11-05-2025</t>
  </si>
  <si>
    <t>CUST-1229</t>
  </si>
  <si>
    <t>PROD-2229</t>
  </si>
  <si>
    <t>VID100230</t>
  </si>
  <si>
    <t>04-09-2022</t>
  </si>
  <si>
    <t>06-09-2022</t>
  </si>
  <si>
    <t>CUST-1230</t>
  </si>
  <si>
    <t>PROD-2230</t>
  </si>
  <si>
    <t>VID100231</t>
  </si>
  <si>
    <t>17-02-2021</t>
  </si>
  <si>
    <t>24-02-2021</t>
  </si>
  <si>
    <t>CUST-1231</t>
  </si>
  <si>
    <t>PROD-2231</t>
  </si>
  <si>
    <t>VID100232</t>
  </si>
  <si>
    <t>18-03-2024</t>
  </si>
  <si>
    <t>23-03-2024</t>
  </si>
  <si>
    <t>CUST-1232</t>
  </si>
  <si>
    <t>PROD-2232</t>
  </si>
  <si>
    <t>VID100233</t>
  </si>
  <si>
    <t>14-02-2024</t>
  </si>
  <si>
    <t>21-02-2024</t>
  </si>
  <si>
    <t>CUST-1233</t>
  </si>
  <si>
    <t>PROD-2233</t>
  </si>
  <si>
    <t>VID100234</t>
  </si>
  <si>
    <t>24-09-2023</t>
  </si>
  <si>
    <t>28-09-2023</t>
  </si>
  <si>
    <t>CUST-1234</t>
  </si>
  <si>
    <t>PROD-2234</t>
  </si>
  <si>
    <t>VID100235</t>
  </si>
  <si>
    <t>31-10-2024</t>
  </si>
  <si>
    <t>CUST-1235</t>
  </si>
  <si>
    <t>PROD-2235</t>
  </si>
  <si>
    <t>VID100236</t>
  </si>
  <si>
    <t>10-02-2024</t>
  </si>
  <si>
    <t>CUST-1236</t>
  </si>
  <si>
    <t>PROD-2236</t>
  </si>
  <si>
    <t>VID100237</t>
  </si>
  <si>
    <t>25-04-2024</t>
  </si>
  <si>
    <t>CUST-1237</t>
  </si>
  <si>
    <t>PROD-2237</t>
  </si>
  <si>
    <t>VID100238</t>
  </si>
  <si>
    <t>CUST-1238</t>
  </si>
  <si>
    <t>PROD-2238</t>
  </si>
  <si>
    <t>VID100239</t>
  </si>
  <si>
    <t>10-06-2023</t>
  </si>
  <si>
    <t>CUST-1239</t>
  </si>
  <si>
    <t>PROD-2239</t>
  </si>
  <si>
    <t>VID100240</t>
  </si>
  <si>
    <t>06-03-2025</t>
  </si>
  <si>
    <t>12-03-2025</t>
  </si>
  <si>
    <t>CUST-1240</t>
  </si>
  <si>
    <t>PROD-2240</t>
  </si>
  <si>
    <t>VID100241</t>
  </si>
  <si>
    <t>17-01-2021</t>
  </si>
  <si>
    <t>18-01-2021</t>
  </si>
  <si>
    <t>CUST-1241</t>
  </si>
  <si>
    <t>PROD-2241</t>
  </si>
  <si>
    <t>VID100242</t>
  </si>
  <si>
    <t>19-08-2025</t>
  </si>
  <si>
    <t>CUST-1242</t>
  </si>
  <si>
    <t>PROD-2242</t>
  </si>
  <si>
    <t>VID100243</t>
  </si>
  <si>
    <t>04-04-2025</t>
  </si>
  <si>
    <t>09-04-2025</t>
  </si>
  <si>
    <t>CUST-1243</t>
  </si>
  <si>
    <t>PROD-2243</t>
  </si>
  <si>
    <t>VID100244</t>
  </si>
  <si>
    <t>13-09-2021</t>
  </si>
  <si>
    <t>15-09-2021</t>
  </si>
  <si>
    <t>CUST-1244</t>
  </si>
  <si>
    <t>PROD-2244</t>
  </si>
  <si>
    <t>VID100245</t>
  </si>
  <si>
    <t>27-10-2025</t>
  </si>
  <si>
    <t>CUST-1245</t>
  </si>
  <si>
    <t>PROD-2245</t>
  </si>
  <si>
    <t>VID100246</t>
  </si>
  <si>
    <t>11-06-2021</t>
  </si>
  <si>
    <t>13-06-2021</t>
  </si>
  <si>
    <t>CUST-1246</t>
  </si>
  <si>
    <t>PROD-2246</t>
  </si>
  <si>
    <t>VID100247</t>
  </si>
  <si>
    <t>02-08-2025</t>
  </si>
  <si>
    <t>08-08-2025</t>
  </si>
  <si>
    <t>CUST-1247</t>
  </si>
  <si>
    <t>PROD-2247</t>
  </si>
  <si>
    <t>VID100248</t>
  </si>
  <si>
    <t>10-09-2024</t>
  </si>
  <si>
    <t>13-09-2024</t>
  </si>
  <si>
    <t>CUST-1248</t>
  </si>
  <si>
    <t>PROD-2248</t>
  </si>
  <si>
    <t>VID100249</t>
  </si>
  <si>
    <t>09-06-2024</t>
  </si>
  <si>
    <t>12-06-2024</t>
  </si>
  <si>
    <t>CUST-1249</t>
  </si>
  <si>
    <t>PROD-2249</t>
  </si>
  <si>
    <t>VID100250</t>
  </si>
  <si>
    <t>23-02-2022</t>
  </si>
  <si>
    <t>24-02-2022</t>
  </si>
  <si>
    <t>CUST-1250</t>
  </si>
  <si>
    <t>PROD-2250</t>
  </si>
  <si>
    <t>VID100251</t>
  </si>
  <si>
    <t>07-04-2024</t>
  </si>
  <si>
    <t>CUST-1251</t>
  </si>
  <si>
    <t>PROD-2251</t>
  </si>
  <si>
    <t>VID100252</t>
  </si>
  <si>
    <t>20-05-2023</t>
  </si>
  <si>
    <t>23-05-2023</t>
  </si>
  <si>
    <t>CUST-1252</t>
  </si>
  <si>
    <t>PROD-2252</t>
  </si>
  <si>
    <t>VID100253</t>
  </si>
  <si>
    <t>09-02-2021</t>
  </si>
  <si>
    <t>13-02-2021</t>
  </si>
  <si>
    <t>CUST-1253</t>
  </si>
  <si>
    <t>PROD-2253</t>
  </si>
  <si>
    <t>VID100254</t>
  </si>
  <si>
    <t>01-05-2023</t>
  </si>
  <si>
    <t>03-05-2023</t>
  </si>
  <si>
    <t>CUST-1254</t>
  </si>
  <si>
    <t>PROD-2254</t>
  </si>
  <si>
    <t>VID100255</t>
  </si>
  <si>
    <t>27-03-2022</t>
  </si>
  <si>
    <t>CUST-1255</t>
  </si>
  <si>
    <t>PROD-2255</t>
  </si>
  <si>
    <t>VID100256</t>
  </si>
  <si>
    <t>01-05-2024</t>
  </si>
  <si>
    <t>CUST-1256</t>
  </si>
  <si>
    <t>PROD-2256</t>
  </si>
  <si>
    <t>VID100257</t>
  </si>
  <si>
    <t>08-04-2024</t>
  </si>
  <si>
    <t>11-04-2024</t>
  </si>
  <si>
    <t>CUST-1257</t>
  </si>
  <si>
    <t>PROD-2257</t>
  </si>
  <si>
    <t>VID100258</t>
  </si>
  <si>
    <t>26-03-2024</t>
  </si>
  <si>
    <t>01-04-2024</t>
  </si>
  <si>
    <t>CUST-1258</t>
  </si>
  <si>
    <t>PROD-2258</t>
  </si>
  <si>
    <t>VID100259</t>
  </si>
  <si>
    <t>02-07-2021</t>
  </si>
  <si>
    <t>07-07-2021</t>
  </si>
  <si>
    <t>CUST-1259</t>
  </si>
  <si>
    <t>PROD-2259</t>
  </si>
  <si>
    <t>VID100260</t>
  </si>
  <si>
    <t>01-02-2022</t>
  </si>
  <si>
    <t>CUST-1260</t>
  </si>
  <si>
    <t>PROD-2260</t>
  </si>
  <si>
    <t>VID100261</t>
  </si>
  <si>
    <t>02-03-2025</t>
  </si>
  <si>
    <t>09-03-2025</t>
  </si>
  <si>
    <t>CUST-1261</t>
  </si>
  <si>
    <t>PROD-2261</t>
  </si>
  <si>
    <t>VID100262</t>
  </si>
  <si>
    <t>27-11-2022</t>
  </si>
  <si>
    <t>01-12-2022</t>
  </si>
  <si>
    <t>CUST-1262</t>
  </si>
  <si>
    <t>PROD-2262</t>
  </si>
  <si>
    <t>VID100263</t>
  </si>
  <si>
    <t>06-02-2024</t>
  </si>
  <si>
    <t>12-02-2024</t>
  </si>
  <si>
    <t>CUST-1263</t>
  </si>
  <si>
    <t>PROD-2263</t>
  </si>
  <si>
    <t>VID100264</t>
  </si>
  <si>
    <t>10-09-2021</t>
  </si>
  <si>
    <t>11-09-2021</t>
  </si>
  <si>
    <t>CUST-1264</t>
  </si>
  <si>
    <t>PROD-2264</t>
  </si>
  <si>
    <t>VID100265</t>
  </si>
  <si>
    <t>12-03-2024</t>
  </si>
  <si>
    <t>CUST-1265</t>
  </si>
  <si>
    <t>PROD-2265</t>
  </si>
  <si>
    <t>VID100266</t>
  </si>
  <si>
    <t>CUST-1266</t>
  </si>
  <si>
    <t>PROD-2266</t>
  </si>
  <si>
    <t>VID100267</t>
  </si>
  <si>
    <t>11-01-2025</t>
  </si>
  <si>
    <t>18-01-2025</t>
  </si>
  <si>
    <t>CUST-1267</t>
  </si>
  <si>
    <t>PROD-2267</t>
  </si>
  <si>
    <t>VID100268</t>
  </si>
  <si>
    <t>07-04-2021</t>
  </si>
  <si>
    <t>09-04-2021</t>
  </si>
  <si>
    <t>CUST-1268</t>
  </si>
  <si>
    <t>PROD-2268</t>
  </si>
  <si>
    <t>VID100269</t>
  </si>
  <si>
    <t>11-04-2021</t>
  </si>
  <si>
    <t>16-04-2021</t>
  </si>
  <si>
    <t>CUST-1269</t>
  </si>
  <si>
    <t>PROD-2269</t>
  </si>
  <si>
    <t>VID100270</t>
  </si>
  <si>
    <t>12-07-2021</t>
  </si>
  <si>
    <t>16-07-2021</t>
  </si>
  <si>
    <t>CUST-1270</t>
  </si>
  <si>
    <t>PROD-2270</t>
  </si>
  <si>
    <t>VID100271</t>
  </si>
  <si>
    <t>CUST-1271</t>
  </si>
  <si>
    <t>PROD-2271</t>
  </si>
  <si>
    <t>VID100272</t>
  </si>
  <si>
    <t>12-02-2025</t>
  </si>
  <si>
    <t>13-02-2025</t>
  </si>
  <si>
    <t>CUST-1272</t>
  </si>
  <si>
    <t>PROD-2272</t>
  </si>
  <si>
    <t>VID100273</t>
  </si>
  <si>
    <t>CUST-1273</t>
  </si>
  <si>
    <t>PROD-2273</t>
  </si>
  <si>
    <t>VID100274</t>
  </si>
  <si>
    <t>16-08-2024</t>
  </si>
  <si>
    <t>18-08-2024</t>
  </si>
  <si>
    <t>CUST-1274</t>
  </si>
  <si>
    <t>PROD-2274</t>
  </si>
  <si>
    <t>VID100275</t>
  </si>
  <si>
    <t>12-05-2022</t>
  </si>
  <si>
    <t>CUST-1275</t>
  </si>
  <si>
    <t>PROD-2275</t>
  </si>
  <si>
    <t>VID100276</t>
  </si>
  <si>
    <t>06-06-2024</t>
  </si>
  <si>
    <t>07-06-2024</t>
  </si>
  <si>
    <t>CUST-1276</t>
  </si>
  <si>
    <t>PROD-2276</t>
  </si>
  <si>
    <t>VID100277</t>
  </si>
  <si>
    <t>04-07-2021</t>
  </si>
  <si>
    <t>08-07-2021</t>
  </si>
  <si>
    <t>CUST-1277</t>
  </si>
  <si>
    <t>PROD-2277</t>
  </si>
  <si>
    <t>VID100278</t>
  </si>
  <si>
    <t>27-07-2023</t>
  </si>
  <si>
    <t>CUST-1278</t>
  </si>
  <si>
    <t>PROD-2278</t>
  </si>
  <si>
    <t>VID100279</t>
  </si>
  <si>
    <t>11-04-2022</t>
  </si>
  <si>
    <t>CUST-1279</t>
  </si>
  <si>
    <t>PROD-2279</t>
  </si>
  <si>
    <t>VID100280</t>
  </si>
  <si>
    <t>24-03-2024</t>
  </si>
  <si>
    <t>28-03-2024</t>
  </si>
  <si>
    <t>CUST-1280</t>
  </si>
  <si>
    <t>PROD-2280</t>
  </si>
  <si>
    <t>VID100281</t>
  </si>
  <si>
    <t>29-01-2023</t>
  </si>
  <si>
    <t>CUST-1281</t>
  </si>
  <si>
    <t>PROD-2281</t>
  </si>
  <si>
    <t>VID100282</t>
  </si>
  <si>
    <t>02-12-2021</t>
  </si>
  <si>
    <t>09-12-2021</t>
  </si>
  <si>
    <t>CUST-1282</t>
  </si>
  <si>
    <t>PROD-2282</t>
  </si>
  <si>
    <t>VID100283</t>
  </si>
  <si>
    <t>16-02-2023</t>
  </si>
  <si>
    <t>19-02-2023</t>
  </si>
  <si>
    <t>CUST-1283</t>
  </si>
  <si>
    <t>PROD-2283</t>
  </si>
  <si>
    <t>VID100284</t>
  </si>
  <si>
    <t>CUST-1284</t>
  </si>
  <si>
    <t>PROD-2284</t>
  </si>
  <si>
    <t>VID100285</t>
  </si>
  <si>
    <t>CUST-1285</t>
  </si>
  <si>
    <t>PROD-2285</t>
  </si>
  <si>
    <t>VID100286</t>
  </si>
  <si>
    <t>CUST-1286</t>
  </si>
  <si>
    <t>PROD-2286</t>
  </si>
  <si>
    <t>VID100287</t>
  </si>
  <si>
    <t>10-07-2021</t>
  </si>
  <si>
    <t>17-07-2021</t>
  </si>
  <si>
    <t>CUST-1287</t>
  </si>
  <si>
    <t>PROD-2287</t>
  </si>
  <si>
    <t>VID100288</t>
  </si>
  <si>
    <t>13-07-2021</t>
  </si>
  <si>
    <t>14-07-2021</t>
  </si>
  <si>
    <t>CUST-1288</t>
  </si>
  <si>
    <t>PROD-2288</t>
  </si>
  <si>
    <t>VID100289</t>
  </si>
  <si>
    <t>23-08-2024</t>
  </si>
  <si>
    <t>28-08-2024</t>
  </si>
  <si>
    <t>CUST-1289</t>
  </si>
  <si>
    <t>PROD-2289</t>
  </si>
  <si>
    <t>VID100290</t>
  </si>
  <si>
    <t>25-06-2021</t>
  </si>
  <si>
    <t>CUST-1290</t>
  </si>
  <si>
    <t>PROD-2290</t>
  </si>
  <si>
    <t>VID100291</t>
  </si>
  <si>
    <t>02-08-2021</t>
  </si>
  <si>
    <t>07-08-2021</t>
  </si>
  <si>
    <t>CUST-1291</t>
  </si>
  <si>
    <t>PROD-2291</t>
  </si>
  <si>
    <t>VID100292</t>
  </si>
  <si>
    <t>08-06-2023</t>
  </si>
  <si>
    <t>15-06-2023</t>
  </si>
  <si>
    <t>CUST-1292</t>
  </si>
  <si>
    <t>PROD-2292</t>
  </si>
  <si>
    <t>VID100293</t>
  </si>
  <si>
    <t>28-10-2025</t>
  </si>
  <si>
    <t>02-11-2025</t>
  </si>
  <si>
    <t>CUST-1293</t>
  </si>
  <si>
    <t>PROD-2293</t>
  </si>
  <si>
    <t>VID100294</t>
  </si>
  <si>
    <t>27-07-2025</t>
  </si>
  <si>
    <t>30-07-2025</t>
  </si>
  <si>
    <t>CUST-1294</t>
  </si>
  <si>
    <t>PROD-2294</t>
  </si>
  <si>
    <t>VID100295</t>
  </si>
  <si>
    <t>25-05-2023</t>
  </si>
  <si>
    <t>01-06-2023</t>
  </si>
  <si>
    <t>CUST-1295</t>
  </si>
  <si>
    <t>PROD-2295</t>
  </si>
  <si>
    <t>VID100296</t>
  </si>
  <si>
    <t>CUST-1296</t>
  </si>
  <si>
    <t>PROD-2296</t>
  </si>
  <si>
    <t>VID100297</t>
  </si>
  <si>
    <t>11-05-2021</t>
  </si>
  <si>
    <t>CUST-1297</t>
  </si>
  <si>
    <t>PROD-2297</t>
  </si>
  <si>
    <t>VID100298</t>
  </si>
  <si>
    <t>08-06-2021</t>
  </si>
  <si>
    <t>CUST-1298</t>
  </si>
  <si>
    <t>PROD-2298</t>
  </si>
  <si>
    <t>VID100299</t>
  </si>
  <si>
    <t>CUST-1299</t>
  </si>
  <si>
    <t>PROD-2299</t>
  </si>
  <si>
    <t>VID100300</t>
  </si>
  <si>
    <t>10-12-2024</t>
  </si>
  <si>
    <t>11-12-2024</t>
  </si>
  <si>
    <t>CUST-1300</t>
  </si>
  <si>
    <t>PROD-2300</t>
  </si>
  <si>
    <t>VID100301</t>
  </si>
  <si>
    <t>16-08-2022</t>
  </si>
  <si>
    <t>19-08-2022</t>
  </si>
  <si>
    <t>CUST-1301</t>
  </si>
  <si>
    <t>PROD-2301</t>
  </si>
  <si>
    <t>VID100302</t>
  </si>
  <si>
    <t>30-06-2024</t>
  </si>
  <si>
    <t>06-07-2024</t>
  </si>
  <si>
    <t>CUST-1302</t>
  </si>
  <si>
    <t>PROD-2302</t>
  </si>
  <si>
    <t>VID100303</t>
  </si>
  <si>
    <t>26-09-2024</t>
  </si>
  <si>
    <t>29-09-2024</t>
  </si>
  <si>
    <t>CUST-1303</t>
  </si>
  <si>
    <t>PROD-2303</t>
  </si>
  <si>
    <t>VID100304</t>
  </si>
  <si>
    <t>14-11-2021</t>
  </si>
  <si>
    <t>CUST-1304</t>
  </si>
  <si>
    <t>PROD-2304</t>
  </si>
  <si>
    <t>VID100305</t>
  </si>
  <si>
    <t>16-10-2023</t>
  </si>
  <si>
    <t>22-10-2023</t>
  </si>
  <si>
    <t>CUST-1305</t>
  </si>
  <si>
    <t>PROD-2305</t>
  </si>
  <si>
    <t>VID100306</t>
  </si>
  <si>
    <t>27-08-2022</t>
  </si>
  <si>
    <t>03-09-2022</t>
  </si>
  <si>
    <t>CUST-1306</t>
  </si>
  <si>
    <t>PROD-2306</t>
  </si>
  <si>
    <t>VID100307</t>
  </si>
  <si>
    <t>09-10-2021</t>
  </si>
  <si>
    <t>CUST-1307</t>
  </si>
  <si>
    <t>PROD-2307</t>
  </si>
  <si>
    <t>VID100308</t>
  </si>
  <si>
    <t>15-10-2021</t>
  </si>
  <si>
    <t>CUST-1308</t>
  </si>
  <si>
    <t>PROD-2308</t>
  </si>
  <si>
    <t>VID100309</t>
  </si>
  <si>
    <t>13-02-2024</t>
  </si>
  <si>
    <t>CUST-1309</t>
  </si>
  <si>
    <t>PROD-2309</t>
  </si>
  <si>
    <t>VID100310</t>
  </si>
  <si>
    <t>05-08-2023</t>
  </si>
  <si>
    <t>07-08-2023</t>
  </si>
  <si>
    <t>CUST-1310</t>
  </si>
  <si>
    <t>PROD-2310</t>
  </si>
  <si>
    <t>VID100311</t>
  </si>
  <si>
    <t>07-05-2022</t>
  </si>
  <si>
    <t>CUST-1311</t>
  </si>
  <si>
    <t>PROD-2311</t>
  </si>
  <si>
    <t>VID100312</t>
  </si>
  <si>
    <t>14-10-2024</t>
  </si>
  <si>
    <t>19-10-2024</t>
  </si>
  <si>
    <t>CUST-1312</t>
  </si>
  <si>
    <t>PROD-2312</t>
  </si>
  <si>
    <t>VID100313</t>
  </si>
  <si>
    <t>21-01-2021</t>
  </si>
  <si>
    <t>24-01-2021</t>
  </si>
  <si>
    <t>CUST-1313</t>
  </si>
  <si>
    <t>PROD-2313</t>
  </si>
  <si>
    <t>VID100314</t>
  </si>
  <si>
    <t>10-04-2022</t>
  </si>
  <si>
    <t>CUST-1314</t>
  </si>
  <si>
    <t>PROD-2314</t>
  </si>
  <si>
    <t>VID100315</t>
  </si>
  <si>
    <t>05-12-2021</t>
  </si>
  <si>
    <t>08-12-2021</t>
  </si>
  <si>
    <t>CUST-1315</t>
  </si>
  <si>
    <t>PROD-2315</t>
  </si>
  <si>
    <t>VID100316</t>
  </si>
  <si>
    <t>CUST-1316</t>
  </si>
  <si>
    <t>PROD-2316</t>
  </si>
  <si>
    <t>VID100317</t>
  </si>
  <si>
    <t>23-01-2023</t>
  </si>
  <si>
    <t>25-01-2023</t>
  </si>
  <si>
    <t>CUST-1317</t>
  </si>
  <si>
    <t>PROD-2317</t>
  </si>
  <si>
    <t>VID100318</t>
  </si>
  <si>
    <t>19-01-2021</t>
  </si>
  <si>
    <t>CUST-1318</t>
  </si>
  <si>
    <t>PROD-2318</t>
  </si>
  <si>
    <t>VID100319</t>
  </si>
  <si>
    <t>27-07-2024</t>
  </si>
  <si>
    <t>03-08-2024</t>
  </si>
  <si>
    <t>CUST-1319</t>
  </si>
  <si>
    <t>PROD-2319</t>
  </si>
  <si>
    <t>VID100320</t>
  </si>
  <si>
    <t>28-08-2022</t>
  </si>
  <si>
    <t>CUST-1320</t>
  </si>
  <si>
    <t>PROD-2320</t>
  </si>
  <si>
    <t>VID100321</t>
  </si>
  <si>
    <t>15-01-2021</t>
  </si>
  <si>
    <t>22-01-2021</t>
  </si>
  <si>
    <t>CUST-1321</t>
  </si>
  <si>
    <t>PROD-2321</t>
  </si>
  <si>
    <t>VID100322</t>
  </si>
  <si>
    <t>07-01-2021</t>
  </si>
  <si>
    <t>12-01-2021</t>
  </si>
  <si>
    <t>CUST-1322</t>
  </si>
  <si>
    <t>PROD-2322</t>
  </si>
  <si>
    <t>VID100323</t>
  </si>
  <si>
    <t>18-03-2021</t>
  </si>
  <si>
    <t>CUST-1323</t>
  </si>
  <si>
    <t>PROD-2323</t>
  </si>
  <si>
    <t>VID100324</t>
  </si>
  <si>
    <t>03-07-2024</t>
  </si>
  <si>
    <t>CUST-1324</t>
  </si>
  <si>
    <t>PROD-2324</t>
  </si>
  <si>
    <t>VID100325</t>
  </si>
  <si>
    <t>10-04-2025</t>
  </si>
  <si>
    <t>16-04-2025</t>
  </si>
  <si>
    <t>CUST-1325</t>
  </si>
  <si>
    <t>PROD-2325</t>
  </si>
  <si>
    <t>VID100326</t>
  </si>
  <si>
    <t>29-05-2021</t>
  </si>
  <si>
    <t>CUST-1326</t>
  </si>
  <si>
    <t>PROD-2326</t>
  </si>
  <si>
    <t>VID100327</t>
  </si>
  <si>
    <t>23-04-2021</t>
  </si>
  <si>
    <t>CUST-1327</t>
  </si>
  <si>
    <t>PROD-2327</t>
  </si>
  <si>
    <t>VID100328</t>
  </si>
  <si>
    <t>19-12-2021</t>
  </si>
  <si>
    <t>CUST-1328</t>
  </si>
  <si>
    <t>PROD-2328</t>
  </si>
  <si>
    <t>VID100329</t>
  </si>
  <si>
    <t>29-06-2021</t>
  </si>
  <si>
    <t>06-07-2021</t>
  </si>
  <si>
    <t>CUST-1329</t>
  </si>
  <si>
    <t>PROD-2329</t>
  </si>
  <si>
    <t>VID100330</t>
  </si>
  <si>
    <t>26-04-2022</t>
  </si>
  <si>
    <t>27-04-2022</t>
  </si>
  <si>
    <t>CUST-1330</t>
  </si>
  <si>
    <t>PROD-2330</t>
  </si>
  <si>
    <t>VID100331</t>
  </si>
  <si>
    <t>19-06-2024</t>
  </si>
  <si>
    <t>CUST-1331</t>
  </si>
  <si>
    <t>PROD-2331</t>
  </si>
  <si>
    <t>VID100332</t>
  </si>
  <si>
    <t>30-04-2022</t>
  </si>
  <si>
    <t>CUST-1332</t>
  </si>
  <si>
    <t>PROD-2332</t>
  </si>
  <si>
    <t>VID100333</t>
  </si>
  <si>
    <t>03-04-2023</t>
  </si>
  <si>
    <t>04-04-2023</t>
  </si>
  <si>
    <t>CUST-1333</t>
  </si>
  <si>
    <t>PROD-2333</t>
  </si>
  <si>
    <t>VID100334</t>
  </si>
  <si>
    <t>22-12-2025</t>
  </si>
  <si>
    <t>CUST-1334</t>
  </si>
  <si>
    <t>PROD-2334</t>
  </si>
  <si>
    <t>VID100335</t>
  </si>
  <si>
    <t>05-12-2024</t>
  </si>
  <si>
    <t>12-12-2024</t>
  </si>
  <si>
    <t>CUST-1335</t>
  </si>
  <si>
    <t>PROD-2335</t>
  </si>
  <si>
    <t>VID100336</t>
  </si>
  <si>
    <t>14-06-2023</t>
  </si>
  <si>
    <t>21-06-2023</t>
  </si>
  <si>
    <t>CUST-1336</t>
  </si>
  <si>
    <t>PROD-2336</t>
  </si>
  <si>
    <t>VID100337</t>
  </si>
  <si>
    <t>31-03-2025</t>
  </si>
  <si>
    <t>01-04-2025</t>
  </si>
  <si>
    <t>CUST-1337</t>
  </si>
  <si>
    <t>PROD-2337</t>
  </si>
  <si>
    <t>VID100338</t>
  </si>
  <si>
    <t>14-12-2022</t>
  </si>
  <si>
    <t>CUST-1338</t>
  </si>
  <si>
    <t>PROD-2338</t>
  </si>
  <si>
    <t>VID100339</t>
  </si>
  <si>
    <t>CUST-1339</t>
  </si>
  <si>
    <t>PROD-2339</t>
  </si>
  <si>
    <t>VID100340</t>
  </si>
  <si>
    <t>15-11-2021</t>
  </si>
  <si>
    <t>22-11-2021</t>
  </si>
  <si>
    <t>CUST-1340</t>
  </si>
  <si>
    <t>PROD-2340</t>
  </si>
  <si>
    <t>VID100341</t>
  </si>
  <si>
    <t>30-01-2022</t>
  </si>
  <si>
    <t>CUST-1341</t>
  </si>
  <si>
    <t>PROD-2341</t>
  </si>
  <si>
    <t>VID100342</t>
  </si>
  <si>
    <t>05-05-2025</t>
  </si>
  <si>
    <t>08-05-2025</t>
  </si>
  <si>
    <t>CUST-1342</t>
  </si>
  <si>
    <t>PROD-2342</t>
  </si>
  <si>
    <t>VID100343</t>
  </si>
  <si>
    <t>08-04-2023</t>
  </si>
  <si>
    <t>12-04-2023</t>
  </si>
  <si>
    <t>CUST-1343</t>
  </si>
  <si>
    <t>PROD-2343</t>
  </si>
  <si>
    <t>VID100344</t>
  </si>
  <si>
    <t>25-05-2022</t>
  </si>
  <si>
    <t>31-05-2022</t>
  </si>
  <si>
    <t>CUST-1344</t>
  </si>
  <si>
    <t>PROD-2344</t>
  </si>
  <si>
    <t>VID100345</t>
  </si>
  <si>
    <t>CUST-1345</t>
  </si>
  <si>
    <t>PROD-2345</t>
  </si>
  <si>
    <t>VID100346</t>
  </si>
  <si>
    <t>05-04-2021</t>
  </si>
  <si>
    <t>CUST-1346</t>
  </si>
  <si>
    <t>PROD-2346</t>
  </si>
  <si>
    <t>VID100347</t>
  </si>
  <si>
    <t>10-08-2025</t>
  </si>
  <si>
    <t>CUST-1347</t>
  </si>
  <si>
    <t>PROD-2347</t>
  </si>
  <si>
    <t>VID100348</t>
  </si>
  <si>
    <t>22-07-2022</t>
  </si>
  <si>
    <t>CUST-1348</t>
  </si>
  <si>
    <t>PROD-2348</t>
  </si>
  <si>
    <t>VID100349</t>
  </si>
  <si>
    <t>CUST-1349</t>
  </si>
  <si>
    <t>PROD-2349</t>
  </si>
  <si>
    <t>VID100350</t>
  </si>
  <si>
    <t>29-05-2025</t>
  </si>
  <si>
    <t>CUST-1350</t>
  </si>
  <si>
    <t>PROD-2350</t>
  </si>
  <si>
    <t>VID100351</t>
  </si>
  <si>
    <t>01-02-2023</t>
  </si>
  <si>
    <t>CUST-1351</t>
  </si>
  <si>
    <t>PROD-2351</t>
  </si>
  <si>
    <t>VID100352</t>
  </si>
  <si>
    <t>05-10-2024</t>
  </si>
  <si>
    <t>09-10-2024</t>
  </si>
  <si>
    <t>CUST-1352</t>
  </si>
  <si>
    <t>PROD-2352</t>
  </si>
  <si>
    <t>VID100353</t>
  </si>
  <si>
    <t>30-10-2023</t>
  </si>
  <si>
    <t>CUST-1353</t>
  </si>
  <si>
    <t>PROD-2353</t>
  </si>
  <si>
    <t>VID100354</t>
  </si>
  <si>
    <t>07-08-2022</t>
  </si>
  <si>
    <t>CUST-1354</t>
  </si>
  <si>
    <t>PROD-2354</t>
  </si>
  <si>
    <t>VID100355</t>
  </si>
  <si>
    <t>CUST-1355</t>
  </si>
  <si>
    <t>PROD-2355</t>
  </si>
  <si>
    <t>VID100356</t>
  </si>
  <si>
    <t>CUST-1356</t>
  </si>
  <si>
    <t>PROD-2356</t>
  </si>
  <si>
    <t>VID100357</t>
  </si>
  <si>
    <t>19-09-2022</t>
  </si>
  <si>
    <t>22-09-2022</t>
  </si>
  <si>
    <t>CUST-1357</t>
  </si>
  <si>
    <t>PROD-2357</t>
  </si>
  <si>
    <t>VID100358</t>
  </si>
  <si>
    <t>01-06-2024</t>
  </si>
  <si>
    <t>CUST-1358</t>
  </si>
  <si>
    <t>PROD-2358</t>
  </si>
  <si>
    <t>VID100359</t>
  </si>
  <si>
    <t>30-06-2025</t>
  </si>
  <si>
    <t>07-07-2025</t>
  </si>
  <si>
    <t>CUST-1359</t>
  </si>
  <si>
    <t>PROD-2359</t>
  </si>
  <si>
    <t>VID100360</t>
  </si>
  <si>
    <t>29-12-2025</t>
  </si>
  <si>
    <t>CUST-1360</t>
  </si>
  <si>
    <t>PROD-2360</t>
  </si>
  <si>
    <t>VID100361</t>
  </si>
  <si>
    <t>09-05-2025</t>
  </si>
  <si>
    <t>10-05-2025</t>
  </si>
  <si>
    <t>CUST-1361</t>
  </si>
  <si>
    <t>PROD-2361</t>
  </si>
  <si>
    <t>VID100362</t>
  </si>
  <si>
    <t>CUST-1362</t>
  </si>
  <si>
    <t>PROD-2362</t>
  </si>
  <si>
    <t>VID100363</t>
  </si>
  <si>
    <t>CUST-1363</t>
  </si>
  <si>
    <t>PROD-2363</t>
  </si>
  <si>
    <t>VID100364</t>
  </si>
  <si>
    <t>28-11-2022</t>
  </si>
  <si>
    <t>CUST-1364</t>
  </si>
  <si>
    <t>PROD-2364</t>
  </si>
  <si>
    <t>VID100365</t>
  </si>
  <si>
    <t>04-03-2022</t>
  </si>
  <si>
    <t>CUST-1365</t>
  </si>
  <si>
    <t>PROD-2365</t>
  </si>
  <si>
    <t>VID100366</t>
  </si>
  <si>
    <t>25-08-2024</t>
  </si>
  <si>
    <t>27-08-2024</t>
  </si>
  <si>
    <t>CUST-1366</t>
  </si>
  <si>
    <t>PROD-2366</t>
  </si>
  <si>
    <t>VID100367</t>
  </si>
  <si>
    <t>21-01-2023</t>
  </si>
  <si>
    <t>27-01-2023</t>
  </si>
  <si>
    <t>CUST-1367</t>
  </si>
  <si>
    <t>PROD-2367</t>
  </si>
  <si>
    <t>VID100368</t>
  </si>
  <si>
    <t>CUST-1368</t>
  </si>
  <si>
    <t>PROD-2368</t>
  </si>
  <si>
    <t>VID100369</t>
  </si>
  <si>
    <t>21-11-2023</t>
  </si>
  <si>
    <t>CUST-1369</t>
  </si>
  <si>
    <t>PROD-2369</t>
  </si>
  <si>
    <t>VID100370</t>
  </si>
  <si>
    <t>28-04-2021</t>
  </si>
  <si>
    <t>CUST-1370</t>
  </si>
  <si>
    <t>PROD-2370</t>
  </si>
  <si>
    <t>VID100371</t>
  </si>
  <si>
    <t>26-01-2021</t>
  </si>
  <si>
    <t>28-01-2021</t>
  </si>
  <si>
    <t>CUST-1371</t>
  </si>
  <si>
    <t>PROD-2371</t>
  </si>
  <si>
    <t>VID100372</t>
  </si>
  <si>
    <t>23-01-2021</t>
  </si>
  <si>
    <t>CUST-1372</t>
  </si>
  <si>
    <t>PROD-2372</t>
  </si>
  <si>
    <t>VID100373</t>
  </si>
  <si>
    <t>26-10-2023</t>
  </si>
  <si>
    <t>CUST-1373</t>
  </si>
  <si>
    <t>PROD-2373</t>
  </si>
  <si>
    <t>VID100374</t>
  </si>
  <si>
    <t>08-10-2023</t>
  </si>
  <si>
    <t>CUST-1374</t>
  </si>
  <si>
    <t>PROD-2374</t>
  </si>
  <si>
    <t>VID100375</t>
  </si>
  <si>
    <t>21-05-2025</t>
  </si>
  <si>
    <t>28-05-2025</t>
  </si>
  <si>
    <t>CUST-1375</t>
  </si>
  <si>
    <t>PROD-2375</t>
  </si>
  <si>
    <t>VID100376</t>
  </si>
  <si>
    <t>10-10-2024</t>
  </si>
  <si>
    <t>11-10-2024</t>
  </si>
  <si>
    <t>CUST-1376</t>
  </si>
  <si>
    <t>PROD-2376</t>
  </si>
  <si>
    <t>VID100377</t>
  </si>
  <si>
    <t>CUST-1377</t>
  </si>
  <si>
    <t>PROD-2377</t>
  </si>
  <si>
    <t>VID100378</t>
  </si>
  <si>
    <t>10-10-2022</t>
  </si>
  <si>
    <t>13-10-2022</t>
  </si>
  <si>
    <t>CUST-1378</t>
  </si>
  <si>
    <t>PROD-2378</t>
  </si>
  <si>
    <t>VID100379</t>
  </si>
  <si>
    <t>16-09-2024</t>
  </si>
  <si>
    <t>21-09-2024</t>
  </si>
  <si>
    <t>CUST-1379</t>
  </si>
  <si>
    <t>PROD-2379</t>
  </si>
  <si>
    <t>VID100380</t>
  </si>
  <si>
    <t>CUST-1380</t>
  </si>
  <si>
    <t>PROD-2380</t>
  </si>
  <si>
    <t>VID100381</t>
  </si>
  <si>
    <t>24-06-2025</t>
  </si>
  <si>
    <t>CUST-1381</t>
  </si>
  <si>
    <t>PROD-2381</t>
  </si>
  <si>
    <t>VID100382</t>
  </si>
  <si>
    <t>17-04-2022</t>
  </si>
  <si>
    <t>CUST-1382</t>
  </si>
  <si>
    <t>PROD-2382</t>
  </si>
  <si>
    <t>VID100383</t>
  </si>
  <si>
    <t>CUST-1383</t>
  </si>
  <si>
    <t>PROD-2383</t>
  </si>
  <si>
    <t>VID100384</t>
  </si>
  <si>
    <t>18-12-2022</t>
  </si>
  <si>
    <t>CUST-1384</t>
  </si>
  <si>
    <t>PROD-2384</t>
  </si>
  <si>
    <t>VID100385</t>
  </si>
  <si>
    <t>30-08-2021</t>
  </si>
  <si>
    <t>CUST-1385</t>
  </si>
  <si>
    <t>PROD-2385</t>
  </si>
  <si>
    <t>VID100386</t>
  </si>
  <si>
    <t>11-03-2021</t>
  </si>
  <si>
    <t>CUST-1386</t>
  </si>
  <si>
    <t>PROD-2386</t>
  </si>
  <si>
    <t>VID100387</t>
  </si>
  <si>
    <t>CUST-1387</t>
  </si>
  <si>
    <t>PROD-2387</t>
  </si>
  <si>
    <t>VID100388</t>
  </si>
  <si>
    <t>10-08-2024</t>
  </si>
  <si>
    <t>CUST-1388</t>
  </si>
  <si>
    <t>PROD-2388</t>
  </si>
  <si>
    <t>VID100389</t>
  </si>
  <si>
    <t>CUST-1389</t>
  </si>
  <si>
    <t>PROD-2389</t>
  </si>
  <si>
    <t>VID100390</t>
  </si>
  <si>
    <t>10-06-2024</t>
  </si>
  <si>
    <t>11-06-2024</t>
  </si>
  <si>
    <t>CUST-1390</t>
  </si>
  <si>
    <t>PROD-2390</t>
  </si>
  <si>
    <t>VID100391</t>
  </si>
  <si>
    <t>23-08-2022</t>
  </si>
  <si>
    <t>CUST-1391</t>
  </si>
  <si>
    <t>PROD-2391</t>
  </si>
  <si>
    <t>VID100392</t>
  </si>
  <si>
    <t>31-10-2021</t>
  </si>
  <si>
    <t>CUST-1392</t>
  </si>
  <si>
    <t>PROD-2392</t>
  </si>
  <si>
    <t>VID100393</t>
  </si>
  <si>
    <t>13-06-2024</t>
  </si>
  <si>
    <t>CUST-1393</t>
  </si>
  <si>
    <t>PROD-2393</t>
  </si>
  <si>
    <t>VID100394</t>
  </si>
  <si>
    <t>14-01-2021</t>
  </si>
  <si>
    <t>CUST-1394</t>
  </si>
  <si>
    <t>PROD-2394</t>
  </si>
  <si>
    <t>VID100395</t>
  </si>
  <si>
    <t>27-10-2023</t>
  </si>
  <si>
    <t>CUST-1395</t>
  </si>
  <si>
    <t>PROD-2395</t>
  </si>
  <si>
    <t>VID100396</t>
  </si>
  <si>
    <t>CUST-1396</t>
  </si>
  <si>
    <t>PROD-2396</t>
  </si>
  <si>
    <t>VID100397</t>
  </si>
  <si>
    <t>CUST-1397</t>
  </si>
  <si>
    <t>PROD-2397</t>
  </si>
  <si>
    <t>VID100398</t>
  </si>
  <si>
    <t>08-03-2025</t>
  </si>
  <si>
    <t>14-03-2025</t>
  </si>
  <si>
    <t>CUST-1398</t>
  </si>
  <si>
    <t>PROD-2398</t>
  </si>
  <si>
    <t>VID100399</t>
  </si>
  <si>
    <t>CUST-1399</t>
  </si>
  <si>
    <t>PROD-2399</t>
  </si>
  <si>
    <t>VID100400</t>
  </si>
  <si>
    <t>24-08-2024</t>
  </si>
  <si>
    <t>CUST-1400</t>
  </si>
  <si>
    <t>PROD-2400</t>
  </si>
  <si>
    <t>VID100401</t>
  </si>
  <si>
    <t>12-10-2022</t>
  </si>
  <si>
    <t>14-10-2022</t>
  </si>
  <si>
    <t>CUST-1401</t>
  </si>
  <si>
    <t>PROD-2401</t>
  </si>
  <si>
    <t>VID100402</t>
  </si>
  <si>
    <t>04-11-2021</t>
  </si>
  <si>
    <t>CUST-1402</t>
  </si>
  <si>
    <t>PROD-2402</t>
  </si>
  <si>
    <t>VID100403</t>
  </si>
  <si>
    <t>07-05-2024</t>
  </si>
  <si>
    <t>CUST-1403</t>
  </si>
  <si>
    <t>PROD-2403</t>
  </si>
  <si>
    <t>VID100404</t>
  </si>
  <si>
    <t>26-01-2022</t>
  </si>
  <si>
    <t>31-01-2022</t>
  </si>
  <si>
    <t>CUST-1404</t>
  </si>
  <si>
    <t>PROD-2404</t>
  </si>
  <si>
    <t>VID100405</t>
  </si>
  <si>
    <t>28-09-2021</t>
  </si>
  <si>
    <t>30-09-2021</t>
  </si>
  <si>
    <t>CUST-1405</t>
  </si>
  <si>
    <t>PROD-2405</t>
  </si>
  <si>
    <t>VID100406</t>
  </si>
  <si>
    <t>CUST-1406</t>
  </si>
  <si>
    <t>PROD-2406</t>
  </si>
  <si>
    <t>VID100407</t>
  </si>
  <si>
    <t>16-02-2022</t>
  </si>
  <si>
    <t>CUST-1407</t>
  </si>
  <si>
    <t>PROD-2407</t>
  </si>
  <si>
    <t>VID100408</t>
  </si>
  <si>
    <t>06-02-2022</t>
  </si>
  <si>
    <t>CUST-1408</t>
  </si>
  <si>
    <t>PROD-2408</t>
  </si>
  <si>
    <t>VID100409</t>
  </si>
  <si>
    <t>21-07-2025</t>
  </si>
  <si>
    <t>25-07-2025</t>
  </si>
  <si>
    <t>CUST-1409</t>
  </si>
  <si>
    <t>PROD-2409</t>
  </si>
  <si>
    <t>VID100410</t>
  </si>
  <si>
    <t>05-01-2021</t>
  </si>
  <si>
    <t>11-01-2021</t>
  </si>
  <si>
    <t>CUST-1410</t>
  </si>
  <si>
    <t>PROD-2410</t>
  </si>
  <si>
    <t>VID100411</t>
  </si>
  <si>
    <t>18-04-2024</t>
  </si>
  <si>
    <t>23-04-2024</t>
  </si>
  <si>
    <t>CUST-1411</t>
  </si>
  <si>
    <t>PROD-2411</t>
  </si>
  <si>
    <t>VID100412</t>
  </si>
  <si>
    <t>08-01-2022</t>
  </si>
  <si>
    <t>13-01-2022</t>
  </si>
  <si>
    <t>CUST-1412</t>
  </si>
  <si>
    <t>PROD-2412</t>
  </si>
  <si>
    <t>VID100413</t>
  </si>
  <si>
    <t>CUST-1413</t>
  </si>
  <si>
    <t>PROD-2413</t>
  </si>
  <si>
    <t>VID100414</t>
  </si>
  <si>
    <t>08-10-2024</t>
  </si>
  <si>
    <t>CUST-1414</t>
  </si>
  <si>
    <t>PROD-2414</t>
  </si>
  <si>
    <t>VID100415</t>
  </si>
  <si>
    <t>05-06-2022</t>
  </si>
  <si>
    <t>CUST-1415</t>
  </si>
  <si>
    <t>PROD-2415</t>
  </si>
  <si>
    <t>VID100416</t>
  </si>
  <si>
    <t>15-08-2025</t>
  </si>
  <si>
    <t>CUST-1416</t>
  </si>
  <si>
    <t>PROD-2416</t>
  </si>
  <si>
    <t>VID100417</t>
  </si>
  <si>
    <t>02-10-2023</t>
  </si>
  <si>
    <t>04-10-2023</t>
  </si>
  <si>
    <t>CUST-1417</t>
  </si>
  <si>
    <t>PROD-2417</t>
  </si>
  <si>
    <t>VID100418</t>
  </si>
  <si>
    <t>04-03-2021</t>
  </si>
  <si>
    <t>10-03-2021</t>
  </si>
  <si>
    <t>CUST-1418</t>
  </si>
  <si>
    <t>PROD-2418</t>
  </si>
  <si>
    <t>VID100419</t>
  </si>
  <si>
    <t>CUST-1419</t>
  </si>
  <si>
    <t>PROD-2419</t>
  </si>
  <si>
    <t>VID100420</t>
  </si>
  <si>
    <t>05-09-2021</t>
  </si>
  <si>
    <t>09-09-2021</t>
  </si>
  <si>
    <t>CUST-1420</t>
  </si>
  <si>
    <t>PROD-2420</t>
  </si>
  <si>
    <t>VID100421</t>
  </si>
  <si>
    <t>07-11-2024</t>
  </si>
  <si>
    <t>10-11-2024</t>
  </si>
  <si>
    <t>CUST-1421</t>
  </si>
  <si>
    <t>PROD-2421</t>
  </si>
  <si>
    <t>VID100422</t>
  </si>
  <si>
    <t>20-08-2022</t>
  </si>
  <si>
    <t>26-08-2022</t>
  </si>
  <si>
    <t>CUST-1422</t>
  </si>
  <si>
    <t>PROD-2422</t>
  </si>
  <si>
    <t>VID100423</t>
  </si>
  <si>
    <t>12-04-2024</t>
  </si>
  <si>
    <t>CUST-1423</t>
  </si>
  <si>
    <t>PROD-2423</t>
  </si>
  <si>
    <t>VID100424</t>
  </si>
  <si>
    <t>26-06-2023</t>
  </si>
  <si>
    <t>02-07-2023</t>
  </si>
  <si>
    <t>CUST-1424</t>
  </si>
  <si>
    <t>PROD-2424</t>
  </si>
  <si>
    <t>VID100425</t>
  </si>
  <si>
    <t>06-01-2021</t>
  </si>
  <si>
    <t>CUST-1425</t>
  </si>
  <si>
    <t>PROD-2425</t>
  </si>
  <si>
    <t>VID100426</t>
  </si>
  <si>
    <t>30-07-2024</t>
  </si>
  <si>
    <t>CUST-1426</t>
  </si>
  <si>
    <t>PROD-2426</t>
  </si>
  <si>
    <t>VID100427</t>
  </si>
  <si>
    <t>06-10-2024</t>
  </si>
  <si>
    <t>CUST-1427</t>
  </si>
  <si>
    <t>PROD-2427</t>
  </si>
  <si>
    <t>VID100428</t>
  </si>
  <si>
    <t>24-08-2023</t>
  </si>
  <si>
    <t>CUST-1428</t>
  </si>
  <si>
    <t>PROD-2428</t>
  </si>
  <si>
    <t>VID100429</t>
  </si>
  <si>
    <t>23-11-2022</t>
  </si>
  <si>
    <t>CUST-1429</t>
  </si>
  <si>
    <t>PROD-2429</t>
  </si>
  <si>
    <t>VID100430</t>
  </si>
  <si>
    <t>12-10-2023</t>
  </si>
  <si>
    <t>CUST-1430</t>
  </si>
  <si>
    <t>PROD-2430</t>
  </si>
  <si>
    <t>VID100431</t>
  </si>
  <si>
    <t>24-03-2022</t>
  </si>
  <si>
    <t>28-03-2022</t>
  </si>
  <si>
    <t>CUST-1431</t>
  </si>
  <si>
    <t>PROD-2431</t>
  </si>
  <si>
    <t>VID100432</t>
  </si>
  <si>
    <t>CUST-1432</t>
  </si>
  <si>
    <t>PROD-2432</t>
  </si>
  <si>
    <t>VID100433</t>
  </si>
  <si>
    <t>06-06-2025</t>
  </si>
  <si>
    <t>12-06-2025</t>
  </si>
  <si>
    <t>CUST-1433</t>
  </si>
  <si>
    <t>PROD-2433</t>
  </si>
  <si>
    <t>VID100434</t>
  </si>
  <si>
    <t>16-02-2021</t>
  </si>
  <si>
    <t>22-02-2021</t>
  </si>
  <si>
    <t>CUST-1434</t>
  </si>
  <si>
    <t>PROD-2434</t>
  </si>
  <si>
    <t>VID100435</t>
  </si>
  <si>
    <t>05-10-2025</t>
  </si>
  <si>
    <t>11-10-2025</t>
  </si>
  <si>
    <t>CUST-1435</t>
  </si>
  <si>
    <t>PROD-2435</t>
  </si>
  <si>
    <t>VID100436</t>
  </si>
  <si>
    <t>CUST-1436</t>
  </si>
  <si>
    <t>PROD-2436</t>
  </si>
  <si>
    <t>VID100437</t>
  </si>
  <si>
    <t>07-10-2022</t>
  </si>
  <si>
    <t>CUST-1437</t>
  </si>
  <si>
    <t>PROD-2437</t>
  </si>
  <si>
    <t>VID100438</t>
  </si>
  <si>
    <t>CUST-1438</t>
  </si>
  <si>
    <t>PROD-2438</t>
  </si>
  <si>
    <t>VID100439</t>
  </si>
  <si>
    <t>09-12-2022</t>
  </si>
  <si>
    <t>10-12-2022</t>
  </si>
  <si>
    <t>CUST-1439</t>
  </si>
  <si>
    <t>PROD-2439</t>
  </si>
  <si>
    <t>VID100440</t>
  </si>
  <si>
    <t>22-09-2021</t>
  </si>
  <si>
    <t>CUST-1440</t>
  </si>
  <si>
    <t>PROD-2440</t>
  </si>
  <si>
    <t>VID100441</t>
  </si>
  <si>
    <t>21-08-2022</t>
  </si>
  <si>
    <t>CUST-1441</t>
  </si>
  <si>
    <t>PROD-2441</t>
  </si>
  <si>
    <t>VID100442</t>
  </si>
  <si>
    <t>17-01-2025</t>
  </si>
  <si>
    <t>23-01-2025</t>
  </si>
  <si>
    <t>CUST-1442</t>
  </si>
  <si>
    <t>PROD-2442</t>
  </si>
  <si>
    <t>VID100443</t>
  </si>
  <si>
    <t>CUST-1443</t>
  </si>
  <si>
    <t>PROD-2443</t>
  </si>
  <si>
    <t>VID100444</t>
  </si>
  <si>
    <t>12-10-2024</t>
  </si>
  <si>
    <t>CUST-1444</t>
  </si>
  <si>
    <t>PROD-2444</t>
  </si>
  <si>
    <t>VID100445</t>
  </si>
  <si>
    <t>04-12-2025</t>
  </si>
  <si>
    <t>06-12-2025</t>
  </si>
  <si>
    <t>CUST-1445</t>
  </si>
  <si>
    <t>PROD-2445</t>
  </si>
  <si>
    <t>VID100446</t>
  </si>
  <si>
    <t>13-10-2021</t>
  </si>
  <si>
    <t>CUST-1446</t>
  </si>
  <si>
    <t>PROD-2446</t>
  </si>
  <si>
    <t>VID100447</t>
  </si>
  <si>
    <t>15-03-2024</t>
  </si>
  <si>
    <t>22-03-2024</t>
  </si>
  <si>
    <t>CUST-1447</t>
  </si>
  <si>
    <t>PROD-2447</t>
  </si>
  <si>
    <t>VID100448</t>
  </si>
  <si>
    <t>CUST-1448</t>
  </si>
  <si>
    <t>PROD-2448</t>
  </si>
  <si>
    <t>VID100449</t>
  </si>
  <si>
    <t>CUST-1449</t>
  </si>
  <si>
    <t>PROD-2449</t>
  </si>
  <si>
    <t>VID100450</t>
  </si>
  <si>
    <t>03-05-2024</t>
  </si>
  <si>
    <t>CUST-1450</t>
  </si>
  <si>
    <t>PROD-2450</t>
  </si>
  <si>
    <t>VID100451</t>
  </si>
  <si>
    <t>27-06-2025</t>
  </si>
  <si>
    <t>CUST-1451</t>
  </si>
  <si>
    <t>PROD-2451</t>
  </si>
  <si>
    <t>VID100452</t>
  </si>
  <si>
    <t>16-06-2023</t>
  </si>
  <si>
    <t>CUST-1452</t>
  </si>
  <si>
    <t>PROD-2452</t>
  </si>
  <si>
    <t>VID100453</t>
  </si>
  <si>
    <t>18-07-2023</t>
  </si>
  <si>
    <t>23-07-2023</t>
  </si>
  <si>
    <t>CUST-1453</t>
  </si>
  <si>
    <t>PROD-2453</t>
  </si>
  <si>
    <t>VID100454</t>
  </si>
  <si>
    <t>16-02-2024</t>
  </si>
  <si>
    <t>CUST-1454</t>
  </si>
  <si>
    <t>PROD-2454</t>
  </si>
  <si>
    <t>VID100455</t>
  </si>
  <si>
    <t>04-05-2021</t>
  </si>
  <si>
    <t>CUST-1455</t>
  </si>
  <si>
    <t>PROD-2455</t>
  </si>
  <si>
    <t>VID100456</t>
  </si>
  <si>
    <t>30-10-2024</t>
  </si>
  <si>
    <t>05-11-2024</t>
  </si>
  <si>
    <t>CUST-1456</t>
  </si>
  <si>
    <t>PROD-2456</t>
  </si>
  <si>
    <t>VID100457</t>
  </si>
  <si>
    <t>28-01-2023</t>
  </si>
  <si>
    <t>CUST-1457</t>
  </si>
  <si>
    <t>PROD-2457</t>
  </si>
  <si>
    <t>VID100458</t>
  </si>
  <si>
    <t>05-08-2021</t>
  </si>
  <si>
    <t>CUST-1458</t>
  </si>
  <si>
    <t>PROD-2458</t>
  </si>
  <si>
    <t>VID100459</t>
  </si>
  <si>
    <t>07-04-2023</t>
  </si>
  <si>
    <t>14-04-2023</t>
  </si>
  <si>
    <t>CUST-1459</t>
  </si>
  <si>
    <t>PROD-2459</t>
  </si>
  <si>
    <t>VID100460</t>
  </si>
  <si>
    <t>02-07-2024</t>
  </si>
  <si>
    <t>09-07-2024</t>
  </si>
  <si>
    <t>CUST-1460</t>
  </si>
  <si>
    <t>PROD-2460</t>
  </si>
  <si>
    <t>VID100461</t>
  </si>
  <si>
    <t>13-01-2023</t>
  </si>
  <si>
    <t>18-01-2023</t>
  </si>
  <si>
    <t>CUST-1461</t>
  </si>
  <si>
    <t>PROD-2461</t>
  </si>
  <si>
    <t>VID100462</t>
  </si>
  <si>
    <t>04-03-2023</t>
  </si>
  <si>
    <t>11-03-2023</t>
  </si>
  <si>
    <t>CUST-1462</t>
  </si>
  <si>
    <t>PROD-2462</t>
  </si>
  <si>
    <t>VID100463</t>
  </si>
  <si>
    <t>01-09-2024</t>
  </si>
  <si>
    <t>CUST-1463</t>
  </si>
  <si>
    <t>PROD-2463</t>
  </si>
  <si>
    <t>VID100464</t>
  </si>
  <si>
    <t>01-12-2021</t>
  </si>
  <si>
    <t>CUST-1464</t>
  </si>
  <si>
    <t>PROD-2464</t>
  </si>
  <si>
    <t>VID100465</t>
  </si>
  <si>
    <t>04-02-2024</t>
  </si>
  <si>
    <t>CUST-1465</t>
  </si>
  <si>
    <t>PROD-2465</t>
  </si>
  <si>
    <t>VID100466</t>
  </si>
  <si>
    <t>16-03-2024</t>
  </si>
  <si>
    <t>CUST-1466</t>
  </si>
  <si>
    <t>PROD-2466</t>
  </si>
  <si>
    <t>VID100467</t>
  </si>
  <si>
    <t>04-02-2021</t>
  </si>
  <si>
    <t>08-02-2021</t>
  </si>
  <si>
    <t>CUST-1467</t>
  </si>
  <si>
    <t>PROD-2467</t>
  </si>
  <si>
    <t>VID100468</t>
  </si>
  <si>
    <t>26-12-2024</t>
  </si>
  <si>
    <t>CUST-1468</t>
  </si>
  <si>
    <t>PROD-2468</t>
  </si>
  <si>
    <t>VID100469</t>
  </si>
  <si>
    <t>CUST-1469</t>
  </si>
  <si>
    <t>PROD-2469</t>
  </si>
  <si>
    <t>VID100470</t>
  </si>
  <si>
    <t>11-07-2025</t>
  </si>
  <si>
    <t>CUST-1470</t>
  </si>
  <si>
    <t>PROD-2470</t>
  </si>
  <si>
    <t>VID100471</t>
  </si>
  <si>
    <t>05-11-2025</t>
  </si>
  <si>
    <t>CUST-1471</t>
  </si>
  <si>
    <t>PROD-2471</t>
  </si>
  <si>
    <t>VID100472</t>
  </si>
  <si>
    <t>06-08-2023</t>
  </si>
  <si>
    <t>CUST-1472</t>
  </si>
  <si>
    <t>PROD-2472</t>
  </si>
  <si>
    <t>VID100473</t>
  </si>
  <si>
    <t>08-09-2021</t>
  </si>
  <si>
    <t>CUST-1473</t>
  </si>
  <si>
    <t>PROD-2473</t>
  </si>
  <si>
    <t>VID100474</t>
  </si>
  <si>
    <t>06-01-2022</t>
  </si>
  <si>
    <t>09-01-2022</t>
  </si>
  <si>
    <t>CUST-1474</t>
  </si>
  <si>
    <t>PROD-2474</t>
  </si>
  <si>
    <t>VID100475</t>
  </si>
  <si>
    <t>15-12-2021</t>
  </si>
  <si>
    <t>CUST-1475</t>
  </si>
  <si>
    <t>PROD-2475</t>
  </si>
  <si>
    <t>VID100476</t>
  </si>
  <si>
    <t>CUST-1476</t>
  </si>
  <si>
    <t>PROD-2476</t>
  </si>
  <si>
    <t>VID100477</t>
  </si>
  <si>
    <t>CUST-1477</t>
  </si>
  <si>
    <t>PROD-2477</t>
  </si>
  <si>
    <t>VID100478</t>
  </si>
  <si>
    <t>20-09-2024</t>
  </si>
  <si>
    <t>CUST-1478</t>
  </si>
  <si>
    <t>PROD-2478</t>
  </si>
  <si>
    <t>VID100479</t>
  </si>
  <si>
    <t>10-11-2022</t>
  </si>
  <si>
    <t>11-11-2022</t>
  </si>
  <si>
    <t>CUST-1479</t>
  </si>
  <si>
    <t>PROD-2479</t>
  </si>
  <si>
    <t>VID100480</t>
  </si>
  <si>
    <t>29-08-2024</t>
  </si>
  <si>
    <t>03-09-2024</t>
  </si>
  <si>
    <t>CUST-1480</t>
  </si>
  <si>
    <t>PROD-2480</t>
  </si>
  <si>
    <t>VID100481</t>
  </si>
  <si>
    <t>CUST-1481</t>
  </si>
  <si>
    <t>PROD-2481</t>
  </si>
  <si>
    <t>VID100482</t>
  </si>
  <si>
    <t>21-07-2023</t>
  </si>
  <si>
    <t>25-07-2023</t>
  </si>
  <si>
    <t>CUST-1482</t>
  </si>
  <si>
    <t>PROD-2482</t>
  </si>
  <si>
    <t>VID100483</t>
  </si>
  <si>
    <t>06-05-2023</t>
  </si>
  <si>
    <t>12-05-2023</t>
  </si>
  <si>
    <t>CUST-1483</t>
  </si>
  <si>
    <t>PROD-2483</t>
  </si>
  <si>
    <t>VID100484</t>
  </si>
  <si>
    <t>22-09-2025</t>
  </si>
  <si>
    <t>25-09-2025</t>
  </si>
  <si>
    <t>CUST-1484</t>
  </si>
  <si>
    <t>PROD-2484</t>
  </si>
  <si>
    <t>VID100485</t>
  </si>
  <si>
    <t>15-02-2022</t>
  </si>
  <si>
    <t>19-02-2022</t>
  </si>
  <si>
    <t>CUST-1485</t>
  </si>
  <si>
    <t>PROD-2485</t>
  </si>
  <si>
    <t>VID100486</t>
  </si>
  <si>
    <t>CUST-1486</t>
  </si>
  <si>
    <t>PROD-2486</t>
  </si>
  <si>
    <t>VID100487</t>
  </si>
  <si>
    <t>13-04-2023</t>
  </si>
  <si>
    <t>20-04-2023</t>
  </si>
  <si>
    <t>CUST-1487</t>
  </si>
  <si>
    <t>PROD-2487</t>
  </si>
  <si>
    <t>VID100488</t>
  </si>
  <si>
    <t>10-09-2022</t>
  </si>
  <si>
    <t>12-09-2022</t>
  </si>
  <si>
    <t>CUST-1488</t>
  </si>
  <si>
    <t>PROD-2488</t>
  </si>
  <si>
    <t>VID100489</t>
  </si>
  <si>
    <t>23-12-2025</t>
  </si>
  <si>
    <t>26-12-2025</t>
  </si>
  <si>
    <t>CUST-1489</t>
  </si>
  <si>
    <t>PROD-2489</t>
  </si>
  <si>
    <t>VID100490</t>
  </si>
  <si>
    <t>30-01-2021</t>
  </si>
  <si>
    <t>CUST-1490</t>
  </si>
  <si>
    <t>PROD-2490</t>
  </si>
  <si>
    <t>VID100491</t>
  </si>
  <si>
    <t>13-07-2023</t>
  </si>
  <si>
    <t>20-07-2023</t>
  </si>
  <si>
    <t>CUST-1491</t>
  </si>
  <si>
    <t>PROD-2491</t>
  </si>
  <si>
    <t>VID100492</t>
  </si>
  <si>
    <t>30-03-2025</t>
  </si>
  <si>
    <t>05-04-2025</t>
  </si>
  <si>
    <t>CUST-1492</t>
  </si>
  <si>
    <t>PROD-2492</t>
  </si>
  <si>
    <t>VID100493</t>
  </si>
  <si>
    <t>03-08-2021</t>
  </si>
  <si>
    <t>CUST-1493</t>
  </si>
  <si>
    <t>PROD-2493</t>
  </si>
  <si>
    <t>VID100494</t>
  </si>
  <si>
    <t>03-08-2023</t>
  </si>
  <si>
    <t>CUST-1494</t>
  </si>
  <si>
    <t>PROD-2494</t>
  </si>
  <si>
    <t>VID100495</t>
  </si>
  <si>
    <t>CUST-1495</t>
  </si>
  <si>
    <t>PROD-2495</t>
  </si>
  <si>
    <t>VID100496</t>
  </si>
  <si>
    <t>09-11-2025</t>
  </si>
  <si>
    <t>CUST-1496</t>
  </si>
  <si>
    <t>PROD-2496</t>
  </si>
  <si>
    <t>VID100497</t>
  </si>
  <si>
    <t>30-01-2025</t>
  </si>
  <si>
    <t>02-02-2025</t>
  </si>
  <si>
    <t>CUST-1497</t>
  </si>
  <si>
    <t>PROD-2497</t>
  </si>
  <si>
    <t>VID100498</t>
  </si>
  <si>
    <t>02-08-2024</t>
  </si>
  <si>
    <t>CUST-1498</t>
  </si>
  <si>
    <t>PROD-2498</t>
  </si>
  <si>
    <t>VID100499</t>
  </si>
  <si>
    <t>CUST-1499</t>
  </si>
  <si>
    <t>PROD-2499</t>
  </si>
  <si>
    <t>VID100500</t>
  </si>
  <si>
    <t>CUST-1500</t>
  </si>
  <si>
    <t>PROD-2500</t>
  </si>
  <si>
    <t>VID100501</t>
  </si>
  <si>
    <t>27-12-2024</t>
  </si>
  <si>
    <t>CUST-1501</t>
  </si>
  <si>
    <t>PROD-2501</t>
  </si>
  <si>
    <t>VID100502</t>
  </si>
  <si>
    <t>15-12-2024</t>
  </si>
  <si>
    <t>22-12-2024</t>
  </si>
  <si>
    <t>CUST-1502</t>
  </si>
  <si>
    <t>PROD-2502</t>
  </si>
  <si>
    <t>VID100503</t>
  </si>
  <si>
    <t>01-07-2025</t>
  </si>
  <si>
    <t>06-07-2025</t>
  </si>
  <si>
    <t>CUST-1503</t>
  </si>
  <si>
    <t>PROD-2503</t>
  </si>
  <si>
    <t>VID100504</t>
  </si>
  <si>
    <t>CUST-1504</t>
  </si>
  <si>
    <t>PROD-2504</t>
  </si>
  <si>
    <t>VID100505</t>
  </si>
  <si>
    <t>07-01-2023</t>
  </si>
  <si>
    <t>CUST-1505</t>
  </si>
  <si>
    <t>PROD-2505</t>
  </si>
  <si>
    <t>VID100506</t>
  </si>
  <si>
    <t>10-03-2024</t>
  </si>
  <si>
    <t>CUST-1506</t>
  </si>
  <si>
    <t>PROD-2506</t>
  </si>
  <si>
    <t>VID100507</t>
  </si>
  <si>
    <t>10-08-2021</t>
  </si>
  <si>
    <t>15-08-2021</t>
  </si>
  <si>
    <t>CUST-1507</t>
  </si>
  <si>
    <t>PROD-2507</t>
  </si>
  <si>
    <t>VID100508</t>
  </si>
  <si>
    <t>CUST-1508</t>
  </si>
  <si>
    <t>PROD-2508</t>
  </si>
  <si>
    <t>VID100509</t>
  </si>
  <si>
    <t>11-02-2023</t>
  </si>
  <si>
    <t>13-02-2023</t>
  </si>
  <si>
    <t>CUST-1509</t>
  </si>
  <si>
    <t>PROD-2509</t>
  </si>
  <si>
    <t>VID100510</t>
  </si>
  <si>
    <t>24-02-2025</t>
  </si>
  <si>
    <t>26-02-2025</t>
  </si>
  <si>
    <t>CUST-1510</t>
  </si>
  <si>
    <t>PROD-2510</t>
  </si>
  <si>
    <t>VID100511</t>
  </si>
  <si>
    <t>CUST-1511</t>
  </si>
  <si>
    <t>PROD-2511</t>
  </si>
  <si>
    <t>VID100512</t>
  </si>
  <si>
    <t>CUST-1512</t>
  </si>
  <si>
    <t>PROD-2512</t>
  </si>
  <si>
    <t>VID100513</t>
  </si>
  <si>
    <t>21-04-2023</t>
  </si>
  <si>
    <t>27-04-2023</t>
  </si>
  <si>
    <t>CUST-1513</t>
  </si>
  <si>
    <t>PROD-2513</t>
  </si>
  <si>
    <t>VID100514</t>
  </si>
  <si>
    <t>02-01-2023</t>
  </si>
  <si>
    <t>CUST-1514</t>
  </si>
  <si>
    <t>PROD-2514</t>
  </si>
  <si>
    <t>VID100515</t>
  </si>
  <si>
    <t>10-12-2023</t>
  </si>
  <si>
    <t>CUST-1515</t>
  </si>
  <si>
    <t>PROD-2515</t>
  </si>
  <si>
    <t>VID100516</t>
  </si>
  <si>
    <t>03-01-2022</t>
  </si>
  <si>
    <t>04-01-2022</t>
  </si>
  <si>
    <t>CUST-1516</t>
  </si>
  <si>
    <t>PROD-2516</t>
  </si>
  <si>
    <t>VID100517</t>
  </si>
  <si>
    <t>08-01-2021</t>
  </si>
  <si>
    <t>CUST-1517</t>
  </si>
  <si>
    <t>PROD-2517</t>
  </si>
  <si>
    <t>VID100518</t>
  </si>
  <si>
    <t>11-12-2025</t>
  </si>
  <si>
    <t>16-12-2025</t>
  </si>
  <si>
    <t>CUST-1518</t>
  </si>
  <si>
    <t>PROD-2518</t>
  </si>
  <si>
    <t>VID100519</t>
  </si>
  <si>
    <t>11-11-2024</t>
  </si>
  <si>
    <t>CUST-1519</t>
  </si>
  <si>
    <t>PROD-2519</t>
  </si>
  <si>
    <t>VID100520</t>
  </si>
  <si>
    <t>22-03-2023</t>
  </si>
  <si>
    <t>29-03-2023</t>
  </si>
  <si>
    <t>CUST-1520</t>
  </si>
  <si>
    <t>PROD-2520</t>
  </si>
  <si>
    <t>VID100521</t>
  </si>
  <si>
    <t>03-11-2025</t>
  </si>
  <si>
    <t>07-11-2025</t>
  </si>
  <si>
    <t>CUST-1521</t>
  </si>
  <si>
    <t>PROD-2521</t>
  </si>
  <si>
    <t>VID100522</t>
  </si>
  <si>
    <t>03-08-2022</t>
  </si>
  <si>
    <t>05-08-2022</t>
  </si>
  <si>
    <t>CUST-1522</t>
  </si>
  <si>
    <t>PROD-2522</t>
  </si>
  <si>
    <t>VID100523</t>
  </si>
  <si>
    <t>03-06-2023</t>
  </si>
  <si>
    <t>06-06-2023</t>
  </si>
  <si>
    <t>CUST-1523</t>
  </si>
  <si>
    <t>PROD-2523</t>
  </si>
  <si>
    <t>VID100524</t>
  </si>
  <si>
    <t>18-11-2021</t>
  </si>
  <si>
    <t>19-11-2021</t>
  </si>
  <si>
    <t>CUST-1524</t>
  </si>
  <si>
    <t>PROD-2524</t>
  </si>
  <si>
    <t>VID100525</t>
  </si>
  <si>
    <t>26-02-2023</t>
  </si>
  <si>
    <t>05-03-2023</t>
  </si>
  <si>
    <t>CUST-1525</t>
  </si>
  <si>
    <t>PROD-2525</t>
  </si>
  <si>
    <t>VID100526</t>
  </si>
  <si>
    <t>10-04-2021</t>
  </si>
  <si>
    <t>12-04-2021</t>
  </si>
  <si>
    <t>CUST-1526</t>
  </si>
  <si>
    <t>PROD-2526</t>
  </si>
  <si>
    <t>VID100527</t>
  </si>
  <si>
    <t>03-04-2022</t>
  </si>
  <si>
    <t>CUST-1527</t>
  </si>
  <si>
    <t>PROD-2527</t>
  </si>
  <si>
    <t>VID100528</t>
  </si>
  <si>
    <t>03-10-2022</t>
  </si>
  <si>
    <t>CUST-1528</t>
  </si>
  <si>
    <t>PROD-2528</t>
  </si>
  <si>
    <t>VID100529</t>
  </si>
  <si>
    <t>09-11-2022</t>
  </si>
  <si>
    <t>CUST-1529</t>
  </si>
  <si>
    <t>PROD-2529</t>
  </si>
  <si>
    <t>VID100530</t>
  </si>
  <si>
    <t>19-07-2025</t>
  </si>
  <si>
    <t>23-07-2025</t>
  </si>
  <si>
    <t>CUST-1530</t>
  </si>
  <si>
    <t>PROD-2530</t>
  </si>
  <si>
    <t>VID100531</t>
  </si>
  <si>
    <t>CUST-1531</t>
  </si>
  <si>
    <t>PROD-2531</t>
  </si>
  <si>
    <t>VID100532</t>
  </si>
  <si>
    <t>24-01-2022</t>
  </si>
  <si>
    <t>CUST-1532</t>
  </si>
  <si>
    <t>PROD-2532</t>
  </si>
  <si>
    <t>VID100533</t>
  </si>
  <si>
    <t>04-07-2022</t>
  </si>
  <si>
    <t>10-07-2022</t>
  </si>
  <si>
    <t>CUST-1533</t>
  </si>
  <si>
    <t>PROD-2533</t>
  </si>
  <si>
    <t>VID100534</t>
  </si>
  <si>
    <t>11-07-2022</t>
  </si>
  <si>
    <t>18-07-2022</t>
  </si>
  <si>
    <t>CUST-1534</t>
  </si>
  <si>
    <t>PROD-2534</t>
  </si>
  <si>
    <t>VID100535</t>
  </si>
  <si>
    <t>18-08-2021</t>
  </si>
  <si>
    <t>25-08-2021</t>
  </si>
  <si>
    <t>CUST-1535</t>
  </si>
  <si>
    <t>PROD-2535</t>
  </si>
  <si>
    <t>VID100536</t>
  </si>
  <si>
    <t>28-02-2021</t>
  </si>
  <si>
    <t>05-03-2021</t>
  </si>
  <si>
    <t>CUST-1536</t>
  </si>
  <si>
    <t>PROD-2536</t>
  </si>
  <si>
    <t>VID100537</t>
  </si>
  <si>
    <t>CUST-1537</t>
  </si>
  <si>
    <t>PROD-2537</t>
  </si>
  <si>
    <t>VID100538</t>
  </si>
  <si>
    <t>16-01-2021</t>
  </si>
  <si>
    <t>CUST-1538</t>
  </si>
  <si>
    <t>PROD-2538</t>
  </si>
  <si>
    <t>VID100539</t>
  </si>
  <si>
    <t>CUST-1539</t>
  </si>
  <si>
    <t>PROD-2539</t>
  </si>
  <si>
    <t>VID100540</t>
  </si>
  <si>
    <t>10-12-2021</t>
  </si>
  <si>
    <t>CUST-1540</t>
  </si>
  <si>
    <t>PROD-2540</t>
  </si>
  <si>
    <t>VID100541</t>
  </si>
  <si>
    <t>13-01-2021</t>
  </si>
  <si>
    <t>CUST-1541</t>
  </si>
  <si>
    <t>PROD-2541</t>
  </si>
  <si>
    <t>VID100542</t>
  </si>
  <si>
    <t>04-11-2025</t>
  </si>
  <si>
    <t>CUST-1542</t>
  </si>
  <si>
    <t>PROD-2542</t>
  </si>
  <si>
    <t>VID100543</t>
  </si>
  <si>
    <t>CUST-1543</t>
  </si>
  <si>
    <t>PROD-2543</t>
  </si>
  <si>
    <t>VID100544</t>
  </si>
  <si>
    <t>21-04-2025</t>
  </si>
  <si>
    <t>27-04-2025</t>
  </si>
  <si>
    <t>CUST-1544</t>
  </si>
  <si>
    <t>PROD-2544</t>
  </si>
  <si>
    <t>VID100545</t>
  </si>
  <si>
    <t>CUST-1545</t>
  </si>
  <si>
    <t>PROD-2545</t>
  </si>
  <si>
    <t>VID100546</t>
  </si>
  <si>
    <t>09-08-2024</t>
  </si>
  <si>
    <t>CUST-1546</t>
  </si>
  <si>
    <t>PROD-2546</t>
  </si>
  <si>
    <t>VID100547</t>
  </si>
  <si>
    <t>18-06-2025</t>
  </si>
  <si>
    <t>20-06-2025</t>
  </si>
  <si>
    <t>CUST-1547</t>
  </si>
  <si>
    <t>PROD-2547</t>
  </si>
  <si>
    <t>VID100548</t>
  </si>
  <si>
    <t>27-02-2023</t>
  </si>
  <si>
    <t>06-03-2023</t>
  </si>
  <si>
    <t>CUST-1548</t>
  </si>
  <si>
    <t>PROD-2548</t>
  </si>
  <si>
    <t>VID100549</t>
  </si>
  <si>
    <t>09-09-2023</t>
  </si>
  <si>
    <t>CUST-1549</t>
  </si>
  <si>
    <t>PROD-2549</t>
  </si>
  <si>
    <t>VID100550</t>
  </si>
  <si>
    <t>21-02-2021</t>
  </si>
  <si>
    <t>CUST-1550</t>
  </si>
  <si>
    <t>PROD-2550</t>
  </si>
  <si>
    <t>VID100551</t>
  </si>
  <si>
    <t>20-02-2023</t>
  </si>
  <si>
    <t>CUST-1551</t>
  </si>
  <si>
    <t>PROD-2551</t>
  </si>
  <si>
    <t>VID100552</t>
  </si>
  <si>
    <t>14-05-2025</t>
  </si>
  <si>
    <t>CUST-1552</t>
  </si>
  <si>
    <t>PROD-2552</t>
  </si>
  <si>
    <t>VID100553</t>
  </si>
  <si>
    <t>24-03-2021</t>
  </si>
  <si>
    <t>30-03-2021</t>
  </si>
  <si>
    <t>CUST-1553</t>
  </si>
  <si>
    <t>PROD-2553</t>
  </si>
  <si>
    <t>VID100554</t>
  </si>
  <si>
    <t>22-05-2024</t>
  </si>
  <si>
    <t>CUST-1554</t>
  </si>
  <si>
    <t>PROD-2554</t>
  </si>
  <si>
    <t>VID100555</t>
  </si>
  <si>
    <t>05-03-2024</t>
  </si>
  <si>
    <t>CUST-1555</t>
  </si>
  <si>
    <t>PROD-2555</t>
  </si>
  <si>
    <t>VID100556</t>
  </si>
  <si>
    <t>CUST-1556</t>
  </si>
  <si>
    <t>PROD-2556</t>
  </si>
  <si>
    <t>VID100557</t>
  </si>
  <si>
    <t>15-09-2023</t>
  </si>
  <si>
    <t>CUST-1557</t>
  </si>
  <si>
    <t>PROD-2557</t>
  </si>
  <si>
    <t>VID100558</t>
  </si>
  <si>
    <t>CUST-1558</t>
  </si>
  <si>
    <t>PROD-2558</t>
  </si>
  <si>
    <t>VID100559</t>
  </si>
  <si>
    <t>17-02-2024</t>
  </si>
  <si>
    <t>18-02-2024</t>
  </si>
  <si>
    <t>CUST-1559</t>
  </si>
  <si>
    <t>PROD-2559</t>
  </si>
  <si>
    <t>VID100560</t>
  </si>
  <si>
    <t>02-12-2025</t>
  </si>
  <si>
    <t>CUST-1560</t>
  </si>
  <si>
    <t>PROD-2560</t>
  </si>
  <si>
    <t>VID100561</t>
  </si>
  <si>
    <t>CUST-1561</t>
  </si>
  <si>
    <t>PROD-2561</t>
  </si>
  <si>
    <t>VID100562</t>
  </si>
  <si>
    <t>19-07-2021</t>
  </si>
  <si>
    <t>21-07-2021</t>
  </si>
  <si>
    <t>CUST-1562</t>
  </si>
  <si>
    <t>PROD-2562</t>
  </si>
  <si>
    <t>VID100563</t>
  </si>
  <si>
    <t>12-07-2022</t>
  </si>
  <si>
    <t>CUST-1563</t>
  </si>
  <si>
    <t>PROD-2563</t>
  </si>
  <si>
    <t>VID100564</t>
  </si>
  <si>
    <t>CUST-1564</t>
  </si>
  <si>
    <t>PROD-2564</t>
  </si>
  <si>
    <t>VID100565</t>
  </si>
  <si>
    <t>25-05-2021</t>
  </si>
  <si>
    <t>01-06-2021</t>
  </si>
  <si>
    <t>CUST-1565</t>
  </si>
  <si>
    <t>PROD-2565</t>
  </si>
  <si>
    <t>VID100566</t>
  </si>
  <si>
    <t>21-03-2024</t>
  </si>
  <si>
    <t>CUST-1566</t>
  </si>
  <si>
    <t>PROD-2566</t>
  </si>
  <si>
    <t>VID100567</t>
  </si>
  <si>
    <t>08-03-2022</t>
  </si>
  <si>
    <t>CUST-1567</t>
  </si>
  <si>
    <t>PROD-2567</t>
  </si>
  <si>
    <t>VID100568</t>
  </si>
  <si>
    <t>15-03-2021</t>
  </si>
  <si>
    <t>CUST-1568</t>
  </si>
  <si>
    <t>PROD-2568</t>
  </si>
  <si>
    <t>VID100569</t>
  </si>
  <si>
    <t>10-02-2022</t>
  </si>
  <si>
    <t>14-02-2022</t>
  </si>
  <si>
    <t>CUST-1569</t>
  </si>
  <si>
    <t>PROD-2569</t>
  </si>
  <si>
    <t>VID100570</t>
  </si>
  <si>
    <t>15-04-2022</t>
  </si>
  <si>
    <t>CUST-1570</t>
  </si>
  <si>
    <t>PROD-2570</t>
  </si>
  <si>
    <t>VID100571</t>
  </si>
  <si>
    <t>13-05-2025</t>
  </si>
  <si>
    <t>15-05-2025</t>
  </si>
  <si>
    <t>CUST-1571</t>
  </si>
  <si>
    <t>PROD-2571</t>
  </si>
  <si>
    <t>VID100572</t>
  </si>
  <si>
    <t>07-03-2023</t>
  </si>
  <si>
    <t>10-03-2023</t>
  </si>
  <si>
    <t>CUST-1572</t>
  </si>
  <si>
    <t>PROD-2572</t>
  </si>
  <si>
    <t>VID100573</t>
  </si>
  <si>
    <t>CUST-1573</t>
  </si>
  <si>
    <t>PROD-2573</t>
  </si>
  <si>
    <t>VID100574</t>
  </si>
  <si>
    <t>17-11-2025</t>
  </si>
  <si>
    <t>CUST-1574</t>
  </si>
  <si>
    <t>PROD-2574</t>
  </si>
  <si>
    <t>VID100575</t>
  </si>
  <si>
    <t>23-10-2023</t>
  </si>
  <si>
    <t>CUST-1575</t>
  </si>
  <si>
    <t>PROD-2575</t>
  </si>
  <si>
    <t>VID100576</t>
  </si>
  <si>
    <t>29-09-2025</t>
  </si>
  <si>
    <t>CUST-1576</t>
  </si>
  <si>
    <t>PROD-2576</t>
  </si>
  <si>
    <t>VID100577</t>
  </si>
  <si>
    <t>16-12-2023</t>
  </si>
  <si>
    <t>20-12-2023</t>
  </si>
  <si>
    <t>CUST-1577</t>
  </si>
  <si>
    <t>PROD-2577</t>
  </si>
  <si>
    <t>VID100578</t>
  </si>
  <si>
    <t>23-04-2023</t>
  </si>
  <si>
    <t>26-04-2023</t>
  </si>
  <si>
    <t>CUST-1578</t>
  </si>
  <si>
    <t>PROD-2578</t>
  </si>
  <si>
    <t>VID100579</t>
  </si>
  <si>
    <t>30-12-2024</t>
  </si>
  <si>
    <t>04-01-2025</t>
  </si>
  <si>
    <t>CUST-1579</t>
  </si>
  <si>
    <t>PROD-2579</t>
  </si>
  <si>
    <t>VID100580</t>
  </si>
  <si>
    <t>19-11-2022</t>
  </si>
  <si>
    <t>21-11-2022</t>
  </si>
  <si>
    <t>CUST-1580</t>
  </si>
  <si>
    <t>PROD-2580</t>
  </si>
  <si>
    <t>VID100581</t>
  </si>
  <si>
    <t>17-10-2021</t>
  </si>
  <si>
    <t>CUST-1581</t>
  </si>
  <si>
    <t>PROD-2581</t>
  </si>
  <si>
    <t>VID100582</t>
  </si>
  <si>
    <t>01-10-2024</t>
  </si>
  <si>
    <t>02-10-2024</t>
  </si>
  <si>
    <t>CUST-1582</t>
  </si>
  <si>
    <t>PROD-2582</t>
  </si>
  <si>
    <t>VID100583</t>
  </si>
  <si>
    <t>26-07-2025</t>
  </si>
  <si>
    <t>CUST-1583</t>
  </si>
  <si>
    <t>PROD-2583</t>
  </si>
  <si>
    <t>VID100584</t>
  </si>
  <si>
    <t>29-04-2024</t>
  </si>
  <si>
    <t>05-05-2024</t>
  </si>
  <si>
    <t>CUST-1584</t>
  </si>
  <si>
    <t>PROD-2584</t>
  </si>
  <si>
    <t>VID100585</t>
  </si>
  <si>
    <t>07-02-2024</t>
  </si>
  <si>
    <t>CUST-1585</t>
  </si>
  <si>
    <t>PROD-2585</t>
  </si>
  <si>
    <t>VID100586</t>
  </si>
  <si>
    <t>09-03-2022</t>
  </si>
  <si>
    <t>CUST-1586</t>
  </si>
  <si>
    <t>PROD-2586</t>
  </si>
  <si>
    <t>VID100587</t>
  </si>
  <si>
    <t>19-03-2022</t>
  </si>
  <si>
    <t>CUST-1587</t>
  </si>
  <si>
    <t>PROD-2587</t>
  </si>
  <si>
    <t>VID100588</t>
  </si>
  <si>
    <t>CUST-1588</t>
  </si>
  <si>
    <t>PROD-2588</t>
  </si>
  <si>
    <t>VID100589</t>
  </si>
  <si>
    <t>CUST-1589</t>
  </si>
  <si>
    <t>PROD-2589</t>
  </si>
  <si>
    <t>VID100590</t>
  </si>
  <si>
    <t>23-05-2021</t>
  </si>
  <si>
    <t>CUST-1590</t>
  </si>
  <si>
    <t>PROD-2590</t>
  </si>
  <si>
    <t>VID100591</t>
  </si>
  <si>
    <t>CUST-1591</t>
  </si>
  <si>
    <t>PROD-2591</t>
  </si>
  <si>
    <t>VID100592</t>
  </si>
  <si>
    <t>07-12-2022</t>
  </si>
  <si>
    <t>CUST-1592</t>
  </si>
  <si>
    <t>PROD-2592</t>
  </si>
  <si>
    <t>VID100593</t>
  </si>
  <si>
    <t>CUST-1593</t>
  </si>
  <si>
    <t>PROD-2593</t>
  </si>
  <si>
    <t>VID100594</t>
  </si>
  <si>
    <t>CUST-1594</t>
  </si>
  <si>
    <t>PROD-2594</t>
  </si>
  <si>
    <t>VID100595</t>
  </si>
  <si>
    <t>31-08-2023</t>
  </si>
  <si>
    <t>CUST-1595</t>
  </si>
  <si>
    <t>PROD-2595</t>
  </si>
  <si>
    <t>VID100596</t>
  </si>
  <si>
    <t>29-11-2024</t>
  </si>
  <si>
    <t>04-12-2024</t>
  </si>
  <si>
    <t>CUST-1596</t>
  </si>
  <si>
    <t>PROD-2596</t>
  </si>
  <si>
    <t>VID100597</t>
  </si>
  <si>
    <t>01-07-2024</t>
  </si>
  <si>
    <t>CUST-1597</t>
  </si>
  <si>
    <t>PROD-2597</t>
  </si>
  <si>
    <t>VID100598</t>
  </si>
  <si>
    <t>22-06-2024</t>
  </si>
  <si>
    <t>28-06-2024</t>
  </si>
  <si>
    <t>CUST-1598</t>
  </si>
  <si>
    <t>PROD-2598</t>
  </si>
  <si>
    <t>VID100599</t>
  </si>
  <si>
    <t>25-07-2021</t>
  </si>
  <si>
    <t>29-07-2021</t>
  </si>
  <si>
    <t>CUST-1599</t>
  </si>
  <si>
    <t>PROD-2599</t>
  </si>
  <si>
    <t>VID100600</t>
  </si>
  <si>
    <t>24-05-2021</t>
  </si>
  <si>
    <t>CUST-1600</t>
  </si>
  <si>
    <t>PROD-2600</t>
  </si>
  <si>
    <t>VID100601</t>
  </si>
  <si>
    <t>19-09-2025</t>
  </si>
  <si>
    <t>21-09-2025</t>
  </si>
  <si>
    <t>CUST-1601</t>
  </si>
  <si>
    <t>PROD-2601</t>
  </si>
  <si>
    <t>VID100602</t>
  </si>
  <si>
    <t>CUST-1602</t>
  </si>
  <si>
    <t>PROD-2602</t>
  </si>
  <si>
    <t>VID100603</t>
  </si>
  <si>
    <t>08-01-2025</t>
  </si>
  <si>
    <t>CUST-1603</t>
  </si>
  <si>
    <t>PROD-2603</t>
  </si>
  <si>
    <t>VID100604</t>
  </si>
  <si>
    <t>CUST-1604</t>
  </si>
  <si>
    <t>PROD-2604</t>
  </si>
  <si>
    <t>VID100605</t>
  </si>
  <si>
    <t>19-12-2025</t>
  </si>
  <si>
    <t>21-12-2025</t>
  </si>
  <si>
    <t>CUST-1605</t>
  </si>
  <si>
    <t>PROD-2605</t>
  </si>
  <si>
    <t>VID100606</t>
  </si>
  <si>
    <t>CUST-1606</t>
  </si>
  <si>
    <t>PROD-2606</t>
  </si>
  <si>
    <t>VID100607</t>
  </si>
  <si>
    <t>20-01-2021</t>
  </si>
  <si>
    <t>CUST-1607</t>
  </si>
  <si>
    <t>PROD-2607</t>
  </si>
  <si>
    <t>VID100608</t>
  </si>
  <si>
    <t>CUST-1608</t>
  </si>
  <si>
    <t>PROD-2608</t>
  </si>
  <si>
    <t>VID100609</t>
  </si>
  <si>
    <t>CUST-1609</t>
  </si>
  <si>
    <t>PROD-2609</t>
  </si>
  <si>
    <t>VID100610</t>
  </si>
  <si>
    <t>03-05-2021</t>
  </si>
  <si>
    <t>CUST-1610</t>
  </si>
  <si>
    <t>PROD-2610</t>
  </si>
  <si>
    <t>VID100611</t>
  </si>
  <si>
    <t>CUST-1611</t>
  </si>
  <si>
    <t>PROD-2611</t>
  </si>
  <si>
    <t>VID100612</t>
  </si>
  <si>
    <t>10-02-2023</t>
  </si>
  <si>
    <t>CUST-1612</t>
  </si>
  <si>
    <t>PROD-2612</t>
  </si>
  <si>
    <t>VID100613</t>
  </si>
  <si>
    <t>16-05-2021</t>
  </si>
  <si>
    <t>CUST-1613</t>
  </si>
  <si>
    <t>PROD-2613</t>
  </si>
  <si>
    <t>VID100614</t>
  </si>
  <si>
    <t>09-01-2025</t>
  </si>
  <si>
    <t>15-01-2025</t>
  </si>
  <si>
    <t>CUST-1614</t>
  </si>
  <si>
    <t>PROD-2614</t>
  </si>
  <si>
    <t>VID100615</t>
  </si>
  <si>
    <t>01-03-2025</t>
  </si>
  <si>
    <t>CUST-1615</t>
  </si>
  <si>
    <t>PROD-2615</t>
  </si>
  <si>
    <t>VID100616</t>
  </si>
  <si>
    <t>17-12-2023</t>
  </si>
  <si>
    <t>22-12-2023</t>
  </si>
  <si>
    <t>CUST-1616</t>
  </si>
  <si>
    <t>PROD-2616</t>
  </si>
  <si>
    <t>VID100617</t>
  </si>
  <si>
    <t>31-01-2021</t>
  </si>
  <si>
    <t>CUST-1617</t>
  </si>
  <si>
    <t>PROD-2617</t>
  </si>
  <si>
    <t>VID100618</t>
  </si>
  <si>
    <t>24-10-2023</t>
  </si>
  <si>
    <t>CUST-1618</t>
  </si>
  <si>
    <t>PROD-2618</t>
  </si>
  <si>
    <t>VID100619</t>
  </si>
  <si>
    <t>02-09-2025</t>
  </si>
  <si>
    <t>07-09-2025</t>
  </si>
  <si>
    <t>CUST-1619</t>
  </si>
  <si>
    <t>PROD-2619</t>
  </si>
  <si>
    <t>VID100620</t>
  </si>
  <si>
    <t>CUST-1620</t>
  </si>
  <si>
    <t>PROD-2620</t>
  </si>
  <si>
    <t>VID100621</t>
  </si>
  <si>
    <t>17-06-2023</t>
  </si>
  <si>
    <t>CUST-1621</t>
  </si>
  <si>
    <t>PROD-2621</t>
  </si>
  <si>
    <t>VID100622</t>
  </si>
  <si>
    <t>03-03-2025</t>
  </si>
  <si>
    <t>CUST-1622</t>
  </si>
  <si>
    <t>PROD-2622</t>
  </si>
  <si>
    <t>VID100623</t>
  </si>
  <si>
    <t>CUST-1623</t>
  </si>
  <si>
    <t>PROD-2623</t>
  </si>
  <si>
    <t>VID100624</t>
  </si>
  <si>
    <t>03-02-2021</t>
  </si>
  <si>
    <t>05-02-2021</t>
  </si>
  <si>
    <t>CUST-1624</t>
  </si>
  <si>
    <t>PROD-2624</t>
  </si>
  <si>
    <t>VID100625</t>
  </si>
  <si>
    <t>05-10-2023</t>
  </si>
  <si>
    <t>07-10-2023</t>
  </si>
  <si>
    <t>CUST-1625</t>
  </si>
  <si>
    <t>PROD-2625</t>
  </si>
  <si>
    <t>VID100626</t>
  </si>
  <si>
    <t>02-04-2023</t>
  </si>
  <si>
    <t>CUST-1626</t>
  </si>
  <si>
    <t>PROD-2626</t>
  </si>
  <si>
    <t>VID100627</t>
  </si>
  <si>
    <t>17-08-2022</t>
  </si>
  <si>
    <t>CUST-1627</t>
  </si>
  <si>
    <t>PROD-2627</t>
  </si>
  <si>
    <t>VID100628</t>
  </si>
  <si>
    <t>18-04-2022</t>
  </si>
  <si>
    <t>CUST-1628</t>
  </si>
  <si>
    <t>PROD-2628</t>
  </si>
  <si>
    <t>VID100629</t>
  </si>
  <si>
    <t>CUST-1629</t>
  </si>
  <si>
    <t>PROD-2629</t>
  </si>
  <si>
    <t>VID100630</t>
  </si>
  <si>
    <t>08-11-2024</t>
  </si>
  <si>
    <t>CUST-1630</t>
  </si>
  <si>
    <t>PROD-2630</t>
  </si>
  <si>
    <t>VID100631</t>
  </si>
  <si>
    <t>10-05-2024</t>
  </si>
  <si>
    <t>15-05-2024</t>
  </si>
  <si>
    <t>CUST-1631</t>
  </si>
  <si>
    <t>PROD-2631</t>
  </si>
  <si>
    <t>VID100632</t>
  </si>
  <si>
    <t>24-03-2023</t>
  </si>
  <si>
    <t>CUST-1632</t>
  </si>
  <si>
    <t>PROD-2632</t>
  </si>
  <si>
    <t>VID100633</t>
  </si>
  <si>
    <t>12-11-2022</t>
  </si>
  <si>
    <t>CUST-1633</t>
  </si>
  <si>
    <t>PROD-2633</t>
  </si>
  <si>
    <t>VID100634</t>
  </si>
  <si>
    <t>03-09-2021</t>
  </si>
  <si>
    <t>CUST-1634</t>
  </si>
  <si>
    <t>PROD-2634</t>
  </si>
  <si>
    <t>VID100635</t>
  </si>
  <si>
    <t>22-08-2022</t>
  </si>
  <si>
    <t>CUST-1635</t>
  </si>
  <si>
    <t>PROD-2635</t>
  </si>
  <si>
    <t>VID100636</t>
  </si>
  <si>
    <t>07-03-2025</t>
  </si>
  <si>
    <t>CUST-1636</t>
  </si>
  <si>
    <t>PROD-2636</t>
  </si>
  <si>
    <t>VID100637</t>
  </si>
  <si>
    <t>CUST-1637</t>
  </si>
  <si>
    <t>PROD-2637</t>
  </si>
  <si>
    <t>VID100638</t>
  </si>
  <si>
    <t>CUST-1638</t>
  </si>
  <si>
    <t>PROD-2638</t>
  </si>
  <si>
    <t>VID100639</t>
  </si>
  <si>
    <t>CUST-1639</t>
  </si>
  <si>
    <t>PROD-2639</t>
  </si>
  <si>
    <t>VID100640</t>
  </si>
  <si>
    <t>05-09-2025</t>
  </si>
  <si>
    <t>CUST-1640</t>
  </si>
  <si>
    <t>PROD-2640</t>
  </si>
  <si>
    <t>VID100641</t>
  </si>
  <si>
    <t>11-10-2021</t>
  </si>
  <si>
    <t>CUST-1641</t>
  </si>
  <si>
    <t>PROD-2641</t>
  </si>
  <si>
    <t>VID100642</t>
  </si>
  <si>
    <t>CUST-1642</t>
  </si>
  <si>
    <t>PROD-2642</t>
  </si>
  <si>
    <t>VID100643</t>
  </si>
  <si>
    <t>24-09-2021</t>
  </si>
  <si>
    <t>26-09-2021</t>
  </si>
  <si>
    <t>CUST-1643</t>
  </si>
  <si>
    <t>PROD-2643</t>
  </si>
  <si>
    <t>VID100644</t>
  </si>
  <si>
    <t>10-06-2021</t>
  </si>
  <si>
    <t>17-06-2021</t>
  </si>
  <si>
    <t>CUST-1644</t>
  </si>
  <si>
    <t>PROD-2644</t>
  </si>
  <si>
    <t>VID100645</t>
  </si>
  <si>
    <t>20-11-2021</t>
  </si>
  <si>
    <t>CUST-1645</t>
  </si>
  <si>
    <t>PROD-2645</t>
  </si>
  <si>
    <t>VID100646</t>
  </si>
  <si>
    <t>28-06-2022</t>
  </si>
  <si>
    <t>02-07-2022</t>
  </si>
  <si>
    <t>CUST-1646</t>
  </si>
  <si>
    <t>PROD-2646</t>
  </si>
  <si>
    <t>VID100647</t>
  </si>
  <si>
    <t>28-07-2024</t>
  </si>
  <si>
    <t>CUST-1647</t>
  </si>
  <si>
    <t>PROD-2647</t>
  </si>
  <si>
    <t>VID100648</t>
  </si>
  <si>
    <t>CUST-1648</t>
  </si>
  <si>
    <t>PROD-2648</t>
  </si>
  <si>
    <t>VID100649</t>
  </si>
  <si>
    <t>16-07-2025</t>
  </si>
  <si>
    <t>CUST-1649</t>
  </si>
  <si>
    <t>PROD-2649</t>
  </si>
  <si>
    <t>VID100650</t>
  </si>
  <si>
    <t>06-04-2021</t>
  </si>
  <si>
    <t>CUST-1650</t>
  </si>
  <si>
    <t>PROD-2650</t>
  </si>
  <si>
    <t>VID100651</t>
  </si>
  <si>
    <t>CUST-1651</t>
  </si>
  <si>
    <t>PROD-2651</t>
  </si>
  <si>
    <t>VID100652</t>
  </si>
  <si>
    <t>13-01-2024</t>
  </si>
  <si>
    <t>CUST-1652</t>
  </si>
  <si>
    <t>PROD-2652</t>
  </si>
  <si>
    <t>VID100653</t>
  </si>
  <si>
    <t>03-12-2021</t>
  </si>
  <si>
    <t>CUST-1653</t>
  </si>
  <si>
    <t>PROD-2653</t>
  </si>
  <si>
    <t>VID100654</t>
  </si>
  <si>
    <t>26-10-2024</t>
  </si>
  <si>
    <t>CUST-1654</t>
  </si>
  <si>
    <t>PROD-2654</t>
  </si>
  <si>
    <t>VID100655</t>
  </si>
  <si>
    <t>CUST-1655</t>
  </si>
  <si>
    <t>PROD-2655</t>
  </si>
  <si>
    <t>VID100656</t>
  </si>
  <si>
    <t>CUST-1656</t>
  </si>
  <si>
    <t>PROD-2656</t>
  </si>
  <si>
    <t>VID100657</t>
  </si>
  <si>
    <t>16-03-2023</t>
  </si>
  <si>
    <t>17-03-2023</t>
  </si>
  <si>
    <t>CUST-1657</t>
  </si>
  <si>
    <t>PROD-2657</t>
  </si>
  <si>
    <t>VID100658</t>
  </si>
  <si>
    <t>27-05-2022</t>
  </si>
  <si>
    <t>CUST-1658</t>
  </si>
  <si>
    <t>PROD-2658</t>
  </si>
  <si>
    <t>VID100659</t>
  </si>
  <si>
    <t>CUST-1659</t>
  </si>
  <si>
    <t>PROD-2659</t>
  </si>
  <si>
    <t>VID100660</t>
  </si>
  <si>
    <t>CUST-1660</t>
  </si>
  <si>
    <t>PROD-2660</t>
  </si>
  <si>
    <t>VID100661</t>
  </si>
  <si>
    <t>19-01-2024</t>
  </si>
  <si>
    <t>24-01-2024</t>
  </si>
  <si>
    <t>CUST-1661</t>
  </si>
  <si>
    <t>PROD-2661</t>
  </si>
  <si>
    <t>VID100662</t>
  </si>
  <si>
    <t>CUST-1662</t>
  </si>
  <si>
    <t>PROD-2662</t>
  </si>
  <si>
    <t>VID100663</t>
  </si>
  <si>
    <t>11-06-2022</t>
  </si>
  <si>
    <t>CUST-1663</t>
  </si>
  <si>
    <t>PROD-2663</t>
  </si>
  <si>
    <t>VID100664</t>
  </si>
  <si>
    <t>24-10-2024</t>
  </si>
  <si>
    <t>25-10-2024</t>
  </si>
  <si>
    <t>CUST-1664</t>
  </si>
  <si>
    <t>PROD-2664</t>
  </si>
  <si>
    <t>VID100665</t>
  </si>
  <si>
    <t>25-03-2024</t>
  </si>
  <si>
    <t>CUST-1665</t>
  </si>
  <si>
    <t>PROD-2665</t>
  </si>
  <si>
    <t>VID100666</t>
  </si>
  <si>
    <t>19-02-2021</t>
  </si>
  <si>
    <t>26-02-2021</t>
  </si>
  <si>
    <t>CUST-1666</t>
  </si>
  <si>
    <t>PROD-2666</t>
  </si>
  <si>
    <t>VID100667</t>
  </si>
  <si>
    <t>23-10-2025</t>
  </si>
  <si>
    <t>CUST-1667</t>
  </si>
  <si>
    <t>PROD-2667</t>
  </si>
  <si>
    <t>VID100668</t>
  </si>
  <si>
    <t>CUST-1668</t>
  </si>
  <si>
    <t>PROD-2668</t>
  </si>
  <si>
    <t>VID100669</t>
  </si>
  <si>
    <t>CUST-1669</t>
  </si>
  <si>
    <t>PROD-2669</t>
  </si>
  <si>
    <t>VID100670</t>
  </si>
  <si>
    <t>24-03-2025</t>
  </si>
  <si>
    <t>CUST-1670</t>
  </si>
  <si>
    <t>PROD-2670</t>
  </si>
  <si>
    <t>VID100671</t>
  </si>
  <si>
    <t>01-02-2021</t>
  </si>
  <si>
    <t>CUST-1671</t>
  </si>
  <si>
    <t>PROD-2671</t>
  </si>
  <si>
    <t>VID100672</t>
  </si>
  <si>
    <t>CUST-1672</t>
  </si>
  <si>
    <t>PROD-2672</t>
  </si>
  <si>
    <t>VID100673</t>
  </si>
  <si>
    <t>CUST-1673</t>
  </si>
  <si>
    <t>PROD-2673</t>
  </si>
  <si>
    <t>VID100674</t>
  </si>
  <si>
    <t>CUST-1674</t>
  </si>
  <si>
    <t>PROD-2674</t>
  </si>
  <si>
    <t>VID100675</t>
  </si>
  <si>
    <t>CUST-1675</t>
  </si>
  <si>
    <t>PROD-2675</t>
  </si>
  <si>
    <t>VID100676</t>
  </si>
  <si>
    <t>15-02-2021</t>
  </si>
  <si>
    <t>CUST-1676</t>
  </si>
  <si>
    <t>PROD-2676</t>
  </si>
  <si>
    <t>VID100677</t>
  </si>
  <si>
    <t>04-12-2023</t>
  </si>
  <si>
    <t>CUST-1677</t>
  </si>
  <si>
    <t>PROD-2677</t>
  </si>
  <si>
    <t>VID100678</t>
  </si>
  <si>
    <t>CUST-1678</t>
  </si>
  <si>
    <t>PROD-2678</t>
  </si>
  <si>
    <t>VID100679</t>
  </si>
  <si>
    <t>CUST-1679</t>
  </si>
  <si>
    <t>PROD-2679</t>
  </si>
  <si>
    <t>VID100680</t>
  </si>
  <si>
    <t>30-12-2025</t>
  </si>
  <si>
    <t>CUST-1680</t>
  </si>
  <si>
    <t>PROD-2680</t>
  </si>
  <si>
    <t>VID100681</t>
  </si>
  <si>
    <t>26-03-2025</t>
  </si>
  <si>
    <t>CUST-1681</t>
  </si>
  <si>
    <t>PROD-2681</t>
  </si>
  <si>
    <t>VID100682</t>
  </si>
  <si>
    <t>CUST-1682</t>
  </si>
  <si>
    <t>PROD-2682</t>
  </si>
  <si>
    <t>VID100683</t>
  </si>
  <si>
    <t>08-12-2023</t>
  </si>
  <si>
    <t>12-12-2023</t>
  </si>
  <si>
    <t>CUST-1683</t>
  </si>
  <si>
    <t>PROD-2683</t>
  </si>
  <si>
    <t>VID100684</t>
  </si>
  <si>
    <t>CUST-1684</t>
  </si>
  <si>
    <t>PROD-2684</t>
  </si>
  <si>
    <t>VID100685</t>
  </si>
  <si>
    <t>25-11-2024</t>
  </si>
  <si>
    <t>CUST-1685</t>
  </si>
  <si>
    <t>PROD-2685</t>
  </si>
  <si>
    <t>VID100686</t>
  </si>
  <si>
    <t>21-09-2023</t>
  </si>
  <si>
    <t>25-09-2023</t>
  </si>
  <si>
    <t>CUST-1686</t>
  </si>
  <si>
    <t>PROD-2686</t>
  </si>
  <si>
    <t>VID100687</t>
  </si>
  <si>
    <t>CUST-1687</t>
  </si>
  <si>
    <t>PROD-2687</t>
  </si>
  <si>
    <t>VID100688</t>
  </si>
  <si>
    <t>13-05-2021</t>
  </si>
  <si>
    <t>CUST-1688</t>
  </si>
  <si>
    <t>PROD-2688</t>
  </si>
  <si>
    <t>VID100689</t>
  </si>
  <si>
    <t>14-06-2024</t>
  </si>
  <si>
    <t>21-06-2024</t>
  </si>
  <si>
    <t>CUST-1689</t>
  </si>
  <si>
    <t>PROD-2689</t>
  </si>
  <si>
    <t>VID100690</t>
  </si>
  <si>
    <t>15-06-2022</t>
  </si>
  <si>
    <t>18-06-2022</t>
  </si>
  <si>
    <t>CUST-1690</t>
  </si>
  <si>
    <t>PROD-2690</t>
  </si>
  <si>
    <t>VID100691</t>
  </si>
  <si>
    <t>18-07-2021</t>
  </si>
  <si>
    <t>CUST-1691</t>
  </si>
  <si>
    <t>PROD-2691</t>
  </si>
  <si>
    <t>VID100692</t>
  </si>
  <si>
    <t>07-10-2021</t>
  </si>
  <si>
    <t>CUST-1692</t>
  </si>
  <si>
    <t>PROD-2692</t>
  </si>
  <si>
    <t>VID100693</t>
  </si>
  <si>
    <t>03-10-2023</t>
  </si>
  <si>
    <t>CUST-1693</t>
  </si>
  <si>
    <t>PROD-2693</t>
  </si>
  <si>
    <t>VID100694</t>
  </si>
  <si>
    <t>23-02-2021</t>
  </si>
  <si>
    <t>CUST-1694</t>
  </si>
  <si>
    <t>PROD-2694</t>
  </si>
  <si>
    <t>VID100695</t>
  </si>
  <si>
    <t>11-02-2021</t>
  </si>
  <si>
    <t>CUST-1695</t>
  </si>
  <si>
    <t>PROD-2695</t>
  </si>
  <si>
    <t>VID100696</t>
  </si>
  <si>
    <t>23-02-2023</t>
  </si>
  <si>
    <t>CUST-1696</t>
  </si>
  <si>
    <t>PROD-2696</t>
  </si>
  <si>
    <t>VID100697</t>
  </si>
  <si>
    <t>11-05-2022</t>
  </si>
  <si>
    <t>CUST-1697</t>
  </si>
  <si>
    <t>PROD-2697</t>
  </si>
  <si>
    <t>VID100698</t>
  </si>
  <si>
    <t>04-11-2022</t>
  </si>
  <si>
    <t>06-11-2022</t>
  </si>
  <si>
    <t>CUST-1698</t>
  </si>
  <si>
    <t>PROD-2698</t>
  </si>
  <si>
    <t>VID100699</t>
  </si>
  <si>
    <t>24-06-2022</t>
  </si>
  <si>
    <t>25-06-2022</t>
  </si>
  <si>
    <t>CUST-1699</t>
  </si>
  <si>
    <t>PROD-2699</t>
  </si>
  <si>
    <t>VID100700</t>
  </si>
  <si>
    <t>29-04-2022</t>
  </si>
  <si>
    <t>CUST-1700</t>
  </si>
  <si>
    <t>PROD-2700</t>
  </si>
  <si>
    <t>VID100701</t>
  </si>
  <si>
    <t>CUST-1701</t>
  </si>
  <si>
    <t>PROD-2701</t>
  </si>
  <si>
    <t>VID100702</t>
  </si>
  <si>
    <t>10-08-2023</t>
  </si>
  <si>
    <t>15-08-2023</t>
  </si>
  <si>
    <t>CUST-1702</t>
  </si>
  <si>
    <t>PROD-2702</t>
  </si>
  <si>
    <t>VID100703</t>
  </si>
  <si>
    <t>CUST-1703</t>
  </si>
  <si>
    <t>PROD-2703</t>
  </si>
  <si>
    <t>VID100704</t>
  </si>
  <si>
    <t>03-09-2023</t>
  </si>
  <si>
    <t>CUST-1704</t>
  </si>
  <si>
    <t>PROD-2704</t>
  </si>
  <si>
    <t>VID100705</t>
  </si>
  <si>
    <t>26-12-2023</t>
  </si>
  <si>
    <t>CUST-1705</t>
  </si>
  <si>
    <t>PROD-2705</t>
  </si>
  <si>
    <t>VID100706</t>
  </si>
  <si>
    <t>15-07-2022</t>
  </si>
  <si>
    <t>CUST-1706</t>
  </si>
  <si>
    <t>PROD-2706</t>
  </si>
  <si>
    <t>VID100707</t>
  </si>
  <si>
    <t>10-11-2023</t>
  </si>
  <si>
    <t>CUST-1707</t>
  </si>
  <si>
    <t>PROD-2707</t>
  </si>
  <si>
    <t>VID100708</t>
  </si>
  <si>
    <t>05-04-2023</t>
  </si>
  <si>
    <t>CUST-1708</t>
  </si>
  <si>
    <t>PROD-2708</t>
  </si>
  <si>
    <t>VID100709</t>
  </si>
  <si>
    <t>09-06-2025</t>
  </si>
  <si>
    <t>CUST-1709</t>
  </si>
  <si>
    <t>PROD-2709</t>
  </si>
  <si>
    <t>VID100710</t>
  </si>
  <si>
    <t>14-08-2024</t>
  </si>
  <si>
    <t>17-08-2024</t>
  </si>
  <si>
    <t>CUST-1710</t>
  </si>
  <si>
    <t>PROD-2710</t>
  </si>
  <si>
    <t>VID100711</t>
  </si>
  <si>
    <t>15-04-2021</t>
  </si>
  <si>
    <t>17-04-2021</t>
  </si>
  <si>
    <t>CUST-1711</t>
  </si>
  <si>
    <t>PROD-2711</t>
  </si>
  <si>
    <t>VID100712</t>
  </si>
  <si>
    <t>22-04-2022</t>
  </si>
  <si>
    <t>CUST-1712</t>
  </si>
  <si>
    <t>PROD-2712</t>
  </si>
  <si>
    <t>VID100713</t>
  </si>
  <si>
    <t>31-10-2023</t>
  </si>
  <si>
    <t>CUST-1713</t>
  </si>
  <si>
    <t>PROD-2713</t>
  </si>
  <si>
    <t>VID100714</t>
  </si>
  <si>
    <t>15-06-2024</t>
  </si>
  <si>
    <t>16-06-2024</t>
  </si>
  <si>
    <t>CUST-1714</t>
  </si>
  <si>
    <t>PROD-2714</t>
  </si>
  <si>
    <t>VID100715</t>
  </si>
  <si>
    <t>23-10-2022</t>
  </si>
  <si>
    <t>26-10-2022</t>
  </si>
  <si>
    <t>CUST-1715</t>
  </si>
  <si>
    <t>PROD-2715</t>
  </si>
  <si>
    <t>VID100716</t>
  </si>
  <si>
    <t>28-06-2023</t>
  </si>
  <si>
    <t>30-06-2023</t>
  </si>
  <si>
    <t>CUST-1716</t>
  </si>
  <si>
    <t>PROD-2716</t>
  </si>
  <si>
    <t>VID100717</t>
  </si>
  <si>
    <t>CUST-1717</t>
  </si>
  <si>
    <t>PROD-2717</t>
  </si>
  <si>
    <t>VID100718</t>
  </si>
  <si>
    <t>03-11-2023</t>
  </si>
  <si>
    <t>CUST-1718</t>
  </si>
  <si>
    <t>PROD-2718</t>
  </si>
  <si>
    <t>VID100719</t>
  </si>
  <si>
    <t>06-04-2023</t>
  </si>
  <si>
    <t>CUST-1719</t>
  </si>
  <si>
    <t>PROD-2719</t>
  </si>
  <si>
    <t>VID100720</t>
  </si>
  <si>
    <t>12-07-2025</t>
  </si>
  <si>
    <t>CUST-1720</t>
  </si>
  <si>
    <t>PROD-2720</t>
  </si>
  <si>
    <t>VID100721</t>
  </si>
  <si>
    <t>07-10-2024</t>
  </si>
  <si>
    <t>CUST-1721</t>
  </si>
  <si>
    <t>PROD-2721</t>
  </si>
  <si>
    <t>VID100722</t>
  </si>
  <si>
    <t>28-02-2023</t>
  </si>
  <si>
    <t>CUST-1722</t>
  </si>
  <si>
    <t>PROD-2722</t>
  </si>
  <si>
    <t>VID100723</t>
  </si>
  <si>
    <t>CUST-1723</t>
  </si>
  <si>
    <t>PROD-2723</t>
  </si>
  <si>
    <t>VID100724</t>
  </si>
  <si>
    <t>08-08-2022</t>
  </si>
  <si>
    <t>CUST-1724</t>
  </si>
  <si>
    <t>PROD-2724</t>
  </si>
  <si>
    <t>VID100725</t>
  </si>
  <si>
    <t>12-04-2022</t>
  </si>
  <si>
    <t>CUST-1725</t>
  </si>
  <si>
    <t>PROD-2725</t>
  </si>
  <si>
    <t>VID100726</t>
  </si>
  <si>
    <t>CUST-1726</t>
  </si>
  <si>
    <t>PROD-2726</t>
  </si>
  <si>
    <t>VID100727</t>
  </si>
  <si>
    <t>23-05-2022</t>
  </si>
  <si>
    <t>CUST-1727</t>
  </si>
  <si>
    <t>PROD-2727</t>
  </si>
  <si>
    <t>VID100728</t>
  </si>
  <si>
    <t>13-12-2021</t>
  </si>
  <si>
    <t>CUST-1728</t>
  </si>
  <si>
    <t>PROD-2728</t>
  </si>
  <si>
    <t>VID100729</t>
  </si>
  <si>
    <t>CUST-1729</t>
  </si>
  <si>
    <t>PROD-2729</t>
  </si>
  <si>
    <t>VID100730</t>
  </si>
  <si>
    <t>12-05-2024</t>
  </si>
  <si>
    <t>CUST-1730</t>
  </si>
  <si>
    <t>PROD-2730</t>
  </si>
  <si>
    <t>VID100731</t>
  </si>
  <si>
    <t>CUST-1731</t>
  </si>
  <si>
    <t>PROD-2731</t>
  </si>
  <si>
    <t>VID100732</t>
  </si>
  <si>
    <t>CUST-1732</t>
  </si>
  <si>
    <t>PROD-2732</t>
  </si>
  <si>
    <t>VID100733</t>
  </si>
  <si>
    <t>20-02-2025</t>
  </si>
  <si>
    <t>23-02-2025</t>
  </si>
  <si>
    <t>CUST-1733</t>
  </si>
  <si>
    <t>PROD-2733</t>
  </si>
  <si>
    <t>VID100734</t>
  </si>
  <si>
    <t>08-02-2023</t>
  </si>
  <si>
    <t>CUST-1734</t>
  </si>
  <si>
    <t>PROD-2734</t>
  </si>
  <si>
    <t>VID100735</t>
  </si>
  <si>
    <t>CUST-1735</t>
  </si>
  <si>
    <t>PROD-2735</t>
  </si>
  <si>
    <t>VID100736</t>
  </si>
  <si>
    <t>03-11-2021</t>
  </si>
  <si>
    <t>CUST-1736</t>
  </si>
  <si>
    <t>PROD-2736</t>
  </si>
  <si>
    <t>VID100737</t>
  </si>
  <si>
    <t>CUST-1737</t>
  </si>
  <si>
    <t>PROD-2737</t>
  </si>
  <si>
    <t>VID100738</t>
  </si>
  <si>
    <t>06-01-2024</t>
  </si>
  <si>
    <t>12-01-2024</t>
  </si>
  <si>
    <t>CUST-1738</t>
  </si>
  <si>
    <t>PROD-2738</t>
  </si>
  <si>
    <t>VID100739</t>
  </si>
  <si>
    <t>09-06-2022</t>
  </si>
  <si>
    <t>CUST-1739</t>
  </si>
  <si>
    <t>PROD-2739</t>
  </si>
  <si>
    <t>VID100740</t>
  </si>
  <si>
    <t>12-10-2021</t>
  </si>
  <si>
    <t>CUST-1740</t>
  </si>
  <si>
    <t>PROD-2740</t>
  </si>
  <si>
    <t>VID100741</t>
  </si>
  <si>
    <t>11-08-2025</t>
  </si>
  <si>
    <t>CUST-1741</t>
  </si>
  <si>
    <t>PROD-2741</t>
  </si>
  <si>
    <t>VID100742</t>
  </si>
  <si>
    <t>CUST-1742</t>
  </si>
  <si>
    <t>PROD-2742</t>
  </si>
  <si>
    <t>VID100743</t>
  </si>
  <si>
    <t>24-05-2024</t>
  </si>
  <si>
    <t>28-05-2024</t>
  </si>
  <si>
    <t>CUST-1743</t>
  </si>
  <si>
    <t>PROD-2743</t>
  </si>
  <si>
    <t>VID100744</t>
  </si>
  <si>
    <t>13-06-2023</t>
  </si>
  <si>
    <t>20-06-2023</t>
  </si>
  <si>
    <t>CUST-1744</t>
  </si>
  <si>
    <t>PROD-2744</t>
  </si>
  <si>
    <t>VID100745</t>
  </si>
  <si>
    <t>30-05-2024</t>
  </si>
  <si>
    <t>CUST-1745</t>
  </si>
  <si>
    <t>PROD-2745</t>
  </si>
  <si>
    <t>VID100746</t>
  </si>
  <si>
    <t>01-11-2025</t>
  </si>
  <si>
    <t>CUST-1746</t>
  </si>
  <si>
    <t>PROD-2746</t>
  </si>
  <si>
    <t>VID100747</t>
  </si>
  <si>
    <t>14-06-2021</t>
  </si>
  <si>
    <t>CUST-1747</t>
  </si>
  <si>
    <t>PROD-2747</t>
  </si>
  <si>
    <t>VID100748</t>
  </si>
  <si>
    <t>14-09-2021</t>
  </si>
  <si>
    <t>17-09-2021</t>
  </si>
  <si>
    <t>CUST-1748</t>
  </si>
  <si>
    <t>PROD-2748</t>
  </si>
  <si>
    <t>VID100749</t>
  </si>
  <si>
    <t>CUST-1749</t>
  </si>
  <si>
    <t>PROD-2749</t>
  </si>
  <si>
    <t>VID100750</t>
  </si>
  <si>
    <t>CUST-1750</t>
  </si>
  <si>
    <t>PROD-2750</t>
  </si>
  <si>
    <t>VID100751</t>
  </si>
  <si>
    <t>26-11-2024</t>
  </si>
  <si>
    <t>CUST-1751</t>
  </si>
  <si>
    <t>PROD-2751</t>
  </si>
  <si>
    <t>VID100752</t>
  </si>
  <si>
    <t>CUST-1752</t>
  </si>
  <si>
    <t>PROD-2752</t>
  </si>
  <si>
    <t>VID100753</t>
  </si>
  <si>
    <t>CUST-1753</t>
  </si>
  <si>
    <t>PROD-2753</t>
  </si>
  <si>
    <t>VID100754</t>
  </si>
  <si>
    <t>30-07-2021</t>
  </si>
  <si>
    <t>CUST-1754</t>
  </si>
  <si>
    <t>PROD-2754</t>
  </si>
  <si>
    <t>VID100755</t>
  </si>
  <si>
    <t>13-12-2024</t>
  </si>
  <si>
    <t>18-12-2024</t>
  </si>
  <si>
    <t>CUST-1755</t>
  </si>
  <si>
    <t>PROD-2755</t>
  </si>
  <si>
    <t>VID100756</t>
  </si>
  <si>
    <t>25-11-2025</t>
  </si>
  <si>
    <t>28-11-2025</t>
  </si>
  <si>
    <t>CUST-1756</t>
  </si>
  <si>
    <t>PROD-2756</t>
  </si>
  <si>
    <t>VID100757</t>
  </si>
  <si>
    <t>CUST-1757</t>
  </si>
  <si>
    <t>PROD-2757</t>
  </si>
  <si>
    <t>VID100758</t>
  </si>
  <si>
    <t>CUST-1758</t>
  </si>
  <si>
    <t>PROD-2758</t>
  </si>
  <si>
    <t>VID100759</t>
  </si>
  <si>
    <t>CUST-1759</t>
  </si>
  <si>
    <t>PROD-2759</t>
  </si>
  <si>
    <t>VID100760</t>
  </si>
  <si>
    <t>25-02-2023</t>
  </si>
  <si>
    <t>02-03-2023</t>
  </si>
  <si>
    <t>CUST-1760</t>
  </si>
  <si>
    <t>PROD-2760</t>
  </si>
  <si>
    <t>VID100761</t>
  </si>
  <si>
    <t>CUST-1761</t>
  </si>
  <si>
    <t>PROD-2761</t>
  </si>
  <si>
    <t>VID100762</t>
  </si>
  <si>
    <t>CUST-1762</t>
  </si>
  <si>
    <t>PROD-2762</t>
  </si>
  <si>
    <t>VID100763</t>
  </si>
  <si>
    <t>CUST-1763</t>
  </si>
  <si>
    <t>PROD-2763</t>
  </si>
  <si>
    <t>VID100764</t>
  </si>
  <si>
    <t>04-09-2025</t>
  </si>
  <si>
    <t>CUST-1764</t>
  </si>
  <si>
    <t>PROD-2764</t>
  </si>
  <si>
    <t>VID100765</t>
  </si>
  <si>
    <t>16-09-2023</t>
  </si>
  <si>
    <t>CUST-1765</t>
  </si>
  <si>
    <t>PROD-2765</t>
  </si>
  <si>
    <t>VID100766</t>
  </si>
  <si>
    <t>CUST-1766</t>
  </si>
  <si>
    <t>PROD-2766</t>
  </si>
  <si>
    <t>VID100767</t>
  </si>
  <si>
    <t>15-07-2024</t>
  </si>
  <si>
    <t>CUST-1767</t>
  </si>
  <si>
    <t>PROD-2767</t>
  </si>
  <si>
    <t>VID100768</t>
  </si>
  <si>
    <t>16-07-2024</t>
  </si>
  <si>
    <t>CUST-1768</t>
  </si>
  <si>
    <t>PROD-2768</t>
  </si>
  <si>
    <t>VID100769</t>
  </si>
  <si>
    <t>CUST-1769</t>
  </si>
  <si>
    <t>PROD-2769</t>
  </si>
  <si>
    <t>VID100770</t>
  </si>
  <si>
    <t>CUST-1770</t>
  </si>
  <si>
    <t>PROD-2770</t>
  </si>
  <si>
    <t>VID100771</t>
  </si>
  <si>
    <t>03-02-2024</t>
  </si>
  <si>
    <t>CUST-1771</t>
  </si>
  <si>
    <t>PROD-2771</t>
  </si>
  <si>
    <t>VID100772</t>
  </si>
  <si>
    <t>20-06-2021</t>
  </si>
  <si>
    <t>24-06-2021</t>
  </si>
  <si>
    <t>CUST-1772</t>
  </si>
  <si>
    <t>PROD-2772</t>
  </si>
  <si>
    <t>VID100773</t>
  </si>
  <si>
    <t>01-08-2023</t>
  </si>
  <si>
    <t>CUST-1773</t>
  </si>
  <si>
    <t>PROD-2773</t>
  </si>
  <si>
    <t>VID100774</t>
  </si>
  <si>
    <t>24-07-2023</t>
  </si>
  <si>
    <t>CUST-1774</t>
  </si>
  <si>
    <t>PROD-2774</t>
  </si>
  <si>
    <t>VID100775</t>
  </si>
  <si>
    <t>CUST-1775</t>
  </si>
  <si>
    <t>PROD-2775</t>
  </si>
  <si>
    <t>VID100776</t>
  </si>
  <si>
    <t>11-02-2025</t>
  </si>
  <si>
    <t>CUST-1776</t>
  </si>
  <si>
    <t>PROD-2776</t>
  </si>
  <si>
    <t>VID100777</t>
  </si>
  <si>
    <t>15-09-2025</t>
  </si>
  <si>
    <t>16-09-2025</t>
  </si>
  <si>
    <t>CUST-1777</t>
  </si>
  <si>
    <t>PROD-2777</t>
  </si>
  <si>
    <t>VID100778</t>
  </si>
  <si>
    <t>CUST-1778</t>
  </si>
  <si>
    <t>PROD-2778</t>
  </si>
  <si>
    <t>VID100779</t>
  </si>
  <si>
    <t>28-10-2021</t>
  </si>
  <si>
    <t>CUST-1779</t>
  </si>
  <si>
    <t>PROD-2779</t>
  </si>
  <si>
    <t>VID100780</t>
  </si>
  <si>
    <t>06-08-2025</t>
  </si>
  <si>
    <t>CUST-1780</t>
  </si>
  <si>
    <t>PROD-2780</t>
  </si>
  <si>
    <t>VID100781</t>
  </si>
  <si>
    <t>CUST-1781</t>
  </si>
  <si>
    <t>PROD-2781</t>
  </si>
  <si>
    <t>VID100782</t>
  </si>
  <si>
    <t>10-04-2024</t>
  </si>
  <si>
    <t>13-04-2024</t>
  </si>
  <si>
    <t>CUST-1782</t>
  </si>
  <si>
    <t>PROD-2782</t>
  </si>
  <si>
    <t>VID100783</t>
  </si>
  <si>
    <t>24-05-2022</t>
  </si>
  <si>
    <t>28-05-2022</t>
  </si>
  <si>
    <t>CUST-1783</t>
  </si>
  <si>
    <t>PROD-2783</t>
  </si>
  <si>
    <t>VID100784</t>
  </si>
  <si>
    <t>CUST-1784</t>
  </si>
  <si>
    <t>PROD-2784</t>
  </si>
  <si>
    <t>VID100785</t>
  </si>
  <si>
    <t>CUST-1785</t>
  </si>
  <si>
    <t>PROD-2785</t>
  </si>
  <si>
    <t>VID100786</t>
  </si>
  <si>
    <t>CUST-1786</t>
  </si>
  <si>
    <t>PROD-2786</t>
  </si>
  <si>
    <t>VID100787</t>
  </si>
  <si>
    <t>CUST-1787</t>
  </si>
  <si>
    <t>PROD-2787</t>
  </si>
  <si>
    <t>VID100788</t>
  </si>
  <si>
    <t>23-11-2024</t>
  </si>
  <si>
    <t>27-11-2024</t>
  </si>
  <si>
    <t>CUST-1788</t>
  </si>
  <si>
    <t>PROD-2788</t>
  </si>
  <si>
    <t>VID100789</t>
  </si>
  <si>
    <t>18-09-2022</t>
  </si>
  <si>
    <t>CUST-1789</t>
  </si>
  <si>
    <t>PROD-2789</t>
  </si>
  <si>
    <t>VID100790</t>
  </si>
  <si>
    <t>09-12-2024</t>
  </si>
  <si>
    <t>CUST-1790</t>
  </si>
  <si>
    <t>PROD-2790</t>
  </si>
  <si>
    <t>VID100791</t>
  </si>
  <si>
    <t>CUST-1791</t>
  </si>
  <si>
    <t>PROD-2791</t>
  </si>
  <si>
    <t>VID100792</t>
  </si>
  <si>
    <t>CUST-1792</t>
  </si>
  <si>
    <t>PROD-2792</t>
  </si>
  <si>
    <t>VID100793</t>
  </si>
  <si>
    <t>CUST-1793</t>
  </si>
  <si>
    <t>PROD-2793</t>
  </si>
  <si>
    <t>VID100794</t>
  </si>
  <si>
    <t>CUST-1794</t>
  </si>
  <si>
    <t>PROD-2794</t>
  </si>
  <si>
    <t>VID100795</t>
  </si>
  <si>
    <t>21-06-2022</t>
  </si>
  <si>
    <t>26-06-2022</t>
  </si>
  <si>
    <t>CUST-1795</t>
  </si>
  <si>
    <t>PROD-2795</t>
  </si>
  <si>
    <t>VID100796</t>
  </si>
  <si>
    <t>05-01-2026</t>
  </si>
  <si>
    <t>CUST-1796</t>
  </si>
  <si>
    <t>PROD-2796</t>
  </si>
  <si>
    <t>VID100797</t>
  </si>
  <si>
    <t>CUST-1797</t>
  </si>
  <si>
    <t>PROD-2797</t>
  </si>
  <si>
    <t>VID100798</t>
  </si>
  <si>
    <t>09-10-2025</t>
  </si>
  <si>
    <t>CUST-1798</t>
  </si>
  <si>
    <t>PROD-2798</t>
  </si>
  <si>
    <t>VID100799</t>
  </si>
  <si>
    <t>14-12-2025</t>
  </si>
  <si>
    <t>CUST-1799</t>
  </si>
  <si>
    <t>PROD-2799</t>
  </si>
  <si>
    <t>VID100800</t>
  </si>
  <si>
    <t>12-11-2021</t>
  </si>
  <si>
    <t>CUST-1800</t>
  </si>
  <si>
    <t>PROD-2800</t>
  </si>
  <si>
    <t>VID100801</t>
  </si>
  <si>
    <t>CUST-1801</t>
  </si>
  <si>
    <t>PROD-2801</t>
  </si>
  <si>
    <t>VID100802</t>
  </si>
  <si>
    <t>21-08-2021</t>
  </si>
  <si>
    <t>CUST-1802</t>
  </si>
  <si>
    <t>PROD-2802</t>
  </si>
  <si>
    <t>VID100803</t>
  </si>
  <si>
    <t>27-06-2024</t>
  </si>
  <si>
    <t>CUST-1803</t>
  </si>
  <si>
    <t>PROD-2803</t>
  </si>
  <si>
    <t>VID100804</t>
  </si>
  <si>
    <t>CUST-1804</t>
  </si>
  <si>
    <t>PROD-2804</t>
  </si>
  <si>
    <t>VID100805</t>
  </si>
  <si>
    <t>29-05-2023</t>
  </si>
  <si>
    <t>30-05-2023</t>
  </si>
  <si>
    <t>CUST-1805</t>
  </si>
  <si>
    <t>PROD-2805</t>
  </si>
  <si>
    <t>VID100806</t>
  </si>
  <si>
    <t>29-01-2022</t>
  </si>
  <si>
    <t>CUST-1806</t>
  </si>
  <si>
    <t>PROD-2806</t>
  </si>
  <si>
    <t>VID100807</t>
  </si>
  <si>
    <t>18-04-2023</t>
  </si>
  <si>
    <t>CUST-1807</t>
  </si>
  <si>
    <t>PROD-2807</t>
  </si>
  <si>
    <t>VID100808</t>
  </si>
  <si>
    <t>27-12-2023</t>
  </si>
  <si>
    <t>CUST-1808</t>
  </si>
  <si>
    <t>PROD-2808</t>
  </si>
  <si>
    <t>VID100809</t>
  </si>
  <si>
    <t>CUST-1809</t>
  </si>
  <si>
    <t>PROD-2809</t>
  </si>
  <si>
    <t>VID100810</t>
  </si>
  <si>
    <t>CUST-1810</t>
  </si>
  <si>
    <t>PROD-2810</t>
  </si>
  <si>
    <t>VID100811</t>
  </si>
  <si>
    <t>15-07-2025</t>
  </si>
  <si>
    <t>17-07-2025</t>
  </si>
  <si>
    <t>CUST-1811</t>
  </si>
  <si>
    <t>PROD-2811</t>
  </si>
  <si>
    <t>VID100812</t>
  </si>
  <si>
    <t>07-11-2022</t>
  </si>
  <si>
    <t>CUST-1812</t>
  </si>
  <si>
    <t>PROD-2812</t>
  </si>
  <si>
    <t>VID100813</t>
  </si>
  <si>
    <t>05-06-2025</t>
  </si>
  <si>
    <t>CUST-1813</t>
  </si>
  <si>
    <t>PROD-2813</t>
  </si>
  <si>
    <t>VID100814</t>
  </si>
  <si>
    <t>04-10-2024</t>
  </si>
  <si>
    <t>CUST-1814</t>
  </si>
  <si>
    <t>PROD-2814</t>
  </si>
  <si>
    <t>VID100815</t>
  </si>
  <si>
    <t>12-01-2022</t>
  </si>
  <si>
    <t>CUST-1815</t>
  </si>
  <si>
    <t>PROD-2815</t>
  </si>
  <si>
    <t>VID100816</t>
  </si>
  <si>
    <t>17-06-2024</t>
  </si>
  <si>
    <t>CUST-1816</t>
  </si>
  <si>
    <t>PROD-2816</t>
  </si>
  <si>
    <t>VID100817</t>
  </si>
  <si>
    <t>24-04-2022</t>
  </si>
  <si>
    <t>CUST-1817</t>
  </si>
  <si>
    <t>PROD-2817</t>
  </si>
  <si>
    <t>VID100818</t>
  </si>
  <si>
    <t>29-04-2021</t>
  </si>
  <si>
    <t>CUST-1818</t>
  </si>
  <si>
    <t>PROD-2818</t>
  </si>
  <si>
    <t>VID100819</t>
  </si>
  <si>
    <t>CUST-1819</t>
  </si>
  <si>
    <t>PROD-2819</t>
  </si>
  <si>
    <t>VID100820</t>
  </si>
  <si>
    <t>CUST-1820</t>
  </si>
  <si>
    <t>PROD-2820</t>
  </si>
  <si>
    <t>VID100821</t>
  </si>
  <si>
    <t>06-06-2021</t>
  </si>
  <si>
    <t>CUST-1821</t>
  </si>
  <si>
    <t>PROD-2821</t>
  </si>
  <si>
    <t>VID100822</t>
  </si>
  <si>
    <t>21-10-2025</t>
  </si>
  <si>
    <t>CUST-1822</t>
  </si>
  <si>
    <t>PROD-2822</t>
  </si>
  <si>
    <t>VID100823</t>
  </si>
  <si>
    <t>14-02-2023</t>
  </si>
  <si>
    <t>CUST-1823</t>
  </si>
  <si>
    <t>PROD-2823</t>
  </si>
  <si>
    <t>VID100824</t>
  </si>
  <si>
    <t>16-01-2022</t>
  </si>
  <si>
    <t>21-01-2022</t>
  </si>
  <si>
    <t>CUST-1824</t>
  </si>
  <si>
    <t>PROD-2824</t>
  </si>
  <si>
    <t>VID100825</t>
  </si>
  <si>
    <t>20-01-2024</t>
  </si>
  <si>
    <t>CUST-1825</t>
  </si>
  <si>
    <t>PROD-2825</t>
  </si>
  <si>
    <t>VID100826</t>
  </si>
  <si>
    <t>CUST-1826</t>
  </si>
  <si>
    <t>PROD-2826</t>
  </si>
  <si>
    <t>VID100827</t>
  </si>
  <si>
    <t>15-01-2022</t>
  </si>
  <si>
    <t>20-01-2022</t>
  </si>
  <si>
    <t>CUST-1827</t>
  </si>
  <si>
    <t>PROD-2827</t>
  </si>
  <si>
    <t>VID100828</t>
  </si>
  <si>
    <t>18-02-2022</t>
  </si>
  <si>
    <t>20-02-2022</t>
  </si>
  <si>
    <t>CUST-1828</t>
  </si>
  <si>
    <t>PROD-2828</t>
  </si>
  <si>
    <t>VID100829</t>
  </si>
  <si>
    <t>CUST-1829</t>
  </si>
  <si>
    <t>PROD-2829</t>
  </si>
  <si>
    <t>VID100830</t>
  </si>
  <si>
    <t>04-06-2023</t>
  </si>
  <si>
    <t>05-06-2023</t>
  </si>
  <si>
    <t>CUST-1830</t>
  </si>
  <si>
    <t>PROD-2830</t>
  </si>
  <si>
    <t>VID100831</t>
  </si>
  <si>
    <t>06-02-2025</t>
  </si>
  <si>
    <t>CUST-1831</t>
  </si>
  <si>
    <t>PROD-2831</t>
  </si>
  <si>
    <t>VID100832</t>
  </si>
  <si>
    <t>30-09-2023</t>
  </si>
  <si>
    <t>CUST-1832</t>
  </si>
  <si>
    <t>PROD-2832</t>
  </si>
  <si>
    <t>VID100833</t>
  </si>
  <si>
    <t>31-05-2024</t>
  </si>
  <si>
    <t>CUST-1833</t>
  </si>
  <si>
    <t>PROD-2833</t>
  </si>
  <si>
    <t>VID100834</t>
  </si>
  <si>
    <t>13-03-2025</t>
  </si>
  <si>
    <t>CUST-1834</t>
  </si>
  <si>
    <t>PROD-2834</t>
  </si>
  <si>
    <t>VID100835</t>
  </si>
  <si>
    <t>CUST-1835</t>
  </si>
  <si>
    <t>PROD-2835</t>
  </si>
  <si>
    <t>VID100836</t>
  </si>
  <si>
    <t>09-11-2024</t>
  </si>
  <si>
    <t>CUST-1836</t>
  </si>
  <si>
    <t>PROD-2836</t>
  </si>
  <si>
    <t>VID100837</t>
  </si>
  <si>
    <t>23-05-2025</t>
  </si>
  <si>
    <t>CUST-1837</t>
  </si>
  <si>
    <t>PROD-2837</t>
  </si>
  <si>
    <t>VID100838</t>
  </si>
  <si>
    <t>CUST-1838</t>
  </si>
  <si>
    <t>PROD-2838</t>
  </si>
  <si>
    <t>VID100839</t>
  </si>
  <si>
    <t>24-11-2021</t>
  </si>
  <si>
    <t>27-11-2021</t>
  </si>
  <si>
    <t>CUST-1839</t>
  </si>
  <si>
    <t>PROD-2839</t>
  </si>
  <si>
    <t>VID100840</t>
  </si>
  <si>
    <t>24-10-2022</t>
  </si>
  <si>
    <t>CUST-1840</t>
  </si>
  <si>
    <t>PROD-2840</t>
  </si>
  <si>
    <t>VID100841</t>
  </si>
  <si>
    <t>CUST-1841</t>
  </si>
  <si>
    <t>PROD-2841</t>
  </si>
  <si>
    <t>VID100842</t>
  </si>
  <si>
    <t>CUST-1842</t>
  </si>
  <si>
    <t>PROD-2842</t>
  </si>
  <si>
    <t>VID100843</t>
  </si>
  <si>
    <t>CUST-1843</t>
  </si>
  <si>
    <t>PROD-2843</t>
  </si>
  <si>
    <t>VID100844</t>
  </si>
  <si>
    <t>CUST-1844</t>
  </si>
  <si>
    <t>PROD-2844</t>
  </si>
  <si>
    <t>VID100845</t>
  </si>
  <si>
    <t>08-11-2023</t>
  </si>
  <si>
    <t>CUST-1845</t>
  </si>
  <si>
    <t>PROD-2845</t>
  </si>
  <si>
    <t>VID100846</t>
  </si>
  <si>
    <t>23-09-2024</t>
  </si>
  <si>
    <t>CUST-1846</t>
  </si>
  <si>
    <t>PROD-2846</t>
  </si>
  <si>
    <t>VID100847</t>
  </si>
  <si>
    <t>CUST-1847</t>
  </si>
  <si>
    <t>PROD-2847</t>
  </si>
  <si>
    <t>VID100848</t>
  </si>
  <si>
    <t>CUST-1848</t>
  </si>
  <si>
    <t>PROD-2848</t>
  </si>
  <si>
    <t>VID100849</t>
  </si>
  <si>
    <t>30-06-2022</t>
  </si>
  <si>
    <t>CUST-1849</t>
  </si>
  <si>
    <t>PROD-2849</t>
  </si>
  <si>
    <t>VID100850</t>
  </si>
  <si>
    <t>20-10-2024</t>
  </si>
  <si>
    <t>22-10-2024</t>
  </si>
  <si>
    <t>CUST-1850</t>
  </si>
  <si>
    <t>PROD-2850</t>
  </si>
  <si>
    <t>VID100851</t>
  </si>
  <si>
    <t>02-09-2024</t>
  </si>
  <si>
    <t>07-09-2024</t>
  </si>
  <si>
    <t>CUST-1851</t>
  </si>
  <si>
    <t>PROD-2851</t>
  </si>
  <si>
    <t>VID100852</t>
  </si>
  <si>
    <t>CUST-1852</t>
  </si>
  <si>
    <t>PROD-2852</t>
  </si>
  <si>
    <t>VID100853</t>
  </si>
  <si>
    <t>23-07-2022</t>
  </si>
  <si>
    <t>24-07-2022</t>
  </si>
  <si>
    <t>CUST-1853</t>
  </si>
  <si>
    <t>PROD-2853</t>
  </si>
  <si>
    <t>VID100854</t>
  </si>
  <si>
    <t>24-09-2022</t>
  </si>
  <si>
    <t>29-09-2022</t>
  </si>
  <si>
    <t>CUST-1854</t>
  </si>
  <si>
    <t>PROD-2854</t>
  </si>
  <si>
    <t>VID100855</t>
  </si>
  <si>
    <t>CUST-1855</t>
  </si>
  <si>
    <t>PROD-2855</t>
  </si>
  <si>
    <t>VID100856</t>
  </si>
  <si>
    <t>CUST-1856</t>
  </si>
  <si>
    <t>PROD-2856</t>
  </si>
  <si>
    <t>VID100857</t>
  </si>
  <si>
    <t>15-11-2022</t>
  </si>
  <si>
    <t>16-11-2022</t>
  </si>
  <si>
    <t>CUST-1857</t>
  </si>
  <si>
    <t>PROD-2857</t>
  </si>
  <si>
    <t>VID100858</t>
  </si>
  <si>
    <t>18-03-2023</t>
  </si>
  <si>
    <t>CUST-1858</t>
  </si>
  <si>
    <t>PROD-2858</t>
  </si>
  <si>
    <t>VID100859</t>
  </si>
  <si>
    <t>23-12-2021</t>
  </si>
  <si>
    <t>30-12-2021</t>
  </si>
  <si>
    <t>CUST-1859</t>
  </si>
  <si>
    <t>PROD-2859</t>
  </si>
  <si>
    <t>VID100860</t>
  </si>
  <si>
    <t>04-12-2021</t>
  </si>
  <si>
    <t>CUST-1860</t>
  </si>
  <si>
    <t>PROD-2860</t>
  </si>
  <si>
    <t>VID100861</t>
  </si>
  <si>
    <t>CUST-1861</t>
  </si>
  <si>
    <t>PROD-2861</t>
  </si>
  <si>
    <t>VID100862</t>
  </si>
  <si>
    <t>23-04-2025</t>
  </si>
  <si>
    <t>CUST-1862</t>
  </si>
  <si>
    <t>PROD-2862</t>
  </si>
  <si>
    <t>VID100863</t>
  </si>
  <si>
    <t>25-04-2021</t>
  </si>
  <si>
    <t>CUST-1863</t>
  </si>
  <si>
    <t>PROD-2863</t>
  </si>
  <si>
    <t>VID100864</t>
  </si>
  <si>
    <t>18-10-2024</t>
  </si>
  <si>
    <t>CUST-1864</t>
  </si>
  <si>
    <t>PROD-2864</t>
  </si>
  <si>
    <t>VID100865</t>
  </si>
  <si>
    <t>CUST-1865</t>
  </si>
  <si>
    <t>PROD-2865</t>
  </si>
  <si>
    <t>VID100866</t>
  </si>
  <si>
    <t>18-05-2024</t>
  </si>
  <si>
    <t>CUST-1866</t>
  </si>
  <si>
    <t>PROD-2866</t>
  </si>
  <si>
    <t>VID100867</t>
  </si>
  <si>
    <t>CUST-1867</t>
  </si>
  <si>
    <t>PROD-2867</t>
  </si>
  <si>
    <t>VID100868</t>
  </si>
  <si>
    <t>28-12-2022</t>
  </si>
  <si>
    <t>CUST-1868</t>
  </si>
  <si>
    <t>PROD-2868</t>
  </si>
  <si>
    <t>VID100869</t>
  </si>
  <si>
    <t>CUST-1869</t>
  </si>
  <si>
    <t>PROD-2869</t>
  </si>
  <si>
    <t>VID100870</t>
  </si>
  <si>
    <t>01-05-2025</t>
  </si>
  <si>
    <t>CUST-1870</t>
  </si>
  <si>
    <t>PROD-2870</t>
  </si>
  <si>
    <t>VID100871</t>
  </si>
  <si>
    <t>31-07-2024</t>
  </si>
  <si>
    <t>CUST-1871</t>
  </si>
  <si>
    <t>PROD-2871</t>
  </si>
  <si>
    <t>VID100872</t>
  </si>
  <si>
    <t>CUST-1872</t>
  </si>
  <si>
    <t>PROD-2872</t>
  </si>
  <si>
    <t>VID100873</t>
  </si>
  <si>
    <t>17-02-2023</t>
  </si>
  <si>
    <t>CUST-1873</t>
  </si>
  <si>
    <t>PROD-2873</t>
  </si>
  <si>
    <t>VID100874</t>
  </si>
  <si>
    <t>30-11-2021</t>
  </si>
  <si>
    <t>CUST-1874</t>
  </si>
  <si>
    <t>PROD-2874</t>
  </si>
  <si>
    <t>VID100875</t>
  </si>
  <si>
    <t>CUST-1875</t>
  </si>
  <si>
    <t>PROD-2875</t>
  </si>
  <si>
    <t>VID100876</t>
  </si>
  <si>
    <t>12-08-2023</t>
  </si>
  <si>
    <t>18-08-2023</t>
  </si>
  <si>
    <t>CUST-1876</t>
  </si>
  <si>
    <t>PROD-2876</t>
  </si>
  <si>
    <t>VID100877</t>
  </si>
  <si>
    <t>CUST-1877</t>
  </si>
  <si>
    <t>PROD-2877</t>
  </si>
  <si>
    <t>VID100878</t>
  </si>
  <si>
    <t>19-03-2025</t>
  </si>
  <si>
    <t>CUST-1878</t>
  </si>
  <si>
    <t>PROD-2878</t>
  </si>
  <si>
    <t>VID100879</t>
  </si>
  <si>
    <t>29-08-2023</t>
  </si>
  <si>
    <t>CUST-1879</t>
  </si>
  <si>
    <t>PROD-2879</t>
  </si>
  <si>
    <t>VID100880</t>
  </si>
  <si>
    <t>CUST-1880</t>
  </si>
  <si>
    <t>PROD-2880</t>
  </si>
  <si>
    <t>VID100881</t>
  </si>
  <si>
    <t>CUST-1881</t>
  </si>
  <si>
    <t>PROD-2881</t>
  </si>
  <si>
    <t>VID100882</t>
  </si>
  <si>
    <t>CUST-1882</t>
  </si>
  <si>
    <t>PROD-2882</t>
  </si>
  <si>
    <t>VID100883</t>
  </si>
  <si>
    <t>CUST-1883</t>
  </si>
  <si>
    <t>PROD-2883</t>
  </si>
  <si>
    <t>VID100884</t>
  </si>
  <si>
    <t>01-11-2021</t>
  </si>
  <si>
    <t>CUST-1884</t>
  </si>
  <si>
    <t>PROD-2884</t>
  </si>
  <si>
    <t>VID100885</t>
  </si>
  <si>
    <t>08-04-2022</t>
  </si>
  <si>
    <t>CUST-1885</t>
  </si>
  <si>
    <t>PROD-2885</t>
  </si>
  <si>
    <t>VID100886</t>
  </si>
  <si>
    <t>CUST-1886</t>
  </si>
  <si>
    <t>PROD-2886</t>
  </si>
  <si>
    <t>VID100887</t>
  </si>
  <si>
    <t>CUST-1887</t>
  </si>
  <si>
    <t>PROD-2887</t>
  </si>
  <si>
    <t>VID100888</t>
  </si>
  <si>
    <t>25-12-2023</t>
  </si>
  <si>
    <t>CUST-1888</t>
  </si>
  <si>
    <t>PROD-2888</t>
  </si>
  <si>
    <t>VID100889</t>
  </si>
  <si>
    <t>28-01-2022</t>
  </si>
  <si>
    <t>CUST-1889</t>
  </si>
  <si>
    <t>PROD-2889</t>
  </si>
  <si>
    <t>VID100890</t>
  </si>
  <si>
    <t>27-01-2022</t>
  </si>
  <si>
    <t>CUST-1890</t>
  </si>
  <si>
    <t>PROD-2890</t>
  </si>
  <si>
    <t>VID100891</t>
  </si>
  <si>
    <t>CUST-1891</t>
  </si>
  <si>
    <t>PROD-2891</t>
  </si>
  <si>
    <t>VID100892</t>
  </si>
  <si>
    <t>CUST-1892</t>
  </si>
  <si>
    <t>PROD-2892</t>
  </si>
  <si>
    <t>VID100893</t>
  </si>
  <si>
    <t>23-09-2023</t>
  </si>
  <si>
    <t>CUST-1893</t>
  </si>
  <si>
    <t>PROD-2893</t>
  </si>
  <si>
    <t>VID100894</t>
  </si>
  <si>
    <t>21-11-2021</t>
  </si>
  <si>
    <t>26-11-2021</t>
  </si>
  <si>
    <t>CUST-1894</t>
  </si>
  <si>
    <t>PROD-2894</t>
  </si>
  <si>
    <t>VID100895</t>
  </si>
  <si>
    <t>29-10-2024</t>
  </si>
  <si>
    <t>CUST-1895</t>
  </si>
  <si>
    <t>PROD-2895</t>
  </si>
  <si>
    <t>VID100896</t>
  </si>
  <si>
    <t>CUST-1896</t>
  </si>
  <si>
    <t>PROD-2896</t>
  </si>
  <si>
    <t>VID100897</t>
  </si>
  <si>
    <t>CUST-1897</t>
  </si>
  <si>
    <t>PROD-2897</t>
  </si>
  <si>
    <t>VID100898</t>
  </si>
  <si>
    <t>10-05-2022</t>
  </si>
  <si>
    <t>CUST-1898</t>
  </si>
  <si>
    <t>PROD-2898</t>
  </si>
  <si>
    <t>VID100899</t>
  </si>
  <si>
    <t>CUST-1899</t>
  </si>
  <si>
    <t>PROD-2899</t>
  </si>
  <si>
    <t>VID100900</t>
  </si>
  <si>
    <t>CUST-1900</t>
  </si>
  <si>
    <t>PROD-2900</t>
  </si>
  <si>
    <t>VID100901</t>
  </si>
  <si>
    <t>04-02-2023</t>
  </si>
  <si>
    <t>CUST-1901</t>
  </si>
  <si>
    <t>PROD-2901</t>
  </si>
  <si>
    <t>VID100902</t>
  </si>
  <si>
    <t>CUST-1902</t>
  </si>
  <si>
    <t>PROD-2902</t>
  </si>
  <si>
    <t>VID100903</t>
  </si>
  <si>
    <t>27-02-2022</t>
  </si>
  <si>
    <t>CUST-1903</t>
  </si>
  <si>
    <t>PROD-2903</t>
  </si>
  <si>
    <t>VID100904</t>
  </si>
  <si>
    <t>CUST-1904</t>
  </si>
  <si>
    <t>PROD-2904</t>
  </si>
  <si>
    <t>VID100905</t>
  </si>
  <si>
    <t>CUST-1905</t>
  </si>
  <si>
    <t>PROD-2905</t>
  </si>
  <si>
    <t>VID100906</t>
  </si>
  <si>
    <t>CUST-1906</t>
  </si>
  <si>
    <t>PROD-2906</t>
  </si>
  <si>
    <t>VID100907</t>
  </si>
  <si>
    <t>CUST-1907</t>
  </si>
  <si>
    <t>PROD-2907</t>
  </si>
  <si>
    <t>VID100908</t>
  </si>
  <si>
    <t>CUST-1908</t>
  </si>
  <si>
    <t>PROD-2908</t>
  </si>
  <si>
    <t>VID100909</t>
  </si>
  <si>
    <t>24-04-2021</t>
  </si>
  <si>
    <t>CUST-1909</t>
  </si>
  <si>
    <t>PROD-2909</t>
  </si>
  <si>
    <t>VID100910</t>
  </si>
  <si>
    <t>CUST-1910</t>
  </si>
  <si>
    <t>PROD-2910</t>
  </si>
  <si>
    <t>VID100911</t>
  </si>
  <si>
    <t>CUST-1911</t>
  </si>
  <si>
    <t>PROD-2911</t>
  </si>
  <si>
    <t>VID100912</t>
  </si>
  <si>
    <t>CUST-1912</t>
  </si>
  <si>
    <t>PROD-2912</t>
  </si>
  <si>
    <t>VID100913</t>
  </si>
  <si>
    <t>05-07-2024</t>
  </si>
  <si>
    <t>CUST-1913</t>
  </si>
  <si>
    <t>PROD-2913</t>
  </si>
  <si>
    <t>VID100914</t>
  </si>
  <si>
    <t>17-11-2023</t>
  </si>
  <si>
    <t>23-11-2023</t>
  </si>
  <si>
    <t>CUST-1914</t>
  </si>
  <si>
    <t>PROD-2914</t>
  </si>
  <si>
    <t>VID100915</t>
  </si>
  <si>
    <t>25-02-2021</t>
  </si>
  <si>
    <t>CUST-1915</t>
  </si>
  <si>
    <t>PROD-2915</t>
  </si>
  <si>
    <t>VID100916</t>
  </si>
  <si>
    <t>05-09-2023</t>
  </si>
  <si>
    <t>10-09-2023</t>
  </si>
  <si>
    <t>CUST-1916</t>
  </si>
  <si>
    <t>PROD-2916</t>
  </si>
  <si>
    <t>VID100917</t>
  </si>
  <si>
    <t>CUST-1917</t>
  </si>
  <si>
    <t>PROD-2917</t>
  </si>
  <si>
    <t>VID100918</t>
  </si>
  <si>
    <t>25-04-2023</t>
  </si>
  <si>
    <t>CUST-1918</t>
  </si>
  <si>
    <t>PROD-2918</t>
  </si>
  <si>
    <t>VID100919</t>
  </si>
  <si>
    <t>16-01-2025</t>
  </si>
  <si>
    <t>CUST-1919</t>
  </si>
  <si>
    <t>PROD-2919</t>
  </si>
  <si>
    <t>VID100920</t>
  </si>
  <si>
    <t>CUST-1920</t>
  </si>
  <si>
    <t>PROD-2920</t>
  </si>
  <si>
    <t>VID100921</t>
  </si>
  <si>
    <t>14-11-2023</t>
  </si>
  <si>
    <t>15-11-2023</t>
  </si>
  <si>
    <t>CUST-1921</t>
  </si>
  <si>
    <t>PROD-2921</t>
  </si>
  <si>
    <t>VID100922</t>
  </si>
  <si>
    <t>CUST-1922</t>
  </si>
  <si>
    <t>PROD-2922</t>
  </si>
  <si>
    <t>VID100923</t>
  </si>
  <si>
    <t>CUST-1923</t>
  </si>
  <si>
    <t>PROD-2923</t>
  </si>
  <si>
    <t>VID100924</t>
  </si>
  <si>
    <t>CUST-1924</t>
  </si>
  <si>
    <t>PROD-2924</t>
  </si>
  <si>
    <t>VID100925</t>
  </si>
  <si>
    <t>05-02-2023</t>
  </si>
  <si>
    <t>06-02-2023</t>
  </si>
  <si>
    <t>CUST-1925</t>
  </si>
  <si>
    <t>PROD-2925</t>
  </si>
  <si>
    <t>VID100926</t>
  </si>
  <si>
    <t>CUST-1926</t>
  </si>
  <si>
    <t>PROD-2926</t>
  </si>
  <si>
    <t>VID100927</t>
  </si>
  <si>
    <t>10-11-2021</t>
  </si>
  <si>
    <t>CUST-1927</t>
  </si>
  <si>
    <t>PROD-2927</t>
  </si>
  <si>
    <t>VID100928</t>
  </si>
  <si>
    <t>22-11-2024</t>
  </si>
  <si>
    <t>CUST-1928</t>
  </si>
  <si>
    <t>PROD-2928</t>
  </si>
  <si>
    <t>VID100929</t>
  </si>
  <si>
    <t>26-01-2024</t>
  </si>
  <si>
    <t>CUST-1929</t>
  </si>
  <si>
    <t>PROD-2929</t>
  </si>
  <si>
    <t>VID100930</t>
  </si>
  <si>
    <t>01-01-2022</t>
  </si>
  <si>
    <t>CUST-1930</t>
  </si>
  <si>
    <t>PROD-2930</t>
  </si>
  <si>
    <t>VID100931</t>
  </si>
  <si>
    <t>CUST-1931</t>
  </si>
  <si>
    <t>PROD-2931</t>
  </si>
  <si>
    <t>VID100932</t>
  </si>
  <si>
    <t>CUST-1932</t>
  </si>
  <si>
    <t>PROD-2932</t>
  </si>
  <si>
    <t>VID100933</t>
  </si>
  <si>
    <t>03-10-2021</t>
  </si>
  <si>
    <t>CUST-1933</t>
  </si>
  <si>
    <t>PROD-2933</t>
  </si>
  <si>
    <t>VID100934</t>
  </si>
  <si>
    <t>CUST-1934</t>
  </si>
  <si>
    <t>PROD-2934</t>
  </si>
  <si>
    <t>VID100935</t>
  </si>
  <si>
    <t>27-10-2022</t>
  </si>
  <si>
    <t>CUST-1935</t>
  </si>
  <si>
    <t>PROD-2935</t>
  </si>
  <si>
    <t>VID100936</t>
  </si>
  <si>
    <t>09-06-2021</t>
  </si>
  <si>
    <t>CUST-1936</t>
  </si>
  <si>
    <t>PROD-2936</t>
  </si>
  <si>
    <t>VID100937</t>
  </si>
  <si>
    <t>CUST-1937</t>
  </si>
  <si>
    <t>PROD-2937</t>
  </si>
  <si>
    <t>VID100938</t>
  </si>
  <si>
    <t>05-01-2023</t>
  </si>
  <si>
    <t>CUST-1938</t>
  </si>
  <si>
    <t>PROD-2938</t>
  </si>
  <si>
    <t>VID100939</t>
  </si>
  <si>
    <t>16-08-2021</t>
  </si>
  <si>
    <t>23-08-2021</t>
  </si>
  <si>
    <t>CUST-1939</t>
  </si>
  <si>
    <t>PROD-2939</t>
  </si>
  <si>
    <t>VID100940</t>
  </si>
  <si>
    <t>30-12-2023</t>
  </si>
  <si>
    <t>02-01-2024</t>
  </si>
  <si>
    <t>CUST-1940</t>
  </si>
  <si>
    <t>PROD-2940</t>
  </si>
  <si>
    <t>VID100941</t>
  </si>
  <si>
    <t>CUST-1941</t>
  </si>
  <si>
    <t>PROD-2941</t>
  </si>
  <si>
    <t>VID100942</t>
  </si>
  <si>
    <t>CUST-1942</t>
  </si>
  <si>
    <t>PROD-2942</t>
  </si>
  <si>
    <t>VID100943</t>
  </si>
  <si>
    <t>01-12-2025</t>
  </si>
  <si>
    <t>CUST-1943</t>
  </si>
  <si>
    <t>PROD-2943</t>
  </si>
  <si>
    <t>VID100944</t>
  </si>
  <si>
    <t>24-11-2025</t>
  </si>
  <si>
    <t>CUST-1944</t>
  </si>
  <si>
    <t>PROD-2944</t>
  </si>
  <si>
    <t>VID100945</t>
  </si>
  <si>
    <t>CUST-1945</t>
  </si>
  <si>
    <t>PROD-2945</t>
  </si>
  <si>
    <t>VID100946</t>
  </si>
  <si>
    <t>08-10-2022</t>
  </si>
  <si>
    <t>CUST-1946</t>
  </si>
  <si>
    <t>PROD-2946</t>
  </si>
  <si>
    <t>VID100947</t>
  </si>
  <si>
    <t>CUST-1947</t>
  </si>
  <si>
    <t>PROD-2947</t>
  </si>
  <si>
    <t>VID100948</t>
  </si>
  <si>
    <t>27-07-2021</t>
  </si>
  <si>
    <t>CUST-1948</t>
  </si>
  <si>
    <t>PROD-2948</t>
  </si>
  <si>
    <t>VID100949</t>
  </si>
  <si>
    <t>CUST-1949</t>
  </si>
  <si>
    <t>PROD-2949</t>
  </si>
  <si>
    <t>VID100950</t>
  </si>
  <si>
    <t>CUST-1950</t>
  </si>
  <si>
    <t>PROD-2950</t>
  </si>
  <si>
    <t>VID100951</t>
  </si>
  <si>
    <t>20-04-2025</t>
  </si>
  <si>
    <t>CUST-1951</t>
  </si>
  <si>
    <t>PROD-2951</t>
  </si>
  <si>
    <t>VID100952</t>
  </si>
  <si>
    <t>12-05-2025</t>
  </si>
  <si>
    <t>CUST-1952</t>
  </si>
  <si>
    <t>PROD-2952</t>
  </si>
  <si>
    <t>VID100953</t>
  </si>
  <si>
    <t>CUST-1953</t>
  </si>
  <si>
    <t>PROD-2953</t>
  </si>
  <si>
    <t>VID100954</t>
  </si>
  <si>
    <t>07-01-2022</t>
  </si>
  <si>
    <t>CUST-1954</t>
  </si>
  <si>
    <t>PROD-2954</t>
  </si>
  <si>
    <t>VID100955</t>
  </si>
  <si>
    <t>CUST-1955</t>
  </si>
  <si>
    <t>PROD-2955</t>
  </si>
  <si>
    <t>VID100956</t>
  </si>
  <si>
    <t>22-04-2021</t>
  </si>
  <si>
    <t>CUST-1956</t>
  </si>
  <si>
    <t>PROD-2956</t>
  </si>
  <si>
    <t>VID100957</t>
  </si>
  <si>
    <t>CUST-1957</t>
  </si>
  <si>
    <t>PROD-2957</t>
  </si>
  <si>
    <t>VID100958</t>
  </si>
  <si>
    <t>CUST-1958</t>
  </si>
  <si>
    <t>PROD-2958</t>
  </si>
  <si>
    <t>VID100959</t>
  </si>
  <si>
    <t>14-11-2024</t>
  </si>
  <si>
    <t>CUST-1959</t>
  </si>
  <si>
    <t>PROD-2959</t>
  </si>
  <si>
    <t>VID100960</t>
  </si>
  <si>
    <t>CUST-1960</t>
  </si>
  <si>
    <t>PROD-2960</t>
  </si>
  <si>
    <t>VID100961</t>
  </si>
  <si>
    <t>CUST-1961</t>
  </si>
  <si>
    <t>PROD-2961</t>
  </si>
  <si>
    <t>VID100962</t>
  </si>
  <si>
    <t>05-01-2025</t>
  </si>
  <si>
    <t>CUST-1962</t>
  </si>
  <si>
    <t>PROD-2962</t>
  </si>
  <si>
    <t>VID100963</t>
  </si>
  <si>
    <t>CUST-1963</t>
  </si>
  <si>
    <t>PROD-2963</t>
  </si>
  <si>
    <t>VID100964</t>
  </si>
  <si>
    <t>CUST-1964</t>
  </si>
  <si>
    <t>PROD-2964</t>
  </si>
  <si>
    <t>VID100965</t>
  </si>
  <si>
    <t>13-11-2025</t>
  </si>
  <si>
    <t>CUST-1965</t>
  </si>
  <si>
    <t>PROD-2965</t>
  </si>
  <si>
    <t>VID100966</t>
  </si>
  <si>
    <t>CUST-1966</t>
  </si>
  <si>
    <t>PROD-2966</t>
  </si>
  <si>
    <t>VID100967</t>
  </si>
  <si>
    <t>CUST-1967</t>
  </si>
  <si>
    <t>PROD-2967</t>
  </si>
  <si>
    <t>VID100968</t>
  </si>
  <si>
    <t>14-09-2022</t>
  </si>
  <si>
    <t>CUST-1968</t>
  </si>
  <si>
    <t>PROD-2968</t>
  </si>
  <si>
    <t>VID100969</t>
  </si>
  <si>
    <t>24-06-2023</t>
  </si>
  <si>
    <t>CUST-1969</t>
  </si>
  <si>
    <t>PROD-2969</t>
  </si>
  <si>
    <t>VID100970</t>
  </si>
  <si>
    <t>25-06-2023</t>
  </si>
  <si>
    <t>CUST-1970</t>
  </si>
  <si>
    <t>PROD-2970</t>
  </si>
  <si>
    <t>VID100971</t>
  </si>
  <si>
    <t>CUST-1971</t>
  </si>
  <si>
    <t>PROD-2971</t>
  </si>
  <si>
    <t>VID100972</t>
  </si>
  <si>
    <t>07-01-2025</t>
  </si>
  <si>
    <t>CUST-1972</t>
  </si>
  <si>
    <t>PROD-2972</t>
  </si>
  <si>
    <t>VID100973</t>
  </si>
  <si>
    <t>11-01-2022</t>
  </si>
  <si>
    <t>CUST-1973</t>
  </si>
  <si>
    <t>PROD-2973</t>
  </si>
  <si>
    <t>VID100974</t>
  </si>
  <si>
    <t>CUST-1974</t>
  </si>
  <si>
    <t>PROD-2974</t>
  </si>
  <si>
    <t>VID100975</t>
  </si>
  <si>
    <t>CUST-1975</t>
  </si>
  <si>
    <t>PROD-2975</t>
  </si>
  <si>
    <t>VID100976</t>
  </si>
  <si>
    <t>22-08-2023</t>
  </si>
  <si>
    <t>CUST-1976</t>
  </si>
  <si>
    <t>PROD-2976</t>
  </si>
  <si>
    <t>VID100977</t>
  </si>
  <si>
    <t>21-06-2025</t>
  </si>
  <si>
    <t>CUST-1977</t>
  </si>
  <si>
    <t>PROD-2977</t>
  </si>
  <si>
    <t>VID100978</t>
  </si>
  <si>
    <t>26-06-2025</t>
  </si>
  <si>
    <t>CUST-1978</t>
  </si>
  <si>
    <t>PROD-2978</t>
  </si>
  <si>
    <t>VID100979</t>
  </si>
  <si>
    <t>CUST-1979</t>
  </si>
  <si>
    <t>PROD-2979</t>
  </si>
  <si>
    <t>VID100980</t>
  </si>
  <si>
    <t>CUST-1980</t>
  </si>
  <si>
    <t>PROD-2980</t>
  </si>
  <si>
    <t>VID100981</t>
  </si>
  <si>
    <t>30-04-2024</t>
  </si>
  <si>
    <t>02-05-2024</t>
  </si>
  <si>
    <t>CUST-1981</t>
  </si>
  <si>
    <t>PROD-2981</t>
  </si>
  <si>
    <t>VID100982</t>
  </si>
  <si>
    <t>CUST-1982</t>
  </si>
  <si>
    <t>PROD-2982</t>
  </si>
  <si>
    <t>VID100983</t>
  </si>
  <si>
    <t>CUST-1983</t>
  </si>
  <si>
    <t>PROD-2983</t>
  </si>
  <si>
    <t>VID100984</t>
  </si>
  <si>
    <t>08-12-2022</t>
  </si>
  <si>
    <t>11-12-2022</t>
  </si>
  <si>
    <t>CUST-1984</t>
  </si>
  <si>
    <t>PROD-2984</t>
  </si>
  <si>
    <t>VID100985</t>
  </si>
  <si>
    <t>27-05-2023</t>
  </si>
  <si>
    <t>02-06-2023</t>
  </si>
  <si>
    <t>CUST-1985</t>
  </si>
  <si>
    <t>PROD-2985</t>
  </si>
  <si>
    <t>VID100986</t>
  </si>
  <si>
    <t>01-04-2021</t>
  </si>
  <si>
    <t>CUST-1986</t>
  </si>
  <si>
    <t>PROD-2986</t>
  </si>
  <si>
    <t>VID100987</t>
  </si>
  <si>
    <t>CUST-1987</t>
  </si>
  <si>
    <t>PROD-2987</t>
  </si>
  <si>
    <t>VID100988</t>
  </si>
  <si>
    <t>CUST-1988</t>
  </si>
  <si>
    <t>PROD-2988</t>
  </si>
  <si>
    <t>VID100989</t>
  </si>
  <si>
    <t>08-07-2024</t>
  </si>
  <si>
    <t>CUST-1989</t>
  </si>
  <si>
    <t>PROD-2989</t>
  </si>
  <si>
    <t>VID100990</t>
  </si>
  <si>
    <t>17-12-2024</t>
  </si>
  <si>
    <t>CUST-1990</t>
  </si>
  <si>
    <t>PROD-2990</t>
  </si>
  <si>
    <t>VID100991</t>
  </si>
  <si>
    <t>CUST-1991</t>
  </si>
  <si>
    <t>PROD-2991</t>
  </si>
  <si>
    <t>VID100992</t>
  </si>
  <si>
    <t>12-01-2023</t>
  </si>
  <si>
    <t>16-01-2023</t>
  </si>
  <si>
    <t>CUST-1992</t>
  </si>
  <si>
    <t>PROD-2992</t>
  </si>
  <si>
    <t>VID100993</t>
  </si>
  <si>
    <t>CUST-1993</t>
  </si>
  <si>
    <t>PROD-2993</t>
  </si>
  <si>
    <t>VID100994</t>
  </si>
  <si>
    <t>CUST-1994</t>
  </si>
  <si>
    <t>PROD-2994</t>
  </si>
  <si>
    <t>VID100995</t>
  </si>
  <si>
    <t>02-10-2022</t>
  </si>
  <si>
    <t>09-10-2022</t>
  </si>
  <si>
    <t>CUST-1995</t>
  </si>
  <si>
    <t>PROD-2995</t>
  </si>
  <si>
    <t>VID100996</t>
  </si>
  <si>
    <t>14-12-2023</t>
  </si>
  <si>
    <t>CUST-1996</t>
  </si>
  <si>
    <t>PROD-2996</t>
  </si>
  <si>
    <t>VID100997</t>
  </si>
  <si>
    <t>08-01-2023</t>
  </si>
  <si>
    <t>CUST-1997</t>
  </si>
  <si>
    <t>PROD-2997</t>
  </si>
  <si>
    <t>VID100998</t>
  </si>
  <si>
    <t>CUST-1998</t>
  </si>
  <si>
    <t>PROD-2998</t>
  </si>
  <si>
    <t>VID100999</t>
  </si>
  <si>
    <t>29-10-2022</t>
  </si>
  <si>
    <t>CUST-1999</t>
  </si>
  <si>
    <t>PROD-2999</t>
  </si>
  <si>
    <t>VID101000</t>
  </si>
  <si>
    <t>CUST-2000</t>
  </si>
  <si>
    <t>PROD-3000</t>
  </si>
  <si>
    <t>MONTH</t>
  </si>
  <si>
    <t>YEAR</t>
  </si>
  <si>
    <t>DAILY</t>
  </si>
  <si>
    <t>Row Labels</t>
  </si>
  <si>
    <t>Dec</t>
  </si>
  <si>
    <t>Grand Total</t>
  </si>
  <si>
    <t>Sum of Sales</t>
  </si>
  <si>
    <t>Sum of Profit</t>
  </si>
  <si>
    <t>Sum of Quantity</t>
  </si>
  <si>
    <t>Sum of Qnty</t>
  </si>
  <si>
    <t>Sum of Sales %</t>
  </si>
  <si>
    <t xml:space="preserve"> Sales</t>
  </si>
  <si>
    <t>Jan</t>
  </si>
  <si>
    <t>Feb</t>
  </si>
  <si>
    <t>Mar</t>
  </si>
  <si>
    <t>Apr</t>
  </si>
  <si>
    <t>May</t>
  </si>
  <si>
    <t>Jun</t>
  </si>
  <si>
    <t>Jul</t>
  </si>
  <si>
    <t>Aug</t>
  </si>
  <si>
    <t>Sep</t>
  </si>
  <si>
    <t>Oct</t>
  </si>
  <si>
    <t>Nov</t>
  </si>
  <si>
    <t>Column1</t>
  </si>
  <si>
    <t>Low sales</t>
  </si>
  <si>
    <t>Medium sales</t>
  </si>
  <si>
    <t>Sum of Low sales</t>
  </si>
  <si>
    <t>Sum of Medium sales</t>
  </si>
  <si>
    <t>Sum of 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</si>
</sst>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K"/>
    <numFmt numFmtId="165" formatCode="_ * #,##0_ ;_ * \-#,##0_ ;_ * &quot;-&quot;??_ ;_ @_ "/>
    <numFmt numFmtId="166" formatCode="_-[$$-409]* #,##0_ ;_-[$$-409]* \-#,##0\ ;_-[$$-409]* &quot;-&quot;??_ ;_-@_ "/>
  </numFmts>
  <fonts count="7"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rgb="FF111111"/>
      <name val="Calibri"/>
      <family val="2"/>
      <scheme val="minor"/>
    </font>
    <font>
      <sz val="11"/>
      <color rgb="FFC00000"/>
      <name val="Calibri"/>
      <family val="2"/>
      <scheme val="minor"/>
    </font>
  </fonts>
  <fills count="7">
    <fill>
      <patternFill patternType="none"/>
    </fill>
    <fill>
      <patternFill patternType="gray125"/>
    </fill>
    <fill>
      <patternFill patternType="solid">
        <fgColor rgb="FFC00000"/>
        <bgColor indexed="64"/>
      </patternFill>
    </fill>
    <fill>
      <patternFill patternType="solid">
        <fgColor theme="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applyAlignment="1">
      <alignment horizontal="center"/>
    </xf>
    <xf numFmtId="0" fontId="0" fillId="2" borderId="0" xfId="0" applyFill="1"/>
    <xf numFmtId="0" fontId="3"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4" fillId="0" borderId="0" xfId="0" applyNumberFormat="1" applyFont="1"/>
    <xf numFmtId="9" fontId="4" fillId="0" borderId="0" xfId="1" applyFont="1"/>
    <xf numFmtId="0" fontId="4" fillId="0" borderId="0" xfId="0" applyFont="1"/>
    <xf numFmtId="165" fontId="0" fillId="0" borderId="0" xfId="0" applyNumberFormat="1" applyAlignment="1">
      <alignment horizontal="right"/>
    </xf>
    <xf numFmtId="165" fontId="0" fillId="0" borderId="0" xfId="0" applyNumberFormat="1" applyAlignment="1">
      <alignment horizontal="left"/>
    </xf>
    <xf numFmtId="10" fontId="0" fillId="0" borderId="0" xfId="0" applyNumberFormat="1" applyAlignment="1">
      <alignment horizontal="right"/>
    </xf>
    <xf numFmtId="9" fontId="0" fillId="0" borderId="0" xfId="0" applyNumberFormat="1" applyAlignment="1">
      <alignment horizontal="right"/>
    </xf>
    <xf numFmtId="0" fontId="2" fillId="4" borderId="1" xfId="0" applyFont="1" applyFill="1" applyBorder="1"/>
    <xf numFmtId="0" fontId="2" fillId="4" borderId="1" xfId="0" applyFont="1" applyFill="1" applyBorder="1" applyAlignment="1">
      <alignment horizontal="left"/>
    </xf>
    <xf numFmtId="0" fontId="0" fillId="0" borderId="1" xfId="0" applyBorder="1" applyAlignment="1">
      <alignment horizontal="left"/>
    </xf>
    <xf numFmtId="9" fontId="0" fillId="0" borderId="1" xfId="0" applyNumberFormat="1" applyBorder="1" applyAlignment="1">
      <alignment horizontal="right"/>
    </xf>
    <xf numFmtId="10" fontId="0" fillId="0" borderId="1" xfId="0" applyNumberFormat="1" applyBorder="1" applyAlignment="1">
      <alignment horizontal="right"/>
    </xf>
    <xf numFmtId="0" fontId="0" fillId="5" borderId="0" xfId="0" applyFill="1"/>
    <xf numFmtId="0" fontId="3" fillId="5" borderId="0" xfId="0" applyFont="1" applyFill="1"/>
    <xf numFmtId="0" fontId="5" fillId="6" borderId="0" xfId="0" applyFont="1" applyFill="1"/>
    <xf numFmtId="0" fontId="6" fillId="6" borderId="0" xfId="0" applyFont="1" applyFill="1"/>
    <xf numFmtId="166" fontId="4" fillId="0" borderId="0" xfId="0" applyNumberFormat="1" applyFont="1" applyAlignment="1">
      <alignment horizontal="center"/>
    </xf>
    <xf numFmtId="9" fontId="4" fillId="0" borderId="0" xfId="1" applyFont="1" applyAlignment="1">
      <alignment horizontal="center"/>
    </xf>
    <xf numFmtId="0" fontId="4" fillId="0" borderId="0" xfId="0" applyFont="1" applyAlignment="1">
      <alignment horizontal="center"/>
    </xf>
    <xf numFmtId="164" fontId="0" fillId="0" borderId="0" xfId="0" applyNumberFormat="1" applyAlignment="1">
      <alignment horizontal="center"/>
    </xf>
  </cellXfs>
  <cellStyles count="2">
    <cellStyle name="Normal" xfId="0" builtinId="0"/>
    <cellStyle name="Percent" xfId="1" builtinId="5"/>
  </cellStyles>
  <dxfs count="69">
    <dxf>
      <numFmt numFmtId="14" formatCode="0.00%"/>
    </dxf>
    <dxf>
      <numFmt numFmtId="14" formatCode="0.00%"/>
    </dxf>
    <dxf>
      <alignment horizontal="right"/>
    </dxf>
    <dxf>
      <alignment horizontal="left"/>
    </dxf>
    <dxf>
      <numFmt numFmtId="165" formatCode="_ * #,##0_ ;_ * \-#,##0_ ;_ * &quot;-&quot;??_ ;_ @_ "/>
    </dxf>
    <dxf>
      <numFmt numFmtId="13" formatCode="0%"/>
    </dxf>
    <dxf>
      <alignment horizontal="right"/>
    </dxf>
    <dxf>
      <numFmt numFmtId="14" formatCode="0.00%"/>
    </dxf>
    <dxf>
      <alignment horizontal="left"/>
    </dxf>
    <dxf>
      <numFmt numFmtId="165" formatCode="_ * #,##0_ ;_ * \-#,##0_ ;_ * &quot;-&quot;??_ ;_ @_ "/>
    </dxf>
    <dxf>
      <numFmt numFmtId="165" formatCode="_ * #,##0_ ;_ * \-#,##0_ ;_ * &quot;-&quot;??_ ;_ @_ "/>
    </dxf>
    <dxf>
      <numFmt numFmtId="165" formatCode="_ * #,##0_ ;_ * \-#,##0_ ;_ * &quot;-&quot;??_ ;_ @_ "/>
    </dxf>
    <dxf>
      <numFmt numFmtId="0" formatCode="General"/>
    </dxf>
    <dxf>
      <alignment horizontal="right"/>
    </dxf>
    <dxf>
      <alignment horizontal="left"/>
    </dxf>
    <dxf>
      <numFmt numFmtId="165" formatCode="_ * #,##0_ ;_ * \-#,##0_ ;_ * &quot;-&quot;??_ ;_ @_ "/>
    </dxf>
    <dxf>
      <alignment horizontal="left"/>
    </dxf>
    <dxf>
      <alignment horizontal="left"/>
    </dxf>
    <dxf>
      <numFmt numFmtId="165" formatCode="_ * #,##0_ ;_ * \-#,##0_ ;_ * &quot;-&quot;??_ ;_ @_ "/>
    </dxf>
    <dxf>
      <numFmt numFmtId="165" formatCode="_ * #,##0_ ;_ * \-#,##0_ ;_ * &quot;-&quot;??_ ;_ @_ "/>
    </dxf>
    <dxf>
      <numFmt numFmtId="0" formatCode="General"/>
    </dxf>
    <dxf>
      <alignment horizontal="right"/>
    </dxf>
    <dxf>
      <alignment horizontal="left"/>
    </dxf>
    <dxf>
      <numFmt numFmtId="165" formatCode="_ * #,##0_ ;_ * \-#,##0_ ;_ * &quot;-&quot;??_ ;_ @_ "/>
    </dxf>
    <dxf>
      <numFmt numFmtId="13" formatCode="0%"/>
    </dxf>
    <dxf>
      <numFmt numFmtId="14" formatCode="0.00%"/>
    </dxf>
    <dxf>
      <alignment horizontal="right"/>
    </dxf>
    <dxf>
      <alignment horizontal="left"/>
    </dxf>
    <dxf>
      <numFmt numFmtId="165" formatCode="_ * #,##0_ ;_ * \-#,##0_ ;_ * &quot;-&quot;??_ ;_ @_ "/>
    </dxf>
    <dxf>
      <numFmt numFmtId="13" formatCode="0%"/>
    </dxf>
    <dxf>
      <alignment horizontal="right"/>
    </dxf>
    <dxf>
      <numFmt numFmtId="14" formatCode="0.00%"/>
    </dxf>
    <dxf>
      <alignment horizontal="left"/>
    </dxf>
    <dxf>
      <numFmt numFmtId="165" formatCode="_ * #,##0_ ;_ * \-#,##0_ ;_ * &quot;-&quot;??_ ;_ @_ "/>
    </dxf>
    <dxf>
      <numFmt numFmtId="13" formatCode="0%"/>
    </dxf>
    <dxf>
      <numFmt numFmtId="165" formatCode="_ * #,##0_ ;_ * \-#,##0_ ;_ * &quot;-&quot;??_ ;_ @_ "/>
    </dxf>
    <dxf>
      <numFmt numFmtId="13" formatCode="0%"/>
    </dxf>
    <dxf>
      <alignment horizontal="right"/>
    </dxf>
    <dxf>
      <alignment horizontal="left"/>
    </dxf>
    <dxf>
      <numFmt numFmtId="165" formatCode="_ * #,##0_ ;_ * \-#,##0_ ;_ * &quot;-&quot;??_ ;_ @_ "/>
    </dxf>
    <dxf>
      <numFmt numFmtId="165" formatCode="_ * #,##0_ ;_ * \-#,##0_ ;_ * &quot;-&quot;??_ ;_ @_ "/>
    </dxf>
    <dxf>
      <numFmt numFmtId="0" formatCode="General"/>
    </dxf>
    <dxf>
      <alignment horizontal="right"/>
    </dxf>
    <dxf>
      <alignment horizontal="left"/>
    </dxf>
    <dxf>
      <numFmt numFmtId="165" formatCode="_ * #,##0_ ;_ * \-#,##0_ ;_ * &quot;-&quot;??_ ;_ @_ "/>
    </dxf>
    <dxf>
      <alignment horizontal="center"/>
    </dxf>
    <dxf>
      <alignment horizontal="center"/>
    </dxf>
    <dxf>
      <numFmt numFmtId="164" formatCode="0,\K"/>
    </dxf>
    <dxf>
      <font>
        <strike val="0"/>
        <outline val="0"/>
        <shadow val="0"/>
        <u val="none"/>
        <vertAlign val="baseline"/>
        <sz val="11"/>
        <color rgb="FFFF0000"/>
        <name val="Calibri"/>
        <family val="2"/>
        <scheme val="minor"/>
      </font>
      <numFmt numFmtId="0" formatCode="General"/>
      <fill>
        <patternFill patternType="none">
          <fgColor indexed="64"/>
          <bgColor theme="1"/>
        </patternFill>
      </fill>
      <alignment horizontal="center" vertical="bottom" textRotation="0" wrapText="0" indent="0" justifyLastLine="0" shrinkToFit="0" readingOrder="0"/>
    </dxf>
    <dxf>
      <font>
        <strike val="0"/>
        <outline val="0"/>
        <shadow val="0"/>
        <u val="none"/>
        <vertAlign val="baseline"/>
        <sz val="11"/>
        <color rgb="FFFF0000"/>
        <name val="Calibri"/>
        <family val="2"/>
        <scheme val="minor"/>
      </font>
      <numFmt numFmtId="0" formatCode="General"/>
      <fill>
        <patternFill patternType="solid">
          <fgColor indexed="64"/>
          <bgColor theme="1"/>
        </patternFill>
      </fill>
      <alignment horizontal="center" vertical="bottom" textRotation="0" wrapText="0" indent="0" justifyLastLine="0" shrinkToFit="0" readingOrder="0"/>
    </dxf>
    <dxf>
      <font>
        <strike val="0"/>
        <outline val="0"/>
        <shadow val="0"/>
        <u val="none"/>
        <vertAlign val="baseline"/>
        <sz val="11"/>
        <color rgb="FFFF0000"/>
        <name val="Calibri"/>
        <family val="2"/>
        <scheme val="minor"/>
      </font>
      <numFmt numFmtId="0" formatCode="General"/>
      <fill>
        <patternFill patternType="solid">
          <fgColor indexed="64"/>
          <bgColor theme="1"/>
        </patternFill>
      </fill>
      <alignment horizontal="center" vertical="bottom" textRotation="0" wrapText="0" indent="0" justifyLastLine="0" shrinkToFit="0" readingOrder="0"/>
    </dxf>
    <dxf>
      <font>
        <strike val="0"/>
        <outline val="0"/>
        <shadow val="0"/>
        <u val="none"/>
        <vertAlign val="baseline"/>
        <sz val="11"/>
        <color rgb="FFC00000"/>
        <name val="Calibri"/>
        <family val="2"/>
        <scheme val="minor"/>
      </font>
      <numFmt numFmtId="0" formatCode="General"/>
      <fill>
        <patternFill patternType="solid">
          <fgColor indexed="64"/>
          <bgColor rgb="FFFFFF00"/>
        </patternFill>
      </fill>
    </dxf>
    <dxf>
      <font>
        <strike val="0"/>
        <outline val="0"/>
        <shadow val="0"/>
        <u val="none"/>
        <vertAlign val="baseline"/>
        <sz val="11"/>
        <color rgb="FFC00000"/>
        <name val="Calibri"/>
        <family val="2"/>
        <scheme val="minor"/>
      </font>
      <numFmt numFmtId="0" formatCode="General"/>
      <fill>
        <patternFill patternType="solid">
          <fgColor indexed="64"/>
          <bgColor rgb="FFFFFF00"/>
        </patternFill>
      </fill>
    </dxf>
    <dxf>
      <font>
        <strike val="0"/>
        <outline val="0"/>
        <shadow val="0"/>
        <u val="none"/>
        <vertAlign val="baseline"/>
        <sz val="11"/>
        <color rgb="FFC00000"/>
        <name val="Calibri"/>
        <family val="2"/>
        <scheme val="minor"/>
      </font>
      <numFmt numFmtId="0" formatCode="General"/>
      <fill>
        <patternFill patternType="solid">
          <fgColor indexed="64"/>
          <bgColor rgb="FFFFFF0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9"/>
        </bottom>
        <vertical/>
        <horizontal/>
      </border>
    </dxf>
    <dxf>
      <font>
        <color rgb="FF002060"/>
      </font>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color theme="1"/>
      </font>
      <fill>
        <patternFill patternType="solid">
          <fgColor rgb="FF002060"/>
          <bgColor rgb="FF00206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gradientFill>
          <stop position="0">
            <color rgb="FF002060"/>
          </stop>
          <stop position="1">
            <color rgb="FF002060"/>
          </stop>
        </gradient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rgb="FF002060"/>
      </font>
      <border>
        <left style="thin">
          <color theme="4"/>
        </left>
        <right style="thin">
          <color theme="4"/>
        </right>
        <top style="thin">
          <color theme="4"/>
        </top>
        <bottom style="thin">
          <color theme="4"/>
        </bottom>
        <vertical/>
        <horizontal/>
      </border>
    </dxf>
  </dxfs>
  <tableStyles count="5" defaultTableStyle="TableStyleMedium9" defaultPivotStyle="PivotStyleLight16">
    <tableStyle name="Custom" pivot="0" table="0" count="0" xr9:uid="{8FAB6C66-E686-4540-A59E-AB387990491E}"/>
    <tableStyle name="SlicerStyleDark1 2" pivot="0" table="0" count="10" xr9:uid="{69101C9B-8248-46F6-9273-58ABDFC70BBE}">
      <tableStyleElement type="wholeTable" dxfId="68"/>
      <tableStyleElement type="headerRow" dxfId="67"/>
    </tableStyle>
    <tableStyle name="SlicerStyleDark1 3" pivot="0" table="0" count="10" xr9:uid="{DD4BC03A-640F-44C0-96A5-C2C86E619D25}">
      <tableStyleElement type="wholeTable" dxfId="66"/>
      <tableStyleElement type="headerRow" dxfId="65"/>
    </tableStyle>
    <tableStyle name="SlicerStyleDark1 4" pivot="0" table="0" count="10" xr9:uid="{10F0349C-00A9-4FFD-934B-6AEF33E5DBF3}">
      <tableStyleElement type="wholeTable" dxfId="64"/>
      <tableStyleElement type="headerRow" dxfId="63"/>
    </tableStyle>
    <tableStyle name="SlicerStyleDark6 2" pivot="0" table="0" count="10" xr9:uid="{DD973746-D8F1-4D00-A8E1-23D09E0951B0}">
      <tableStyleElement type="wholeTable" dxfId="62"/>
      <tableStyleElement type="headerRow" dxfId="61"/>
    </tableStyle>
  </tableStyles>
  <colors>
    <mruColors>
      <color rgb="FF0000FF"/>
      <color rgb="FFCC00CC"/>
      <color rgb="FF00FF00"/>
      <color rgb="FFCCFFFF"/>
      <color rgb="FF0066FF"/>
      <color rgb="FF111111"/>
      <color rgb="FF002060"/>
      <color rgb="FFFF66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ustom"/>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Revenue Analytics Dashboard (Excel).xlsx]PIVOT TABLE!PivotTable30</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238814644562951"/>
                  <c:h val="0.15754233038140142"/>
                </c:manualLayout>
              </c15:layout>
            </c:ext>
          </c:extLst>
        </c:dLbl>
      </c:pivotFmt>
      <c:pivotFmt>
        <c:idx val="4"/>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25894046386196"/>
                  <c:h val="0.15327924926805919"/>
                </c:manualLayout>
              </c15:layout>
            </c:ext>
          </c:extLst>
        </c:dLbl>
      </c:pivotFmt>
      <c:pivotFmt>
        <c:idx val="5"/>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68679522999642"/>
                  <c:h val="0.15327924926805919"/>
                </c:manualLayout>
              </c15:layout>
            </c:ext>
          </c:extLst>
        </c:dLbl>
      </c:pivotFmt>
      <c:pivotFmt>
        <c:idx val="6"/>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27844558340015"/>
                  <c:h val="0.15327924926805919"/>
                </c:manualLayout>
              </c15:layout>
            </c:ext>
          </c:extLst>
        </c:dLbl>
      </c:pivotFmt>
      <c:pivotFmt>
        <c:idx val="7"/>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3.6591650353403615E-2"/>
              <c:y val="4.263248951181191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82368833957049"/>
                  <c:h val="0.15327924926805919"/>
                </c:manualLayout>
              </c15:layout>
            </c:ext>
          </c:extLst>
        </c:dLbl>
      </c:pivotFmt>
    </c:pivotFmts>
    <c:plotArea>
      <c:layout>
        <c:manualLayout>
          <c:layoutTarget val="inner"/>
          <c:xMode val="edge"/>
          <c:yMode val="edge"/>
          <c:x val="0.31031942164612208"/>
          <c:y val="0.11827935332751943"/>
          <c:w val="0.53414013326111043"/>
          <c:h val="0.77856146859451925"/>
        </c:manualLayout>
      </c:layout>
      <c:barChart>
        <c:barDir val="bar"/>
        <c:grouping val="clustered"/>
        <c:varyColors val="0"/>
        <c:ser>
          <c:idx val="0"/>
          <c:order val="0"/>
          <c:tx>
            <c:strRef>
              <c:f>'PIVOT TABLE'!$X$7</c:f>
              <c:strCache>
                <c:ptCount val="1"/>
                <c:pt idx="0">
                  <c:v>Total</c:v>
                </c:pt>
              </c:strCache>
            </c:strRef>
          </c:tx>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0"/>
            <c:invertIfNegative val="0"/>
            <c:bubble3D val="0"/>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A2B8-478F-A9B6-A0D4312B1A0D}"/>
              </c:ext>
            </c:extLst>
          </c:dPt>
          <c:dPt>
            <c:idx val="1"/>
            <c:invertIfNegative val="0"/>
            <c:bubble3D val="0"/>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A2B8-478F-A9B6-A0D4312B1A0D}"/>
              </c:ext>
            </c:extLst>
          </c:dPt>
          <c:dPt>
            <c:idx val="2"/>
            <c:invertIfNegative val="0"/>
            <c:bubble3D val="0"/>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A2B8-478F-A9B6-A0D4312B1A0D}"/>
              </c:ext>
            </c:extLst>
          </c:dPt>
          <c:dPt>
            <c:idx val="3"/>
            <c:invertIfNegative val="0"/>
            <c:bubble3D val="0"/>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2-A2B8-478F-A9B6-A0D4312B1A0D}"/>
              </c:ext>
            </c:extLst>
          </c:dPt>
          <c:dPt>
            <c:idx val="4"/>
            <c:invertIfNegative val="0"/>
            <c:bubble3D val="0"/>
            <c:spPr>
              <a:gradFill>
                <a:gsLst>
                  <a:gs pos="46000">
                    <a:schemeClr val="tx1"/>
                  </a:gs>
                  <a:gs pos="55000">
                    <a:srgbClr val="FFFF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A2B8-478F-A9B6-A0D4312B1A0D}"/>
              </c:ext>
            </c:extLst>
          </c:dPt>
          <c:dLbls>
            <c:dLbl>
              <c:idx val="0"/>
              <c:layout>
                <c:manualLayout>
                  <c:x val="3.6591650353403615E-2"/>
                  <c:y val="4.263248951181191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182368833957049"/>
                      <c:h val="0.15327924926805919"/>
                    </c:manualLayout>
                  </c15:layout>
                </c:ext>
                <c:ext xmlns:c16="http://schemas.microsoft.com/office/drawing/2014/chart" uri="{C3380CC4-5D6E-409C-BE32-E72D297353CC}">
                  <c16:uniqueId val="{00000005-A2B8-478F-A9B6-A0D4312B1A0D}"/>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227844558340015"/>
                      <c:h val="0.15327924926805919"/>
                    </c:manualLayout>
                  </c15:layout>
                </c:ext>
                <c:ext xmlns:c16="http://schemas.microsoft.com/office/drawing/2014/chart" uri="{C3380CC4-5D6E-409C-BE32-E72D297353CC}">
                  <c16:uniqueId val="{00000004-A2B8-478F-A9B6-A0D4312B1A0D}"/>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568679522999642"/>
                      <c:h val="0.15327924926805919"/>
                    </c:manualLayout>
                  </c15:layout>
                </c:ext>
                <c:ext xmlns:c16="http://schemas.microsoft.com/office/drawing/2014/chart" uri="{C3380CC4-5D6E-409C-BE32-E72D297353CC}">
                  <c16:uniqueId val="{00000003-A2B8-478F-A9B6-A0D4312B1A0D}"/>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525894046386196"/>
                      <c:h val="0.15327924926805919"/>
                    </c:manualLayout>
                  </c15:layout>
                </c:ext>
                <c:ext xmlns:c16="http://schemas.microsoft.com/office/drawing/2014/chart" uri="{C3380CC4-5D6E-409C-BE32-E72D297353CC}">
                  <c16:uniqueId val="{00000002-A2B8-478F-A9B6-A0D4312B1A0D}"/>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238814644562951"/>
                      <c:h val="0.15754233038140142"/>
                    </c:manualLayout>
                  </c15:layout>
                </c:ext>
                <c:ext xmlns:c16="http://schemas.microsoft.com/office/drawing/2014/chart" uri="{C3380CC4-5D6E-409C-BE32-E72D297353CC}">
                  <c16:uniqueId val="{00000001-A2B8-478F-A9B6-A0D4312B1A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TABLE'!$W$8:$W$13</c:f>
              <c:strCache>
                <c:ptCount val="5"/>
                <c:pt idx="0">
                  <c:v>Ahmedabad</c:v>
                </c:pt>
                <c:pt idx="1">
                  <c:v>Bengaluru</c:v>
                </c:pt>
                <c:pt idx="2">
                  <c:v>Delhi</c:v>
                </c:pt>
                <c:pt idx="3">
                  <c:v>Kolkata</c:v>
                </c:pt>
                <c:pt idx="4">
                  <c:v>Mumbai</c:v>
                </c:pt>
              </c:strCache>
            </c:strRef>
          </c:cat>
          <c:val>
            <c:numRef>
              <c:f>'PIVOT TABLE'!$X$8:$X$13</c:f>
              <c:numCache>
                <c:formatCode>_ * #,##0_ ;_ * \-#,##0_ ;_ * "-"??_ ;_ @_ </c:formatCode>
                <c:ptCount val="5"/>
                <c:pt idx="0">
                  <c:v>9289821.1899999976</c:v>
                </c:pt>
                <c:pt idx="1">
                  <c:v>8893364.1899999995</c:v>
                </c:pt>
                <c:pt idx="2">
                  <c:v>9569817.4899999928</c:v>
                </c:pt>
                <c:pt idx="3">
                  <c:v>11740186.449999994</c:v>
                </c:pt>
                <c:pt idx="4">
                  <c:v>10507578.119999999</c:v>
                </c:pt>
              </c:numCache>
            </c:numRef>
          </c:val>
          <c:extLst>
            <c:ext xmlns:c16="http://schemas.microsoft.com/office/drawing/2014/chart" uri="{C3380CC4-5D6E-409C-BE32-E72D297353CC}">
              <c16:uniqueId val="{00000000-A2B8-478F-A9B6-A0D4312B1A0D}"/>
            </c:ext>
          </c:extLst>
        </c:ser>
        <c:dLbls>
          <c:dLblPos val="outEnd"/>
          <c:showLegendKey val="0"/>
          <c:showVal val="1"/>
          <c:showCatName val="0"/>
          <c:showSerName val="0"/>
          <c:showPercent val="0"/>
          <c:showBubbleSize val="0"/>
        </c:dLbls>
        <c:gapWidth val="50"/>
        <c:axId val="248016639"/>
        <c:axId val="248005119"/>
      </c:barChart>
      <c:catAx>
        <c:axId val="248016639"/>
        <c:scaling>
          <c:orientation val="minMax"/>
        </c:scaling>
        <c:delete val="0"/>
        <c:axPos val="l"/>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48005119"/>
        <c:crosses val="autoZero"/>
        <c:auto val="1"/>
        <c:lblAlgn val="ctr"/>
        <c:lblOffset val="100"/>
        <c:noMultiLvlLbl val="0"/>
      </c:catAx>
      <c:valAx>
        <c:axId val="248005119"/>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4801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Revenue Analytics Dashboard (Excel).xlsx]PIVOT TABLE!PivotTable31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rial Black" panose="020B0A04020102020204" pitchFamily="34" charset="0"/>
              </a:rPr>
              <a:t>Sales By Region</a:t>
            </a:r>
          </a:p>
        </c:rich>
      </c:tx>
      <c:layout>
        <c:manualLayout>
          <c:xMode val="edge"/>
          <c:yMode val="edge"/>
          <c:x val="0.2416910821027184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9000">
                <a:schemeClr val="bg1">
                  <a:lumMod val="95000"/>
                </a:schemeClr>
              </a:gs>
              <a:gs pos="59000">
                <a:srgbClr val="FF0000"/>
              </a:gs>
            </a:gsLst>
            <a:lin ang="16200000" scaled="1"/>
          </a:gradFill>
          <a:ln>
            <a:gradFill flip="none" rotWithShape="1">
              <a:gsLst>
                <a:gs pos="22000">
                  <a:srgbClr val="FF0000"/>
                </a:gs>
                <a:gs pos="71687">
                  <a:srgbClr val="B3C8E2"/>
                </a:gs>
                <a:gs pos="69375">
                  <a:srgbClr val="B5CAE3"/>
                </a:gs>
                <a:gs pos="64750">
                  <a:srgbClr val="B9CDE5"/>
                </a:gs>
                <a:gs pos="55500">
                  <a:srgbClr val="C2D3E8"/>
                </a:gs>
                <a:gs pos="37000">
                  <a:srgbClr val="D3E0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5.7110085761061663E-2"/>
              <c:y val="-0.2419092001812843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43110619987689E-2"/>
                  <c:h val="0.19173448409492466"/>
                </c:manualLayout>
              </c15:layout>
            </c:ext>
          </c:extLst>
        </c:dLbl>
      </c:pivotFmt>
      <c:pivotFmt>
        <c:idx val="7"/>
        <c:spPr>
          <a:ln w="28575" cap="rnd">
            <a:solidFill>
              <a:schemeClr val="accent2"/>
            </a:solidFill>
            <a:round/>
          </a:ln>
          <a:effectLst/>
        </c:spPr>
        <c:marker>
          <c:symbol val="none"/>
        </c:marker>
        <c:dLbl>
          <c:idx val="0"/>
          <c:layout>
            <c:manualLayout>
              <c:x val="-5.7110085761061594E-2"/>
              <c:y val="-0.19185928129946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5.3302746710324152E-2"/>
              <c:y val="-0.200200989182052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6.4738694032837302E-2"/>
              <c:y val="-8.06652117103898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49000">
                <a:schemeClr val="bg1">
                  <a:lumMod val="95000"/>
                </a:schemeClr>
              </a:gs>
              <a:gs pos="59000">
                <a:srgbClr val="FF0000"/>
              </a:gs>
            </a:gsLst>
            <a:lin ang="16200000" scaled="1"/>
          </a:gradFill>
          <a:ln>
            <a:gradFill flip="none" rotWithShape="1">
              <a:gsLst>
                <a:gs pos="22000">
                  <a:srgbClr val="FF0000"/>
                </a:gs>
                <a:gs pos="71687">
                  <a:srgbClr val="B3C8E2"/>
                </a:gs>
                <a:gs pos="69375">
                  <a:srgbClr val="B5CAE3"/>
                </a:gs>
                <a:gs pos="64750">
                  <a:srgbClr val="B9CDE5"/>
                </a:gs>
                <a:gs pos="55500">
                  <a:srgbClr val="C2D3E8"/>
                </a:gs>
                <a:gs pos="37000">
                  <a:srgbClr val="D3E0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effectLst/>
        </c:spPr>
      </c:pivotFmt>
    </c:pivotFmts>
    <c:plotArea>
      <c:layout>
        <c:manualLayout>
          <c:layoutTarget val="inner"/>
          <c:xMode val="edge"/>
          <c:yMode val="edge"/>
          <c:x val="0.11748051258869698"/>
          <c:y val="7.3689148330412874E-2"/>
          <c:w val="0.63044732000517512"/>
          <c:h val="0.75611228734136648"/>
        </c:manualLayout>
      </c:layout>
      <c:barChart>
        <c:barDir val="col"/>
        <c:grouping val="clustered"/>
        <c:varyColors val="0"/>
        <c:ser>
          <c:idx val="0"/>
          <c:order val="0"/>
          <c:tx>
            <c:strRef>
              <c:f>'PIVOT TABLE'!$AA$7</c:f>
              <c:strCache>
                <c:ptCount val="1"/>
                <c:pt idx="0">
                  <c:v> Sales</c:v>
                </c:pt>
              </c:strCache>
            </c:strRef>
          </c:tx>
          <c:spPr>
            <a:gradFill>
              <a:gsLst>
                <a:gs pos="49000">
                  <a:schemeClr val="bg1">
                    <a:lumMod val="95000"/>
                  </a:schemeClr>
                </a:gs>
                <a:gs pos="59000">
                  <a:srgbClr val="FF0000"/>
                </a:gs>
              </a:gsLst>
              <a:lin ang="16200000" scaled="1"/>
            </a:gradFill>
            <a:ln>
              <a:gradFill flip="none" rotWithShape="1">
                <a:gsLst>
                  <a:gs pos="22000">
                    <a:srgbClr val="FF0000"/>
                  </a:gs>
                  <a:gs pos="71687">
                    <a:srgbClr val="B3C8E2"/>
                  </a:gs>
                  <a:gs pos="69375">
                    <a:srgbClr val="B5CAE3"/>
                  </a:gs>
                  <a:gs pos="64750">
                    <a:srgbClr val="B9CDE5"/>
                  </a:gs>
                  <a:gs pos="55500">
                    <a:srgbClr val="C2D3E8"/>
                  </a:gs>
                  <a:gs pos="37000">
                    <a:srgbClr val="D3E0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effectLst/>
          </c:spPr>
          <c:invertIfNegative val="0"/>
          <c:dPt>
            <c:idx val="3"/>
            <c:invertIfNegative val="0"/>
            <c:bubble3D val="0"/>
            <c:spPr>
              <a:gradFill>
                <a:gsLst>
                  <a:gs pos="49000">
                    <a:schemeClr val="bg1">
                      <a:lumMod val="95000"/>
                    </a:schemeClr>
                  </a:gs>
                  <a:gs pos="59000">
                    <a:srgbClr val="FF0000"/>
                  </a:gs>
                </a:gsLst>
                <a:lin ang="16200000" scaled="1"/>
              </a:gradFill>
              <a:ln>
                <a:gradFill flip="none" rotWithShape="1">
                  <a:gsLst>
                    <a:gs pos="22000">
                      <a:srgbClr val="FF0000"/>
                    </a:gs>
                    <a:gs pos="71687">
                      <a:srgbClr val="B3C8E2"/>
                    </a:gs>
                    <a:gs pos="69375">
                      <a:srgbClr val="B5CAE3"/>
                    </a:gs>
                    <a:gs pos="64750">
                      <a:srgbClr val="B9CDE5"/>
                    </a:gs>
                    <a:gs pos="55500">
                      <a:srgbClr val="C2D3E8"/>
                    </a:gs>
                    <a:gs pos="37000">
                      <a:srgbClr val="D3E0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effectLst/>
            </c:spPr>
            <c:extLst>
              <c:ext xmlns:c16="http://schemas.microsoft.com/office/drawing/2014/chart" uri="{C3380CC4-5D6E-409C-BE32-E72D297353CC}">
                <c16:uniqueId val="{00000006-B9A7-4A01-9FBE-B4C5264EE32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TABLE'!$Z$8:$Z$12</c:f>
              <c:strCache>
                <c:ptCount val="4"/>
                <c:pt idx="0">
                  <c:v>East</c:v>
                </c:pt>
                <c:pt idx="1">
                  <c:v>North</c:v>
                </c:pt>
                <c:pt idx="2">
                  <c:v>South</c:v>
                </c:pt>
                <c:pt idx="3">
                  <c:v>West</c:v>
                </c:pt>
              </c:strCache>
            </c:strRef>
          </c:cat>
          <c:val>
            <c:numRef>
              <c:f>'PIVOT TABLE'!$AA$8:$AA$12</c:f>
              <c:numCache>
                <c:formatCode>_ * #,##0_ ;_ * \-#,##0_ ;_ * "-"??_ ;_ @_ </c:formatCode>
                <c:ptCount val="4"/>
                <c:pt idx="0">
                  <c:v>11740186.449999994</c:v>
                </c:pt>
                <c:pt idx="1">
                  <c:v>9569817.4899999928</c:v>
                </c:pt>
                <c:pt idx="2">
                  <c:v>8893364.1899999995</c:v>
                </c:pt>
                <c:pt idx="3">
                  <c:v>19797399.310000017</c:v>
                </c:pt>
              </c:numCache>
            </c:numRef>
          </c:val>
          <c:extLst>
            <c:ext xmlns:c16="http://schemas.microsoft.com/office/drawing/2014/chart" uri="{C3380CC4-5D6E-409C-BE32-E72D297353CC}">
              <c16:uniqueId val="{00000000-B9A7-4A01-9FBE-B4C5264EE32E}"/>
            </c:ext>
          </c:extLst>
        </c:ser>
        <c:dLbls>
          <c:dLblPos val="outEnd"/>
          <c:showLegendKey val="0"/>
          <c:showVal val="1"/>
          <c:showCatName val="0"/>
          <c:showSerName val="0"/>
          <c:showPercent val="0"/>
          <c:showBubbleSize val="0"/>
        </c:dLbls>
        <c:gapWidth val="80"/>
        <c:overlap val="-27"/>
        <c:axId val="372154623"/>
        <c:axId val="372160383"/>
      </c:barChart>
      <c:lineChart>
        <c:grouping val="standard"/>
        <c:varyColors val="0"/>
        <c:ser>
          <c:idx val="1"/>
          <c:order val="1"/>
          <c:tx>
            <c:strRef>
              <c:f>'PIVOT TABLE'!$AB$7</c:f>
              <c:strCache>
                <c:ptCount val="1"/>
                <c:pt idx="0">
                  <c:v>Sum of Sales %</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4-B9A7-4A01-9FBE-B4C5264EE32E}"/>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B9A7-4A01-9FBE-B4C5264EE32E}"/>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B9A7-4A01-9FBE-B4C5264EE32E}"/>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5-B9A7-4A01-9FBE-B4C5264EE32E}"/>
              </c:ext>
            </c:extLst>
          </c:dPt>
          <c:dLbls>
            <c:dLbl>
              <c:idx val="0"/>
              <c:layout>
                <c:manualLayout>
                  <c:x val="-5.3302746710324152E-2"/>
                  <c:y val="-0.20020098918205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A7-4A01-9FBE-B4C5264EE32E}"/>
                </c:ext>
              </c:extLst>
            </c:dLbl>
            <c:dLbl>
              <c:idx val="1"/>
              <c:layout>
                <c:manualLayout>
                  <c:x val="-5.7110085761061663E-2"/>
                  <c:y val="-0.2419092001812843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43110619987689E-2"/>
                      <c:h val="0.19173448409492466"/>
                    </c:manualLayout>
                  </c15:layout>
                </c:ext>
                <c:ext xmlns:c16="http://schemas.microsoft.com/office/drawing/2014/chart" uri="{C3380CC4-5D6E-409C-BE32-E72D297353CC}">
                  <c16:uniqueId val="{00000002-B9A7-4A01-9FBE-B4C5264EE32E}"/>
                </c:ext>
              </c:extLst>
            </c:dLbl>
            <c:dLbl>
              <c:idx val="2"/>
              <c:layout>
                <c:manualLayout>
                  <c:x val="-5.7110085761061594E-2"/>
                  <c:y val="-0.1918592812994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A7-4A01-9FBE-B4C5264EE32E}"/>
                </c:ext>
              </c:extLst>
            </c:dLbl>
            <c:dLbl>
              <c:idx val="3"/>
              <c:layout>
                <c:manualLayout>
                  <c:x val="-6.4738694032837302E-2"/>
                  <c:y val="-8.06652117103898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A7-4A01-9FBE-B4C5264EE3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TABLE'!$Z$8:$Z$12</c:f>
              <c:strCache>
                <c:ptCount val="4"/>
                <c:pt idx="0">
                  <c:v>East</c:v>
                </c:pt>
                <c:pt idx="1">
                  <c:v>North</c:v>
                </c:pt>
                <c:pt idx="2">
                  <c:v>South</c:v>
                </c:pt>
                <c:pt idx="3">
                  <c:v>West</c:v>
                </c:pt>
              </c:strCache>
            </c:strRef>
          </c:cat>
          <c:val>
            <c:numRef>
              <c:f>'PIVOT TABLE'!$AB$8:$AB$12</c:f>
              <c:numCache>
                <c:formatCode>0%</c:formatCode>
                <c:ptCount val="4"/>
                <c:pt idx="0">
                  <c:v>0.23480012509983972</c:v>
                </c:pt>
                <c:pt idx="1">
                  <c:v>0.19139341214079558</c:v>
                </c:pt>
                <c:pt idx="2">
                  <c:v>0.17786455379253671</c:v>
                </c:pt>
                <c:pt idx="3">
                  <c:v>0.39594190896682796</c:v>
                </c:pt>
              </c:numCache>
            </c:numRef>
          </c:val>
          <c:smooth val="0"/>
          <c:extLst>
            <c:ext xmlns:c16="http://schemas.microsoft.com/office/drawing/2014/chart" uri="{C3380CC4-5D6E-409C-BE32-E72D297353CC}">
              <c16:uniqueId val="{00000001-B9A7-4A01-9FBE-B4C5264EE32E}"/>
            </c:ext>
          </c:extLst>
        </c:ser>
        <c:dLbls>
          <c:showLegendKey val="0"/>
          <c:showVal val="1"/>
          <c:showCatName val="0"/>
          <c:showSerName val="0"/>
          <c:showPercent val="0"/>
          <c:showBubbleSize val="0"/>
        </c:dLbls>
        <c:marker val="1"/>
        <c:smooth val="0"/>
        <c:axId val="372144063"/>
        <c:axId val="372145503"/>
      </c:lineChart>
      <c:catAx>
        <c:axId val="37214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72145503"/>
        <c:crosses val="autoZero"/>
        <c:auto val="1"/>
        <c:lblAlgn val="ctr"/>
        <c:lblOffset val="100"/>
        <c:noMultiLvlLbl val="0"/>
      </c:catAx>
      <c:valAx>
        <c:axId val="3721455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72144063"/>
        <c:crosses val="autoZero"/>
        <c:crossBetween val="between"/>
      </c:valAx>
      <c:valAx>
        <c:axId val="372160383"/>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72154623"/>
        <c:crosses val="max"/>
        <c:crossBetween val="between"/>
      </c:valAx>
      <c:catAx>
        <c:axId val="372154623"/>
        <c:scaling>
          <c:orientation val="minMax"/>
        </c:scaling>
        <c:delete val="1"/>
        <c:axPos val="b"/>
        <c:numFmt formatCode="General" sourceLinked="1"/>
        <c:majorTickMark val="out"/>
        <c:minorTickMark val="none"/>
        <c:tickLblPos val="nextTo"/>
        <c:crossAx val="3721603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r>
              <a:rPr lang="en-IN" b="1">
                <a:solidFill>
                  <a:schemeClr val="bg1"/>
                </a:solidFill>
                <a:latin typeface="Aptos Narrow" panose="020B0004020202020204" pitchFamily="34" charset="0"/>
              </a:rPr>
              <a:t>Sales</a:t>
            </a:r>
            <a:r>
              <a:rPr lang="en-IN" b="1" baseline="0">
                <a:solidFill>
                  <a:schemeClr val="bg1"/>
                </a:solidFill>
                <a:latin typeface="Aptos Narrow" panose="020B0004020202020204" pitchFamily="34" charset="0"/>
              </a:rPr>
              <a:t> By Segment %</a:t>
            </a:r>
            <a:endParaRPr lang="en-IN" b="1">
              <a:solidFill>
                <a:schemeClr val="bg1"/>
              </a:solidFill>
              <a:latin typeface="Aptos Narrow" panose="020B0004020202020204" pitchFamily="34" charset="0"/>
            </a:endParaRPr>
          </a:p>
        </c:rich>
      </c:tx>
      <c:layout>
        <c:manualLayout>
          <c:xMode val="edge"/>
          <c:yMode val="edge"/>
          <c:x val="0.14913647065023147"/>
          <c:y val="3.8877486315795119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endParaRPr lang="en-IN"/>
        </a:p>
      </c:txPr>
    </c:title>
    <c:autoTitleDeleted val="0"/>
    <c:plotArea>
      <c:layout>
        <c:manualLayout>
          <c:layoutTarget val="inner"/>
          <c:xMode val="edge"/>
          <c:yMode val="edge"/>
          <c:x val="0.25381321062488832"/>
          <c:y val="0.27847439254144124"/>
          <c:w val="0.49922877995881809"/>
          <c:h val="0.59153884180890426"/>
        </c:manualLayout>
      </c:layout>
      <c:radarChart>
        <c:radarStyle val="filled"/>
        <c:varyColors val="0"/>
        <c:ser>
          <c:idx val="0"/>
          <c:order val="0"/>
          <c:tx>
            <c:strRef>
              <c:f>'PIVOT TABLE'!$Q$16</c:f>
              <c:strCache>
                <c:ptCount val="1"/>
                <c:pt idx="0">
                  <c:v>Sum of Sales</c:v>
                </c:pt>
              </c:strCache>
            </c:strRef>
          </c:tx>
          <c:spPr>
            <a:solidFill>
              <a:srgbClr val="00B050"/>
            </a:solidFill>
            <a:ln>
              <a:gradFill>
                <a:gsLst>
                  <a:gs pos="55000">
                    <a:srgbClr val="FF0000"/>
                  </a:gs>
                  <a:gs pos="43000">
                    <a:srgbClr val="FFFF00">
                      <a:lumMod val="0"/>
                      <a:lumOff val="100000"/>
                    </a:srgbClr>
                  </a:gs>
                </a:gsLst>
                <a:lin ang="5400000" scaled="1"/>
              </a:gradFill>
            </a:ln>
            <a:effectLst/>
          </c:spPr>
          <c:dLbls>
            <c:dLbl>
              <c:idx val="1"/>
              <c:layout>
                <c:manualLayout>
                  <c:x val="3.6874945817887542E-2"/>
                  <c:y val="-0.129687646792119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E9-4CBF-B2CA-39A7B2D9D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TABLE'!$P$17:$P$19</c:f>
              <c:strCache>
                <c:ptCount val="3"/>
                <c:pt idx="0">
                  <c:v>Consumer</c:v>
                </c:pt>
                <c:pt idx="1">
                  <c:v>Corporate</c:v>
                </c:pt>
                <c:pt idx="2">
                  <c:v>Home Office</c:v>
                </c:pt>
              </c:strCache>
            </c:strRef>
          </c:cat>
          <c:val>
            <c:numRef>
              <c:f>'PIVOT TABLE'!$Q$17:$Q$19</c:f>
              <c:numCache>
                <c:formatCode>0%</c:formatCode>
                <c:ptCount val="3"/>
                <c:pt idx="0">
                  <c:v>0.33325508393436787</c:v>
                </c:pt>
                <c:pt idx="1">
                  <c:v>0.34751964079053727</c:v>
                </c:pt>
                <c:pt idx="2">
                  <c:v>0.31922527527509481</c:v>
                </c:pt>
              </c:numCache>
            </c:numRef>
          </c:val>
          <c:extLst>
            <c:ext xmlns:c16="http://schemas.microsoft.com/office/drawing/2014/chart" uri="{C3380CC4-5D6E-409C-BE32-E72D297353CC}">
              <c16:uniqueId val="{00000002-43E9-4CBF-B2CA-39A7B2D9DFFA}"/>
            </c:ext>
          </c:extLst>
        </c:ser>
        <c:dLbls>
          <c:showLegendKey val="0"/>
          <c:showVal val="1"/>
          <c:showCatName val="0"/>
          <c:showSerName val="0"/>
          <c:showPercent val="0"/>
          <c:showBubbleSize val="0"/>
        </c:dLbls>
        <c:axId val="397363695"/>
        <c:axId val="397364655"/>
      </c:radarChart>
      <c:catAx>
        <c:axId val="3973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7364655"/>
        <c:crosses val="autoZero"/>
        <c:auto val="1"/>
        <c:lblAlgn val="ctr"/>
        <c:lblOffset val="100"/>
        <c:noMultiLvlLbl val="0"/>
      </c:catAx>
      <c:valAx>
        <c:axId val="397364655"/>
        <c:scaling>
          <c:orientation val="minMax"/>
        </c:scaling>
        <c:delete val="1"/>
        <c:axPos val="l"/>
        <c:numFmt formatCode="0%" sourceLinked="1"/>
        <c:majorTickMark val="none"/>
        <c:minorTickMark val="none"/>
        <c:tickLblPos val="nextTo"/>
        <c:crossAx val="39736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Revenue Analytics Dashboard (Excel).xlsx]PIVOT TABLE!PivotTable33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lgerian" panose="04020705040A02060702" pitchFamily="82" charset="0"/>
              </a:rPr>
              <a:t>Top</a:t>
            </a:r>
            <a:r>
              <a:rPr lang="en-US" b="1">
                <a:solidFill>
                  <a:schemeClr val="bg1"/>
                </a:solidFill>
                <a:latin typeface="Algerian" panose="04020705040A02060702" pitchFamily="82" charset="0"/>
              </a:rPr>
              <a:t> Product Sales</a:t>
            </a:r>
          </a:p>
        </c:rich>
      </c:tx>
      <c:layout>
        <c:manualLayout>
          <c:xMode val="edge"/>
          <c:yMode val="edge"/>
          <c:x val="0.23262162861992794"/>
          <c:y val="2.0297121085112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9000">
                <a:srgbClr val="FF66FF"/>
              </a:gs>
              <a:gs pos="41000">
                <a:srgbClr val="FFFF00">
                  <a:lumMod val="3000"/>
                  <a:lumOff val="97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9000">
                <a:srgbClr val="FF66FF"/>
              </a:gs>
              <a:gs pos="41000">
                <a:srgbClr val="FFFF00">
                  <a:lumMod val="3000"/>
                  <a:lumOff val="97000"/>
                </a:srgbClr>
              </a:gs>
            </a:gsLst>
            <a:lin ang="5400000" scaled="1"/>
          </a:gradFill>
          <a:ln>
            <a:noFill/>
          </a:ln>
          <a:effectLst/>
        </c:spPr>
        <c:dLbl>
          <c:idx val="0"/>
          <c:layout>
            <c:manualLayout>
              <c:x val="8.1828526068506643E-3"/>
              <c:y val="6.74989244231546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25103832023434"/>
                  <c:h val="0.12134393559347527"/>
                </c:manualLayout>
              </c15:layout>
            </c:ext>
          </c:extLst>
        </c:dLbl>
      </c:pivotFmt>
      <c:pivotFmt>
        <c:idx val="4"/>
        <c:spPr>
          <a:gradFill>
            <a:gsLst>
              <a:gs pos="49000">
                <a:srgbClr val="FF66FF"/>
              </a:gs>
              <a:gs pos="41000">
                <a:srgbClr val="FFFF00">
                  <a:lumMod val="3000"/>
                  <a:lumOff val="97000"/>
                </a:srgb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13424646236596"/>
                  <c:h val="0.12134393559347527"/>
                </c:manualLayout>
              </c15:layout>
            </c:ext>
          </c:extLst>
        </c:dLbl>
      </c:pivotFmt>
      <c:pivotFmt>
        <c:idx val="5"/>
        <c:spPr>
          <a:gradFill>
            <a:gsLst>
              <a:gs pos="49000">
                <a:srgbClr val="FF66FF"/>
              </a:gs>
              <a:gs pos="41000">
                <a:srgbClr val="FFFF00">
                  <a:lumMod val="3000"/>
                  <a:lumOff val="97000"/>
                </a:srgb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98244874763697"/>
                  <c:h val="0.12134393559347527"/>
                </c:manualLayout>
              </c15:layout>
            </c:ext>
          </c:extLst>
        </c:dLbl>
      </c:pivotFmt>
      <c:pivotFmt>
        <c:idx val="6"/>
        <c:spPr>
          <a:gradFill>
            <a:gsLst>
              <a:gs pos="49000">
                <a:srgbClr val="FF66FF"/>
              </a:gs>
              <a:gs pos="41000">
                <a:srgbClr val="FFFF00">
                  <a:lumMod val="3000"/>
                  <a:lumOff val="97000"/>
                </a:srgb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53100656818884"/>
                  <c:h val="0.12134393559347527"/>
                </c:manualLayout>
              </c15:layout>
            </c:ext>
          </c:extLst>
        </c:dLbl>
      </c:pivotFmt>
    </c:pivotFmts>
    <c:plotArea>
      <c:layout>
        <c:manualLayout>
          <c:layoutTarget val="inner"/>
          <c:xMode val="edge"/>
          <c:yMode val="edge"/>
          <c:x val="0.25718636963209829"/>
          <c:y val="0.12202213697559068"/>
          <c:w val="0.57014559356321159"/>
          <c:h val="0.87797786302440928"/>
        </c:manualLayout>
      </c:layout>
      <c:barChart>
        <c:barDir val="bar"/>
        <c:grouping val="clustered"/>
        <c:varyColors val="0"/>
        <c:ser>
          <c:idx val="0"/>
          <c:order val="0"/>
          <c:tx>
            <c:strRef>
              <c:f>'PIVOT TABLE'!$AH$7</c:f>
              <c:strCache>
                <c:ptCount val="1"/>
                <c:pt idx="0">
                  <c:v>Total</c:v>
                </c:pt>
              </c:strCache>
            </c:strRef>
          </c:tx>
          <c:spPr>
            <a:gradFill>
              <a:gsLst>
                <a:gs pos="49000">
                  <a:srgbClr val="FF66FF"/>
                </a:gs>
                <a:gs pos="41000">
                  <a:srgbClr val="FFFF00">
                    <a:lumMod val="3000"/>
                    <a:lumOff val="97000"/>
                  </a:srgbClr>
                </a:gs>
              </a:gsLst>
              <a:lin ang="5400000" scaled="1"/>
            </a:gradFill>
            <a:ln>
              <a:noFill/>
            </a:ln>
            <a:effectLst/>
          </c:spPr>
          <c:invertIfNegative val="0"/>
          <c:dPt>
            <c:idx val="0"/>
            <c:invertIfNegative val="0"/>
            <c:bubble3D val="0"/>
            <c:spPr>
              <a:gradFill>
                <a:gsLst>
                  <a:gs pos="49000">
                    <a:srgbClr val="FF66FF"/>
                  </a:gs>
                  <a:gs pos="41000">
                    <a:srgbClr val="FFFF00">
                      <a:lumMod val="3000"/>
                      <a:lumOff val="97000"/>
                    </a:srgbClr>
                  </a:gs>
                </a:gsLst>
                <a:lin ang="5400000" scaled="1"/>
              </a:gradFill>
              <a:ln>
                <a:noFill/>
              </a:ln>
              <a:effectLst/>
            </c:spPr>
            <c:extLst>
              <c:ext xmlns:c16="http://schemas.microsoft.com/office/drawing/2014/chart" uri="{C3380CC4-5D6E-409C-BE32-E72D297353CC}">
                <c16:uniqueId val="{00000003-89AD-47B5-AE51-20179E5E06FA}"/>
              </c:ext>
            </c:extLst>
          </c:dPt>
          <c:dPt>
            <c:idx val="1"/>
            <c:invertIfNegative val="0"/>
            <c:bubble3D val="0"/>
            <c:spPr>
              <a:gradFill>
                <a:gsLst>
                  <a:gs pos="49000">
                    <a:srgbClr val="FF66FF"/>
                  </a:gs>
                  <a:gs pos="41000">
                    <a:srgbClr val="FFFF00">
                      <a:lumMod val="3000"/>
                      <a:lumOff val="97000"/>
                    </a:srgbClr>
                  </a:gs>
                </a:gsLst>
                <a:lin ang="5400000" scaled="1"/>
              </a:gradFill>
              <a:ln>
                <a:noFill/>
              </a:ln>
              <a:effectLst/>
            </c:spPr>
            <c:extLst>
              <c:ext xmlns:c16="http://schemas.microsoft.com/office/drawing/2014/chart" uri="{C3380CC4-5D6E-409C-BE32-E72D297353CC}">
                <c16:uniqueId val="{00000002-89AD-47B5-AE51-20179E5E06FA}"/>
              </c:ext>
            </c:extLst>
          </c:dPt>
          <c:dPt>
            <c:idx val="2"/>
            <c:invertIfNegative val="0"/>
            <c:bubble3D val="0"/>
            <c:spPr>
              <a:gradFill>
                <a:gsLst>
                  <a:gs pos="49000">
                    <a:srgbClr val="FF66FF"/>
                  </a:gs>
                  <a:gs pos="41000">
                    <a:srgbClr val="FFFF00">
                      <a:lumMod val="3000"/>
                      <a:lumOff val="97000"/>
                    </a:srgbClr>
                  </a:gs>
                </a:gsLst>
                <a:lin ang="5400000" scaled="1"/>
              </a:gradFill>
              <a:ln>
                <a:noFill/>
              </a:ln>
              <a:effectLst/>
            </c:spPr>
            <c:extLst>
              <c:ext xmlns:c16="http://schemas.microsoft.com/office/drawing/2014/chart" uri="{C3380CC4-5D6E-409C-BE32-E72D297353CC}">
                <c16:uniqueId val="{00000001-89AD-47B5-AE51-20179E5E06FA}"/>
              </c:ext>
            </c:extLst>
          </c:dPt>
          <c:dPt>
            <c:idx val="3"/>
            <c:invertIfNegative val="0"/>
            <c:bubble3D val="0"/>
            <c:spPr>
              <a:gradFill>
                <a:gsLst>
                  <a:gs pos="49000">
                    <a:srgbClr val="FF66FF"/>
                  </a:gs>
                  <a:gs pos="41000">
                    <a:srgbClr val="FFFF00">
                      <a:lumMod val="3000"/>
                      <a:lumOff val="97000"/>
                    </a:srgbClr>
                  </a:gs>
                </a:gsLst>
                <a:lin ang="5400000" scaled="1"/>
              </a:gradFill>
              <a:ln>
                <a:noFill/>
              </a:ln>
              <a:effectLst/>
            </c:spPr>
            <c:extLst>
              <c:ext xmlns:c16="http://schemas.microsoft.com/office/drawing/2014/chart" uri="{C3380CC4-5D6E-409C-BE32-E72D297353CC}">
                <c16:uniqueId val="{00000000-89AD-47B5-AE51-20179E5E06F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453100656818884"/>
                      <c:h val="0.12134393559347527"/>
                    </c:manualLayout>
                  </c15:layout>
                </c:ext>
                <c:ext xmlns:c16="http://schemas.microsoft.com/office/drawing/2014/chart" uri="{C3380CC4-5D6E-409C-BE32-E72D297353CC}">
                  <c16:uniqueId val="{00000003-89AD-47B5-AE51-20179E5E06F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998244874763697"/>
                      <c:h val="0.12134393559347527"/>
                    </c:manualLayout>
                  </c15:layout>
                </c:ext>
                <c:ext xmlns:c16="http://schemas.microsoft.com/office/drawing/2014/chart" uri="{C3380CC4-5D6E-409C-BE32-E72D297353CC}">
                  <c16:uniqueId val="{00000002-89AD-47B5-AE51-20179E5E06FA}"/>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13424646236596"/>
                      <c:h val="0.12134393559347527"/>
                    </c:manualLayout>
                  </c15:layout>
                </c:ext>
                <c:ext xmlns:c16="http://schemas.microsoft.com/office/drawing/2014/chart" uri="{C3380CC4-5D6E-409C-BE32-E72D297353CC}">
                  <c16:uniqueId val="{00000001-89AD-47B5-AE51-20179E5E06FA}"/>
                </c:ext>
              </c:extLst>
            </c:dLbl>
            <c:dLbl>
              <c:idx val="3"/>
              <c:layout>
                <c:manualLayout>
                  <c:x val="8.1828526068506643E-3"/>
                  <c:y val="6.749892442315468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725103832023434"/>
                      <c:h val="0.12134393559347527"/>
                    </c:manualLayout>
                  </c15:layout>
                </c:ext>
                <c:ext xmlns:c16="http://schemas.microsoft.com/office/drawing/2014/chart" uri="{C3380CC4-5D6E-409C-BE32-E72D297353CC}">
                  <c16:uniqueId val="{00000000-89AD-47B5-AE51-20179E5E06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TABLE'!$AG$8:$AG$12</c:f>
              <c:strCache>
                <c:ptCount val="4"/>
                <c:pt idx="0">
                  <c:v>Chair</c:v>
                </c:pt>
                <c:pt idx="1">
                  <c:v>Laptop</c:v>
                </c:pt>
                <c:pt idx="2">
                  <c:v>Paper</c:v>
                </c:pt>
                <c:pt idx="3">
                  <c:v>Smartphone</c:v>
                </c:pt>
              </c:strCache>
            </c:strRef>
          </c:cat>
          <c:val>
            <c:numRef>
              <c:f>'PIVOT TABLE'!$AH$8:$AH$12</c:f>
              <c:numCache>
                <c:formatCode>_ * #,##0_ ;_ * \-#,##0_ ;_ * "-"??_ ;_ @_ </c:formatCode>
                <c:ptCount val="4"/>
                <c:pt idx="0">
                  <c:v>11325671.799999999</c:v>
                </c:pt>
                <c:pt idx="1">
                  <c:v>12196887.690000003</c:v>
                </c:pt>
                <c:pt idx="2">
                  <c:v>12576337.239999991</c:v>
                </c:pt>
                <c:pt idx="3">
                  <c:v>13901870.710000003</c:v>
                </c:pt>
              </c:numCache>
            </c:numRef>
          </c:val>
          <c:extLst>
            <c:ext xmlns:c16="http://schemas.microsoft.com/office/drawing/2014/chart" uri="{C3380CC4-5D6E-409C-BE32-E72D297353CC}">
              <c16:uniqueId val="{00000000-0999-4D38-90F5-07AC17BCE512}"/>
            </c:ext>
          </c:extLst>
        </c:ser>
        <c:dLbls>
          <c:dLblPos val="outEnd"/>
          <c:showLegendKey val="0"/>
          <c:showVal val="1"/>
          <c:showCatName val="0"/>
          <c:showSerName val="0"/>
          <c:showPercent val="0"/>
          <c:showBubbleSize val="0"/>
        </c:dLbls>
        <c:gapWidth val="70"/>
        <c:axId val="397361775"/>
        <c:axId val="397387695"/>
      </c:barChart>
      <c:catAx>
        <c:axId val="39736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7387695"/>
        <c:crosses val="autoZero"/>
        <c:auto val="1"/>
        <c:lblAlgn val="ctr"/>
        <c:lblOffset val="100"/>
        <c:noMultiLvlLbl val="0"/>
      </c:catAx>
      <c:valAx>
        <c:axId val="397387695"/>
        <c:scaling>
          <c:orientation val="minMax"/>
        </c:scaling>
        <c:delete val="1"/>
        <c:axPos val="b"/>
        <c:numFmt formatCode="_ * #,##0_ ;_ * \-#,##0_ ;_ * &quot;-&quot;??_ ;_ @_ " sourceLinked="1"/>
        <c:majorTickMark val="none"/>
        <c:minorTickMark val="none"/>
        <c:tickLblPos val="nextTo"/>
        <c:crossAx val="39736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Revenue Analytics Dashboard (Excel).xlsx]PIVOT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erlin Sans FB Demi" panose="020E0802020502020306" pitchFamily="34" charset="0"/>
                <a:ea typeface="+mn-ea"/>
                <a:cs typeface="+mn-cs"/>
              </a:defRPr>
            </a:pPr>
            <a:r>
              <a:rPr lang="en-US" b="1">
                <a:solidFill>
                  <a:schemeClr val="bg1"/>
                </a:solidFill>
                <a:latin typeface="Berlin Sans FB Demi" panose="020E0802020502020306" pitchFamily="34" charset="0"/>
              </a:rPr>
              <a:t>Monthy Sales</a:t>
            </a:r>
          </a:p>
        </c:rich>
      </c:tx>
      <c:layout>
        <c:manualLayout>
          <c:xMode val="edge"/>
          <c:yMode val="edge"/>
          <c:x val="0.42157977990679546"/>
          <c:y val="4.6112692284965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erlin Sans FB Demi" panose="020E0802020502020306"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FF"/>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59153714318939E-2"/>
          <c:y val="0.20171702349766599"/>
          <c:w val="0.93528169257136218"/>
          <c:h val="0.61694298910795531"/>
        </c:manualLayout>
      </c:layout>
      <c:barChart>
        <c:barDir val="col"/>
        <c:grouping val="clustered"/>
        <c:varyColors val="0"/>
        <c:ser>
          <c:idx val="0"/>
          <c:order val="0"/>
          <c:tx>
            <c:strRef>
              <c:f>'PIVOT TABLE'!$B$7</c:f>
              <c:strCache>
                <c:ptCount val="1"/>
                <c:pt idx="0">
                  <c:v>Sum of Sales</c:v>
                </c:pt>
              </c:strCache>
            </c:strRef>
          </c:tx>
          <c:spPr>
            <a:solidFill>
              <a:srgbClr val="0000FF"/>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4218182.3699999992</c:v>
                </c:pt>
                <c:pt idx="1">
                  <c:v>4004733.4599999995</c:v>
                </c:pt>
                <c:pt idx="2">
                  <c:v>3653886.2299999995</c:v>
                </c:pt>
                <c:pt idx="3">
                  <c:v>4017912.6300000013</c:v>
                </c:pt>
                <c:pt idx="4">
                  <c:v>4380391.7299999986</c:v>
                </c:pt>
                <c:pt idx="5">
                  <c:v>4137030.2499999991</c:v>
                </c:pt>
                <c:pt idx="6">
                  <c:v>3958417.16</c:v>
                </c:pt>
                <c:pt idx="7">
                  <c:v>4347038.9899999984</c:v>
                </c:pt>
                <c:pt idx="8">
                  <c:v>2937235.0199999986</c:v>
                </c:pt>
                <c:pt idx="9">
                  <c:v>4823804.0800000019</c:v>
                </c:pt>
                <c:pt idx="10">
                  <c:v>5204418.1600000011</c:v>
                </c:pt>
                <c:pt idx="11">
                  <c:v>4317717.3599999994</c:v>
                </c:pt>
              </c:numCache>
            </c:numRef>
          </c:val>
          <c:extLst>
            <c:ext xmlns:c16="http://schemas.microsoft.com/office/drawing/2014/chart" uri="{C3380CC4-5D6E-409C-BE32-E72D297353CC}">
              <c16:uniqueId val="{00000000-6311-446C-B027-22578322E372}"/>
            </c:ext>
          </c:extLst>
        </c:ser>
        <c:ser>
          <c:idx val="1"/>
          <c:order val="1"/>
          <c:tx>
            <c:strRef>
              <c:f>'PIVOT TABLE'!$C$7</c:f>
              <c:strCache>
                <c:ptCount val="1"/>
                <c:pt idx="0">
                  <c:v>Sum of Low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04E-497C-9766-A549E8502B2C}"/>
            </c:ext>
          </c:extLst>
        </c:ser>
        <c:ser>
          <c:idx val="2"/>
          <c:order val="2"/>
          <c:tx>
            <c:strRef>
              <c:f>'PIVOT TABLE'!$D$7</c:f>
              <c:strCache>
                <c:ptCount val="1"/>
                <c:pt idx="0">
                  <c:v>Sum of Medium sales</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TABLE'!$D$8:$D$20</c:f>
              <c:numCache>
                <c:formatCode>0,\K</c:formatCode>
                <c:ptCount val="12"/>
                <c:pt idx="0">
                  <c:v>4218182.3699999992</c:v>
                </c:pt>
                <c:pt idx="1">
                  <c:v>4004733.4599999995</c:v>
                </c:pt>
                <c:pt idx="2">
                  <c:v>3653886.2299999995</c:v>
                </c:pt>
                <c:pt idx="3">
                  <c:v>4017912.6300000013</c:v>
                </c:pt>
                <c:pt idx="4">
                  <c:v>4380391.7299999986</c:v>
                </c:pt>
                <c:pt idx="5">
                  <c:v>4137030.2499999991</c:v>
                </c:pt>
                <c:pt idx="6">
                  <c:v>3958417.16</c:v>
                </c:pt>
                <c:pt idx="7">
                  <c:v>4347038.9899999984</c:v>
                </c:pt>
                <c:pt idx="8">
                  <c:v>2937235.0199999986</c:v>
                </c:pt>
                <c:pt idx="9">
                  <c:v>4823804.0800000019</c:v>
                </c:pt>
                <c:pt idx="10">
                  <c:v>#N/A</c:v>
                </c:pt>
                <c:pt idx="11">
                  <c:v>#N/A</c:v>
                </c:pt>
              </c:numCache>
            </c:numRef>
          </c:val>
          <c:extLst>
            <c:ext xmlns:c16="http://schemas.microsoft.com/office/drawing/2014/chart" uri="{C3380CC4-5D6E-409C-BE32-E72D297353CC}">
              <c16:uniqueId val="{00000001-404E-497C-9766-A549E8502B2C}"/>
            </c:ext>
          </c:extLst>
        </c:ser>
        <c:ser>
          <c:idx val="3"/>
          <c:order val="3"/>
          <c:tx>
            <c:strRef>
              <c:f>'PIVOT TABLE'!$E$7</c:f>
              <c:strCache>
                <c:ptCount val="1"/>
                <c:pt idx="0">
                  <c:v>Sum of Column1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TABLE'!$E$8:$E$20</c:f>
              <c:numCache>
                <c:formatCode>0,\K</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404E-497C-9766-A549E8502B2C}"/>
            </c:ext>
          </c:extLst>
        </c:ser>
        <c:dLbls>
          <c:dLblPos val="outEnd"/>
          <c:showLegendKey val="0"/>
          <c:showVal val="1"/>
          <c:showCatName val="0"/>
          <c:showSerName val="0"/>
          <c:showPercent val="0"/>
          <c:showBubbleSize val="0"/>
        </c:dLbls>
        <c:gapWidth val="99"/>
        <c:overlap val="100"/>
        <c:axId val="372142143"/>
        <c:axId val="372144543"/>
      </c:barChart>
      <c:catAx>
        <c:axId val="37214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72144543"/>
        <c:crosses val="autoZero"/>
        <c:auto val="1"/>
        <c:lblAlgn val="ctr"/>
        <c:lblOffset val="100"/>
        <c:noMultiLvlLbl val="0"/>
      </c:catAx>
      <c:valAx>
        <c:axId val="372144543"/>
        <c:scaling>
          <c:orientation val="minMax"/>
        </c:scaling>
        <c:delete val="1"/>
        <c:axPos val="l"/>
        <c:numFmt formatCode="0,\K" sourceLinked="1"/>
        <c:majorTickMark val="none"/>
        <c:minorTickMark val="none"/>
        <c:tickLblPos val="nextTo"/>
        <c:crossAx val="37214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Revenue Analytics Dashboard (Excel).xlsx]PIVOT TABLE!PivotTable32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gency FB" panose="020B0503020202020204" pitchFamily="34" charset="0"/>
              </a:rPr>
              <a:t>Sales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44000">
                <a:srgbClr val="0000FF"/>
              </a:gs>
              <a:gs pos="52000">
                <a:srgbClr val="FFFF00"/>
              </a:gs>
            </a:gsLst>
            <a:lin ang="5400000" scaled="1"/>
          </a:gra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44000">
                <a:srgbClr val="0000FF"/>
              </a:gs>
              <a:gs pos="52000">
                <a:srgbClr val="FFFF00"/>
              </a:gs>
            </a:gsLst>
            <a:lin ang="5400000" scaled="1"/>
          </a:gradFill>
          <a:ln w="19050">
            <a:solidFill>
              <a:schemeClr val="lt1"/>
            </a:solidFill>
          </a:ln>
          <a:effectLst/>
        </c:spPr>
        <c:dLbl>
          <c:idx val="0"/>
          <c:layout>
            <c:manualLayout>
              <c:x val="0.21085370772511219"/>
              <c:y val="-0.1924307592071734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409371425494037"/>
                  <c:h val="0.22768786627474685"/>
                </c:manualLayout>
              </c15:layout>
            </c:ext>
          </c:extLst>
        </c:dLbl>
      </c:pivotFmt>
      <c:pivotFmt>
        <c:idx val="7"/>
        <c:spPr>
          <a:gradFill>
            <a:gsLst>
              <a:gs pos="44000">
                <a:srgbClr val="0000FF"/>
              </a:gs>
              <a:gs pos="52000">
                <a:srgbClr val="FFFF00"/>
              </a:gs>
            </a:gsLst>
            <a:lin ang="5400000" scaled="1"/>
          </a:gradFill>
          <a:ln w="19050">
            <a:solidFill>
              <a:schemeClr val="lt1"/>
            </a:solidFill>
          </a:ln>
          <a:effectLst/>
        </c:spPr>
        <c:dLbl>
          <c:idx val="0"/>
          <c:layout>
            <c:manualLayout>
              <c:x val="0.18284796023148364"/>
              <c:y val="-2.805660047273698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57888787721705"/>
                  <c:h val="0.33521322222295646"/>
                </c:manualLayout>
              </c15:layout>
            </c:ext>
          </c:extLst>
        </c:dLbl>
      </c:pivotFmt>
      <c:pivotFmt>
        <c:idx val="8"/>
        <c:spPr>
          <a:gradFill>
            <a:gsLst>
              <a:gs pos="44000">
                <a:srgbClr val="0000FF"/>
              </a:gs>
              <a:gs pos="52000">
                <a:srgbClr val="FFFF00"/>
              </a:gs>
            </a:gsLst>
            <a:lin ang="5400000" scaled="1"/>
          </a:gradFill>
          <a:ln w="19050">
            <a:solidFill>
              <a:schemeClr val="lt1"/>
            </a:solidFill>
          </a:ln>
          <a:effectLst/>
        </c:spPr>
        <c:dLbl>
          <c:idx val="0"/>
          <c:layout>
            <c:manualLayout>
              <c:x val="-0.15848487484184512"/>
              <c:y val="-0.3032377803399590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571905856094713"/>
                  <c:h val="0.24579734471752104"/>
                </c:manualLayout>
              </c15:layout>
            </c:ext>
          </c:extLst>
        </c:dLbl>
      </c:pivotFmt>
    </c:pivotFmts>
    <c:plotArea>
      <c:layout>
        <c:manualLayout>
          <c:layoutTarget val="inner"/>
          <c:xMode val="edge"/>
          <c:yMode val="edge"/>
          <c:x val="0.29244486530546304"/>
          <c:y val="0.44730925430056562"/>
          <c:w val="0.40086077048607388"/>
          <c:h val="0.4869942009409074"/>
        </c:manualLayout>
      </c:layout>
      <c:doughnutChart>
        <c:varyColors val="1"/>
        <c:ser>
          <c:idx val="0"/>
          <c:order val="0"/>
          <c:tx>
            <c:strRef>
              <c:f>'PIVOT TABLE'!$AE$7</c:f>
              <c:strCache>
                <c:ptCount val="1"/>
                <c:pt idx="0">
                  <c:v>Total</c:v>
                </c:pt>
              </c:strCache>
            </c:strRef>
          </c:tx>
          <c:spPr>
            <a:gradFill>
              <a:gsLst>
                <a:gs pos="44000">
                  <a:srgbClr val="0000FF"/>
                </a:gs>
                <a:gs pos="52000">
                  <a:srgbClr val="FFFF00"/>
                </a:gs>
              </a:gsLst>
              <a:lin ang="5400000" scaled="1"/>
            </a:gradFill>
          </c:spPr>
          <c:explosion val="2"/>
          <c:dPt>
            <c:idx val="0"/>
            <c:bubble3D val="0"/>
            <c:spPr>
              <a:gradFill>
                <a:gsLst>
                  <a:gs pos="44000">
                    <a:srgbClr val="0000FF"/>
                  </a:gs>
                  <a:gs pos="52000">
                    <a:srgbClr val="FFFF00"/>
                  </a:gs>
                </a:gsLst>
                <a:lin ang="5400000" scaled="1"/>
              </a:gradFill>
              <a:ln w="19050">
                <a:solidFill>
                  <a:schemeClr val="lt1"/>
                </a:solidFill>
              </a:ln>
              <a:effectLst/>
            </c:spPr>
            <c:extLst>
              <c:ext xmlns:c16="http://schemas.microsoft.com/office/drawing/2014/chart" uri="{C3380CC4-5D6E-409C-BE32-E72D297353CC}">
                <c16:uniqueId val="{00000001-2E47-4A1C-A021-C8A42E3195F5}"/>
              </c:ext>
            </c:extLst>
          </c:dPt>
          <c:dPt>
            <c:idx val="1"/>
            <c:bubble3D val="0"/>
            <c:spPr>
              <a:gradFill>
                <a:gsLst>
                  <a:gs pos="44000">
                    <a:srgbClr val="0000FF"/>
                  </a:gs>
                  <a:gs pos="52000">
                    <a:srgbClr val="FFFF00"/>
                  </a:gs>
                </a:gsLst>
                <a:lin ang="5400000" scaled="1"/>
              </a:gradFill>
              <a:ln w="19050">
                <a:solidFill>
                  <a:schemeClr val="lt1"/>
                </a:solidFill>
              </a:ln>
              <a:effectLst/>
            </c:spPr>
            <c:extLst>
              <c:ext xmlns:c16="http://schemas.microsoft.com/office/drawing/2014/chart" uri="{C3380CC4-5D6E-409C-BE32-E72D297353CC}">
                <c16:uniqueId val="{00000003-2E47-4A1C-A021-C8A42E3195F5}"/>
              </c:ext>
            </c:extLst>
          </c:dPt>
          <c:dPt>
            <c:idx val="2"/>
            <c:bubble3D val="0"/>
            <c:spPr>
              <a:gradFill>
                <a:gsLst>
                  <a:gs pos="44000">
                    <a:srgbClr val="0000FF"/>
                  </a:gs>
                  <a:gs pos="52000">
                    <a:srgbClr val="FFFF00"/>
                  </a:gs>
                </a:gsLst>
                <a:lin ang="5400000" scaled="1"/>
              </a:gradFill>
              <a:ln w="19050">
                <a:solidFill>
                  <a:schemeClr val="lt1"/>
                </a:solidFill>
              </a:ln>
              <a:effectLst/>
            </c:spPr>
            <c:extLst>
              <c:ext xmlns:c16="http://schemas.microsoft.com/office/drawing/2014/chart" uri="{C3380CC4-5D6E-409C-BE32-E72D297353CC}">
                <c16:uniqueId val="{00000005-2E47-4A1C-A021-C8A42E3195F5}"/>
              </c:ext>
            </c:extLst>
          </c:dPt>
          <c:dLbls>
            <c:dLbl>
              <c:idx val="0"/>
              <c:layout>
                <c:manualLayout>
                  <c:x val="0.21085370772511219"/>
                  <c:y val="-0.1924307592071734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409371425494037"/>
                      <c:h val="0.22768786627474685"/>
                    </c:manualLayout>
                  </c15:layout>
                </c:ext>
                <c:ext xmlns:c16="http://schemas.microsoft.com/office/drawing/2014/chart" uri="{C3380CC4-5D6E-409C-BE32-E72D297353CC}">
                  <c16:uniqueId val="{00000001-2E47-4A1C-A021-C8A42E3195F5}"/>
                </c:ext>
              </c:extLst>
            </c:dLbl>
            <c:dLbl>
              <c:idx val="1"/>
              <c:layout>
                <c:manualLayout>
                  <c:x val="0.18284796023148364"/>
                  <c:y val="-2.805660047273698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57888787721705"/>
                      <c:h val="0.33521322222295646"/>
                    </c:manualLayout>
                  </c15:layout>
                </c:ext>
                <c:ext xmlns:c16="http://schemas.microsoft.com/office/drawing/2014/chart" uri="{C3380CC4-5D6E-409C-BE32-E72D297353CC}">
                  <c16:uniqueId val="{00000003-2E47-4A1C-A021-C8A42E3195F5}"/>
                </c:ext>
              </c:extLst>
            </c:dLbl>
            <c:dLbl>
              <c:idx val="2"/>
              <c:layout>
                <c:manualLayout>
                  <c:x val="-0.15848487484184512"/>
                  <c:y val="-0.3032377803399590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571905856094713"/>
                      <c:h val="0.24579734471752104"/>
                    </c:manualLayout>
                  </c15:layout>
                </c:ext>
                <c:ext xmlns:c16="http://schemas.microsoft.com/office/drawing/2014/chart" uri="{C3380CC4-5D6E-409C-BE32-E72D297353CC}">
                  <c16:uniqueId val="{00000005-2E47-4A1C-A021-C8A42E3195F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TABLE'!$AD$8:$AD$11</c:f>
              <c:strCache>
                <c:ptCount val="3"/>
                <c:pt idx="0">
                  <c:v>Furniture</c:v>
                </c:pt>
                <c:pt idx="1">
                  <c:v>Office Supplies</c:v>
                </c:pt>
                <c:pt idx="2">
                  <c:v>Technology</c:v>
                </c:pt>
              </c:strCache>
            </c:strRef>
          </c:cat>
          <c:val>
            <c:numRef>
              <c:f>'PIVOT TABLE'!$AE$8:$AE$11</c:f>
              <c:numCache>
                <c:formatCode>0%</c:formatCode>
                <c:ptCount val="3"/>
                <c:pt idx="0">
                  <c:v>0.22650995934393595</c:v>
                </c:pt>
                <c:pt idx="1">
                  <c:v>0.25152288422555436</c:v>
                </c:pt>
                <c:pt idx="2">
                  <c:v>0.52196715643050962</c:v>
                </c:pt>
              </c:numCache>
            </c:numRef>
          </c:val>
          <c:extLst>
            <c:ext xmlns:c16="http://schemas.microsoft.com/office/drawing/2014/chart" uri="{C3380CC4-5D6E-409C-BE32-E72D297353CC}">
              <c16:uniqueId val="{00000006-2E47-4A1C-A021-C8A42E3195F5}"/>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Revenue Analytics Dashboard (Excel).xlsx]PIVOT TABLE!PivotTable34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latin typeface="Algerian" panose="04020705040A02060702" pitchFamily="82" charset="0"/>
              </a:rPr>
              <a:t>Daily Sales</a:t>
            </a:r>
          </a:p>
        </c:rich>
      </c:tx>
      <c:layout>
        <c:manualLayout>
          <c:xMode val="edge"/>
          <c:yMode val="edge"/>
          <c:x val="0.38972521697277418"/>
          <c:y val="8.512817487874262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8000">
                <a:srgbClr val="FF0000"/>
              </a:gs>
              <a:gs pos="100000">
                <a:srgbClr val="FFFF00"/>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5175267499237"/>
          <c:y val="0.14925895841378484"/>
          <c:w val="0.80477334434046488"/>
          <c:h val="0.63634718353098274"/>
        </c:manualLayout>
      </c:layout>
      <c:areaChart>
        <c:grouping val="standard"/>
        <c:varyColors val="0"/>
        <c:ser>
          <c:idx val="0"/>
          <c:order val="0"/>
          <c:tx>
            <c:strRef>
              <c:f>'PIVOT TABLE'!$AK$7</c:f>
              <c:strCache>
                <c:ptCount val="1"/>
                <c:pt idx="0">
                  <c:v>Total</c:v>
                </c:pt>
              </c:strCache>
            </c:strRef>
          </c:tx>
          <c:spPr>
            <a:gradFill>
              <a:gsLst>
                <a:gs pos="28000">
                  <a:srgbClr val="FF0000"/>
                </a:gs>
                <a:gs pos="100000">
                  <a:srgbClr val="FFFF00"/>
                </a:gs>
              </a:gsLst>
              <a:lin ang="5400000" scaled="0"/>
            </a:gradFill>
            <a:ln>
              <a:noFill/>
            </a:ln>
            <a:effectLst/>
          </c:spPr>
          <c:cat>
            <c:strRef>
              <c:f>'PIVOT TABLE'!$AJ$8:$AJ$39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TABLE'!$AK$8:$AK$39</c:f>
              <c:numCache>
                <c:formatCode>_ * #,##0_ ;_ * \-#,##0_ ;_ * "-"??_ ;_ @_ </c:formatCode>
                <c:ptCount val="31"/>
                <c:pt idx="0">
                  <c:v>2548838.1899999995</c:v>
                </c:pt>
                <c:pt idx="1">
                  <c:v>2451303.84</c:v>
                </c:pt>
                <c:pt idx="2">
                  <c:v>1498850.31</c:v>
                </c:pt>
                <c:pt idx="3">
                  <c:v>1678352.4600000004</c:v>
                </c:pt>
                <c:pt idx="4">
                  <c:v>1928028.4199999997</c:v>
                </c:pt>
                <c:pt idx="5">
                  <c:v>1332318.5</c:v>
                </c:pt>
                <c:pt idx="6">
                  <c:v>1490163.2799999998</c:v>
                </c:pt>
                <c:pt idx="7">
                  <c:v>2068774.16</c:v>
                </c:pt>
                <c:pt idx="8">
                  <c:v>2005178.2699999996</c:v>
                </c:pt>
                <c:pt idx="9">
                  <c:v>1883870.3000000003</c:v>
                </c:pt>
                <c:pt idx="10">
                  <c:v>1621966.08</c:v>
                </c:pt>
                <c:pt idx="11">
                  <c:v>1593200.9099999997</c:v>
                </c:pt>
                <c:pt idx="12">
                  <c:v>957530.6100000001</c:v>
                </c:pt>
                <c:pt idx="13">
                  <c:v>1977215.24</c:v>
                </c:pt>
                <c:pt idx="14">
                  <c:v>1091753.4799999997</c:v>
                </c:pt>
                <c:pt idx="15">
                  <c:v>1089683.4100000001</c:v>
                </c:pt>
                <c:pt idx="16">
                  <c:v>851898.13</c:v>
                </c:pt>
                <c:pt idx="17">
                  <c:v>2059953.0600000005</c:v>
                </c:pt>
                <c:pt idx="18">
                  <c:v>1236675.1100000001</c:v>
                </c:pt>
                <c:pt idx="19">
                  <c:v>1144184.46</c:v>
                </c:pt>
                <c:pt idx="20">
                  <c:v>1769881.6900000002</c:v>
                </c:pt>
                <c:pt idx="21">
                  <c:v>1122985.4300000002</c:v>
                </c:pt>
                <c:pt idx="22">
                  <c:v>1590921.1700000002</c:v>
                </c:pt>
                <c:pt idx="23">
                  <c:v>2016026.7900000005</c:v>
                </c:pt>
                <c:pt idx="24">
                  <c:v>1786378.7700000003</c:v>
                </c:pt>
                <c:pt idx="25">
                  <c:v>1102510.4300000002</c:v>
                </c:pt>
                <c:pt idx="26">
                  <c:v>1973443.6800000002</c:v>
                </c:pt>
                <c:pt idx="27">
                  <c:v>2028554.5499999996</c:v>
                </c:pt>
                <c:pt idx="28">
                  <c:v>1611054.0399999998</c:v>
                </c:pt>
                <c:pt idx="29">
                  <c:v>1928419.31</c:v>
                </c:pt>
                <c:pt idx="30">
                  <c:v>560853.36</c:v>
                </c:pt>
              </c:numCache>
            </c:numRef>
          </c:val>
          <c:extLst>
            <c:ext xmlns:c16="http://schemas.microsoft.com/office/drawing/2014/chart" uri="{C3380CC4-5D6E-409C-BE32-E72D297353CC}">
              <c16:uniqueId val="{00000000-4E62-4B13-AA43-F0078C39E18D}"/>
            </c:ext>
          </c:extLst>
        </c:ser>
        <c:dLbls>
          <c:showLegendKey val="0"/>
          <c:showVal val="0"/>
          <c:showCatName val="0"/>
          <c:showSerName val="0"/>
          <c:showPercent val="0"/>
          <c:showBubbleSize val="0"/>
        </c:dLbls>
        <c:axId val="397367535"/>
        <c:axId val="397368975"/>
      </c:areaChart>
      <c:catAx>
        <c:axId val="39736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7368975"/>
        <c:crosses val="autoZero"/>
        <c:auto val="1"/>
        <c:lblAlgn val="ctr"/>
        <c:lblOffset val="100"/>
        <c:noMultiLvlLbl val="0"/>
      </c:catAx>
      <c:valAx>
        <c:axId val="397368975"/>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7367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Ship Mode %</cx:v>
        </cx:txData>
      </cx:tx>
      <cx:spPr>
        <a:noFill/>
      </cx:spPr>
      <cx:txPr>
        <a:bodyPr spcFirstLastPara="1" vertOverflow="ellipsis" horzOverflow="overflow" wrap="square" lIns="0" tIns="0" rIns="0" bIns="0" anchor="ctr" anchorCtr="1"/>
        <a:lstStyle/>
        <a:p>
          <a:pPr algn="ctr" rtl="0">
            <a:defRPr b="1">
              <a:solidFill>
                <a:schemeClr val="bg1"/>
              </a:solidFill>
              <a:latin typeface="Copperplate Gothic Bold" panose="020E0705020206020404" pitchFamily="34" charset="0"/>
              <a:ea typeface="Copperplate Gothic Bold" panose="020E0705020206020404" pitchFamily="34" charset="0"/>
              <a:cs typeface="Copperplate Gothic Bold" panose="020E0705020206020404" pitchFamily="34" charset="0"/>
            </a:defRPr>
          </a:pPr>
          <a:r>
            <a:rPr lang="en-US" sz="1400" b="1" i="0" u="none" strike="noStrike" baseline="0">
              <a:solidFill>
                <a:schemeClr val="bg1"/>
              </a:solidFill>
              <a:latin typeface="Copperplate Gothic Bold" panose="020E0705020206020404" pitchFamily="34" charset="0"/>
            </a:rPr>
            <a:t>Ship Mode %</a:t>
          </a:r>
        </a:p>
      </cx:txPr>
    </cx:title>
    <cx:plotArea>
      <cx:plotAreaRegion>
        <cx:series layoutId="funnel" uniqueId="{F344D1CE-0D66-48E2-905A-730781A7AFF8}">
          <cx:tx>
            <cx:txData>
              <cx:f>_xlchart.v2.1</cx:f>
              <cx:v>Sum of Sales</cx:v>
            </cx:txData>
          </cx:tx>
          <cx:spPr>
            <a:gradFill>
              <a:gsLst>
                <a:gs pos="57000">
                  <a:srgbClr val="00FF00"/>
                </a:gs>
                <a:gs pos="47000">
                  <a:srgbClr val="FFFF00">
                    <a:lumMod val="3000"/>
                    <a:lumOff val="97000"/>
                  </a:srgbClr>
                </a:gs>
              </a:gsLst>
              <a:lin ang="5400000" scaled="1"/>
            </a:gradFill>
          </cx:spPr>
          <cx:dataLabels>
            <cx:visibility seriesName="0" categoryName="0" value="1"/>
          </cx:dataLabels>
          <cx:dataId val="0"/>
        </cx:series>
      </cx:plotAreaRegion>
      <cx:axis id="0">
        <cx:catScaling gapWidth="0.939999998"/>
        <cx:tickLabels/>
        <cx:spPr>
          <a:noFill/>
          <a:ln w="9525" cap="flat" cmpd="sng" algn="ctr">
            <a:solidFill>
              <a:schemeClr val="dk1">
                <a:shade val="95000"/>
                <a:satMod val="105000"/>
              </a:schemeClr>
            </a:solidFill>
            <a:prstDash val="solid"/>
          </a:ln>
          <a:effectLst/>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Qantity By Category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ndara Light" panose="020E0502030303020204" pitchFamily="34" charset="0"/>
            </a:rPr>
            <a:t>Qantity By Category %</a:t>
          </a:r>
        </a:p>
      </cx:txPr>
    </cx:title>
    <cx:plotArea>
      <cx:plotAreaRegion>
        <cx:series layoutId="waterfall" uniqueId="{00000000-D620-4FF1-A66A-BB138C7E4028}">
          <cx:tx>
            <cx:txData>
              <cx:f>_xlchart.v1.4</cx:f>
              <cx:v>Sum of Quantity</cx:v>
            </cx:txData>
          </cx:tx>
          <cx:spPr>
            <a:gradFill>
              <a:gsLst>
                <a:gs pos="44000">
                  <a:srgbClr val="0000FF"/>
                </a:gs>
                <a:gs pos="35000">
                  <a:srgbClr val="FFFF00">
                    <a:lumMod val="3000"/>
                    <a:lumOff val="97000"/>
                  </a:srgbClr>
                </a:gs>
              </a:gsLst>
              <a:lin ang="5400000" scaled="1"/>
            </a:gra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visibility seriesName="0" categoryName="0" value="1"/>
          </cx:dataLabels>
          <cx:dataId val="0"/>
          <cx:layoutPr>
            <cx:subtotals/>
          </cx:layoutPr>
        </cx:series>
      </cx:plotAreaRegion>
      <cx:axis id="0">
        <cx:catScaling gapWidth="0.819999993"/>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microsoft.com/office/2014/relationships/chartEx" Target="../charts/chartEx1.xml"/><Relationship Id="rId3" Type="http://schemas.openxmlformats.org/officeDocument/2006/relationships/hyperlink" Target="https://d.docs.live.net/37ad78402c059a5a/Pictures/Desktop/ItVedant/EXCEL%20DATA/Sales%20Analysis%20Dashboard.xlsx" TargetMode="External"/><Relationship Id="rId21" Type="http://schemas.openxmlformats.org/officeDocument/2006/relationships/chart" Target="../charts/chart6.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2.xml"/><Relationship Id="rId10" Type="http://schemas.openxmlformats.org/officeDocument/2006/relationships/image" Target="../media/image9.png"/><Relationship Id="rId19" Type="http://schemas.microsoft.com/office/2014/relationships/chartEx" Target="../charts/chartEx2.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xml"/><Relationship Id="rId22"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530506</xdr:colOff>
      <xdr:row>34</xdr:row>
      <xdr:rowOff>32152</xdr:rowOff>
    </xdr:to>
    <xdr:sp macro="" textlink="">
      <xdr:nvSpPr>
        <xdr:cNvPr id="2" name="Rectangle: Rounded Corners 1">
          <a:extLst>
            <a:ext uri="{FF2B5EF4-FFF2-40B4-BE49-F238E27FC236}">
              <a16:creationId xmlns:a16="http://schemas.microsoft.com/office/drawing/2014/main" id="{ED1B2F40-4E1D-7CD0-AFA4-52B06CA1FE71}"/>
            </a:ext>
          </a:extLst>
        </xdr:cNvPr>
        <xdr:cNvSpPr/>
      </xdr:nvSpPr>
      <xdr:spPr>
        <a:xfrm>
          <a:off x="0" y="0"/>
          <a:ext cx="15191772" cy="6317848"/>
        </a:xfrm>
        <a:prstGeom prst="roundRect">
          <a:avLst>
            <a:gd name="adj" fmla="val 2293"/>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lumMod val="50000"/>
              </a:schemeClr>
            </a:solidFill>
            <a:latin typeface="+mn-lt"/>
            <a:ea typeface="+mn-ea"/>
            <a:cs typeface="+mn-cs"/>
          </a:endParaRPr>
        </a:p>
      </xdr:txBody>
    </xdr:sp>
    <xdr:clientData/>
  </xdr:twoCellAnchor>
  <xdr:twoCellAnchor>
    <xdr:from>
      <xdr:col>0</xdr:col>
      <xdr:colOff>57150</xdr:colOff>
      <xdr:row>0</xdr:row>
      <xdr:rowOff>89437</xdr:rowOff>
    </xdr:from>
    <xdr:to>
      <xdr:col>2</xdr:col>
      <xdr:colOff>203199</xdr:colOff>
      <xdr:row>3</xdr:row>
      <xdr:rowOff>152386</xdr:rowOff>
    </xdr:to>
    <xdr:sp macro="" textlink="">
      <xdr:nvSpPr>
        <xdr:cNvPr id="3" name="Rectangle: Rounded Corners 2">
          <a:extLst>
            <a:ext uri="{FF2B5EF4-FFF2-40B4-BE49-F238E27FC236}">
              <a16:creationId xmlns:a16="http://schemas.microsoft.com/office/drawing/2014/main" id="{F4F0662A-7421-510A-E7A2-5C82250AAFF1}"/>
            </a:ext>
          </a:extLst>
        </xdr:cNvPr>
        <xdr:cNvSpPr/>
      </xdr:nvSpPr>
      <xdr:spPr>
        <a:xfrm>
          <a:off x="57150" y="89437"/>
          <a:ext cx="1365249" cy="615399"/>
        </a:xfrm>
        <a:prstGeom prst="roundRect">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2</xdr:col>
      <xdr:colOff>266224</xdr:colOff>
      <xdr:row>0</xdr:row>
      <xdr:rowOff>96484</xdr:rowOff>
    </xdr:from>
    <xdr:to>
      <xdr:col>24</xdr:col>
      <xdr:colOff>434049</xdr:colOff>
      <xdr:row>3</xdr:row>
      <xdr:rowOff>159433</xdr:rowOff>
    </xdr:to>
    <xdr:sp macro="" textlink="">
      <xdr:nvSpPr>
        <xdr:cNvPr id="4" name="Rectangle: Rounded Corners 3">
          <a:extLst>
            <a:ext uri="{FF2B5EF4-FFF2-40B4-BE49-F238E27FC236}">
              <a16:creationId xmlns:a16="http://schemas.microsoft.com/office/drawing/2014/main" id="{5A3A0CFF-1E22-445B-84D4-54F83D985CA9}"/>
            </a:ext>
          </a:extLst>
        </xdr:cNvPr>
        <xdr:cNvSpPr/>
      </xdr:nvSpPr>
      <xdr:spPr>
        <a:xfrm>
          <a:off x="1487996" y="96484"/>
          <a:ext cx="13607319" cy="617569"/>
        </a:xfrm>
        <a:prstGeom prst="roundRect">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editAs="oneCell">
    <xdr:from>
      <xdr:col>2</xdr:col>
      <xdr:colOff>446798</xdr:colOff>
      <xdr:row>0</xdr:row>
      <xdr:rowOff>104775</xdr:rowOff>
    </xdr:from>
    <xdr:to>
      <xdr:col>4</xdr:col>
      <xdr:colOff>139396</xdr:colOff>
      <xdr:row>3</xdr:row>
      <xdr:rowOff>169475</xdr:rowOff>
    </xdr:to>
    <xdr:pic>
      <xdr:nvPicPr>
        <xdr:cNvPr id="22" name="Graphic 21" descr="Presentation with bar chart with solid fill">
          <a:extLst>
            <a:ext uri="{FF2B5EF4-FFF2-40B4-BE49-F238E27FC236}">
              <a16:creationId xmlns:a16="http://schemas.microsoft.com/office/drawing/2014/main" id="{8F563F2C-1D36-824D-3B70-36626FA925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8570" y="104775"/>
          <a:ext cx="914370" cy="619320"/>
        </a:xfrm>
        <a:prstGeom prst="rect">
          <a:avLst/>
        </a:prstGeom>
      </xdr:spPr>
    </xdr:pic>
    <xdr:clientData/>
  </xdr:twoCellAnchor>
  <xdr:twoCellAnchor editAs="oneCell">
    <xdr:from>
      <xdr:col>0</xdr:col>
      <xdr:colOff>250863</xdr:colOff>
      <xdr:row>0</xdr:row>
      <xdr:rowOff>7839</xdr:rowOff>
    </xdr:from>
    <xdr:to>
      <xdr:col>1</xdr:col>
      <xdr:colOff>553782</xdr:colOff>
      <xdr:row>4</xdr:row>
      <xdr:rowOff>54876</xdr:rowOff>
    </xdr:to>
    <xdr:pic>
      <xdr:nvPicPr>
        <xdr:cNvPr id="29" name="Graphic 28" descr="Back with solid fill">
          <a:hlinkClick xmlns:r="http://schemas.openxmlformats.org/officeDocument/2006/relationships" r:id="rId3"/>
          <a:extLst>
            <a:ext uri="{FF2B5EF4-FFF2-40B4-BE49-F238E27FC236}">
              <a16:creationId xmlns:a16="http://schemas.microsoft.com/office/drawing/2014/main" id="{C85A9293-E594-46B5-A7FA-A25E2572FA9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0863" y="7839"/>
          <a:ext cx="914400" cy="768272"/>
        </a:xfrm>
        <a:prstGeom prst="rect">
          <a:avLst/>
        </a:prstGeom>
      </xdr:spPr>
    </xdr:pic>
    <xdr:clientData/>
  </xdr:twoCellAnchor>
  <xdr:twoCellAnchor>
    <xdr:from>
      <xdr:col>7</xdr:col>
      <xdr:colOff>192911</xdr:colOff>
      <xdr:row>0</xdr:row>
      <xdr:rowOff>137711</xdr:rowOff>
    </xdr:from>
    <xdr:to>
      <xdr:col>24</xdr:col>
      <xdr:colOff>281329</xdr:colOff>
      <xdr:row>3</xdr:row>
      <xdr:rowOff>84157</xdr:rowOff>
    </xdr:to>
    <xdr:sp macro="" textlink="">
      <xdr:nvSpPr>
        <xdr:cNvPr id="30" name="TextBox 29">
          <a:extLst>
            <a:ext uri="{FF2B5EF4-FFF2-40B4-BE49-F238E27FC236}">
              <a16:creationId xmlns:a16="http://schemas.microsoft.com/office/drawing/2014/main" id="{DC218E4E-0499-EB64-882D-1E04FD67A6E8}"/>
            </a:ext>
          </a:extLst>
        </xdr:cNvPr>
        <xdr:cNvSpPr txBox="1"/>
      </xdr:nvSpPr>
      <xdr:spPr>
        <a:xfrm>
          <a:off x="4469114" y="137711"/>
          <a:ext cx="10473481" cy="501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b="1">
              <a:solidFill>
                <a:schemeClr val="bg1"/>
              </a:solidFill>
            </a:rPr>
            <a:t>       SHOPKEEPER DASHBOARD</a:t>
          </a:r>
        </a:p>
      </xdr:txBody>
    </xdr:sp>
    <xdr:clientData/>
  </xdr:twoCellAnchor>
  <xdr:twoCellAnchor>
    <xdr:from>
      <xdr:col>2</xdr:col>
      <xdr:colOff>286448</xdr:colOff>
      <xdr:row>4</xdr:row>
      <xdr:rowOff>65873</xdr:rowOff>
    </xdr:from>
    <xdr:to>
      <xdr:col>6</xdr:col>
      <xdr:colOff>168798</xdr:colOff>
      <xdr:row>7</xdr:row>
      <xdr:rowOff>173830</xdr:rowOff>
    </xdr:to>
    <xdr:sp macro="" textlink="">
      <xdr:nvSpPr>
        <xdr:cNvPr id="31" name="Rectangle: Rounded Corners 30">
          <a:extLst>
            <a:ext uri="{FF2B5EF4-FFF2-40B4-BE49-F238E27FC236}">
              <a16:creationId xmlns:a16="http://schemas.microsoft.com/office/drawing/2014/main" id="{71CF06CE-08E9-46E5-ADD4-D5077375F655}"/>
            </a:ext>
          </a:extLst>
        </xdr:cNvPr>
        <xdr:cNvSpPr/>
      </xdr:nvSpPr>
      <xdr:spPr>
        <a:xfrm>
          <a:off x="1508220" y="805367"/>
          <a:ext cx="2325894" cy="662577"/>
        </a:xfrm>
        <a:prstGeom prst="roundRect">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6</xdr:col>
      <xdr:colOff>200950</xdr:colOff>
      <xdr:row>4</xdr:row>
      <xdr:rowOff>48227</xdr:rowOff>
    </xdr:from>
    <xdr:to>
      <xdr:col>10</xdr:col>
      <xdr:colOff>80379</xdr:colOff>
      <xdr:row>7</xdr:row>
      <xdr:rowOff>164792</xdr:rowOff>
    </xdr:to>
    <xdr:sp macro="" textlink="">
      <xdr:nvSpPr>
        <xdr:cNvPr id="32" name="Rectangle: Rounded Corners 31">
          <a:extLst>
            <a:ext uri="{FF2B5EF4-FFF2-40B4-BE49-F238E27FC236}">
              <a16:creationId xmlns:a16="http://schemas.microsoft.com/office/drawing/2014/main" id="{BA2233F9-7027-468E-BC7E-3A6CA97C6C5D}"/>
            </a:ext>
          </a:extLst>
        </xdr:cNvPr>
        <xdr:cNvSpPr/>
      </xdr:nvSpPr>
      <xdr:spPr>
        <a:xfrm>
          <a:off x="3866266" y="787721"/>
          <a:ext cx="2322974" cy="671185"/>
        </a:xfrm>
        <a:prstGeom prst="roundRect">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10</xdr:col>
      <xdr:colOff>112531</xdr:colOff>
      <xdr:row>4</xdr:row>
      <xdr:rowOff>57449</xdr:rowOff>
    </xdr:from>
    <xdr:to>
      <xdr:col>13</xdr:col>
      <xdr:colOff>474878</xdr:colOff>
      <xdr:row>7</xdr:row>
      <xdr:rowOff>165406</xdr:rowOff>
    </xdr:to>
    <xdr:sp macro="" textlink="">
      <xdr:nvSpPr>
        <xdr:cNvPr id="33" name="Rectangle: Rounded Corners 32">
          <a:extLst>
            <a:ext uri="{FF2B5EF4-FFF2-40B4-BE49-F238E27FC236}">
              <a16:creationId xmlns:a16="http://schemas.microsoft.com/office/drawing/2014/main" id="{464F714A-E767-4336-8D62-0D3B57B01AA0}"/>
            </a:ext>
          </a:extLst>
        </xdr:cNvPr>
        <xdr:cNvSpPr/>
      </xdr:nvSpPr>
      <xdr:spPr>
        <a:xfrm>
          <a:off x="6221392" y="796943"/>
          <a:ext cx="2195005" cy="662577"/>
        </a:xfrm>
        <a:prstGeom prst="roundRect">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lumMod val="50000"/>
              </a:schemeClr>
            </a:solidFill>
            <a:latin typeface="+mn-lt"/>
            <a:ea typeface="+mn-ea"/>
            <a:cs typeface="+mn-cs"/>
          </a:endParaRPr>
        </a:p>
      </xdr:txBody>
    </xdr:sp>
    <xdr:clientData/>
  </xdr:twoCellAnchor>
  <xdr:twoCellAnchor>
    <xdr:from>
      <xdr:col>13</xdr:col>
      <xdr:colOff>530506</xdr:colOff>
      <xdr:row>4</xdr:row>
      <xdr:rowOff>58223</xdr:rowOff>
    </xdr:from>
    <xdr:to>
      <xdr:col>18</xdr:col>
      <xdr:colOff>80380</xdr:colOff>
      <xdr:row>7</xdr:row>
      <xdr:rowOff>166180</xdr:rowOff>
    </xdr:to>
    <xdr:sp macro="" textlink="">
      <xdr:nvSpPr>
        <xdr:cNvPr id="34" name="Rectangle: Rounded Corners 33">
          <a:extLst>
            <a:ext uri="{FF2B5EF4-FFF2-40B4-BE49-F238E27FC236}">
              <a16:creationId xmlns:a16="http://schemas.microsoft.com/office/drawing/2014/main" id="{88B117A8-1072-4CB9-AB3F-7E60938F764B}"/>
            </a:ext>
          </a:extLst>
        </xdr:cNvPr>
        <xdr:cNvSpPr/>
      </xdr:nvSpPr>
      <xdr:spPr>
        <a:xfrm>
          <a:off x="8472025" y="797717"/>
          <a:ext cx="2604304" cy="662577"/>
        </a:xfrm>
        <a:prstGeom prst="roundRect">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14</xdr:col>
      <xdr:colOff>513516</xdr:colOff>
      <xdr:row>4</xdr:row>
      <xdr:rowOff>32821</xdr:rowOff>
    </xdr:from>
    <xdr:to>
      <xdr:col>19</xdr:col>
      <xdr:colOff>563675</xdr:colOff>
      <xdr:row>24</xdr:row>
      <xdr:rowOff>107107</xdr:rowOff>
    </xdr:to>
    <xdr:sp macro="" textlink="">
      <xdr:nvSpPr>
        <xdr:cNvPr id="35" name="Rectangle: Rounded Corners 34">
          <a:extLst>
            <a:ext uri="{FF2B5EF4-FFF2-40B4-BE49-F238E27FC236}">
              <a16:creationId xmlns:a16="http://schemas.microsoft.com/office/drawing/2014/main" id="{6E8A5BE3-AC2C-4A8D-BD48-385D84184237}"/>
            </a:ext>
          </a:extLst>
        </xdr:cNvPr>
        <xdr:cNvSpPr/>
      </xdr:nvSpPr>
      <xdr:spPr>
        <a:xfrm>
          <a:off x="9082191" y="767279"/>
          <a:ext cx="3110400" cy="3746575"/>
        </a:xfrm>
        <a:prstGeom prst="roundRect">
          <a:avLst>
            <a:gd name="adj" fmla="val 4123"/>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2</xdr:col>
      <xdr:colOff>271147</xdr:colOff>
      <xdr:row>8</xdr:row>
      <xdr:rowOff>73524</xdr:rowOff>
    </xdr:from>
    <xdr:to>
      <xdr:col>6</xdr:col>
      <xdr:colOff>267354</xdr:colOff>
      <xdr:row>24</xdr:row>
      <xdr:rowOff>134493</xdr:rowOff>
    </xdr:to>
    <xdr:sp macro="" textlink="">
      <xdr:nvSpPr>
        <xdr:cNvPr id="36" name="Rectangle: Rounded Corners 35">
          <a:extLst>
            <a:ext uri="{FF2B5EF4-FFF2-40B4-BE49-F238E27FC236}">
              <a16:creationId xmlns:a16="http://schemas.microsoft.com/office/drawing/2014/main" id="{63CC0942-B419-1B70-8A3C-214B25F69C4B}"/>
            </a:ext>
          </a:extLst>
        </xdr:cNvPr>
        <xdr:cNvSpPr/>
      </xdr:nvSpPr>
      <xdr:spPr>
        <a:xfrm>
          <a:off x="1495243" y="1542440"/>
          <a:ext cx="2444400" cy="2998800"/>
        </a:xfrm>
        <a:prstGeom prst="roundRect">
          <a:avLst>
            <a:gd name="adj" fmla="val 4461"/>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6</xdr:col>
      <xdr:colOff>311787</xdr:colOff>
      <xdr:row>8</xdr:row>
      <xdr:rowOff>63176</xdr:rowOff>
    </xdr:from>
    <xdr:to>
      <xdr:col>13</xdr:col>
      <xdr:colOff>562658</xdr:colOff>
      <xdr:row>18</xdr:row>
      <xdr:rowOff>0</xdr:rowOff>
    </xdr:to>
    <xdr:sp macro="" textlink="">
      <xdr:nvSpPr>
        <xdr:cNvPr id="37" name="Rectangle: Rounded Corners 36">
          <a:extLst>
            <a:ext uri="{FF2B5EF4-FFF2-40B4-BE49-F238E27FC236}">
              <a16:creationId xmlns:a16="http://schemas.microsoft.com/office/drawing/2014/main" id="{E78453CA-5FD9-F3D8-8CA6-6C1E8D4E2E26}"/>
            </a:ext>
          </a:extLst>
        </xdr:cNvPr>
        <xdr:cNvSpPr/>
      </xdr:nvSpPr>
      <xdr:spPr>
        <a:xfrm>
          <a:off x="3977103" y="1542163"/>
          <a:ext cx="4527074" cy="1785559"/>
        </a:xfrm>
        <a:prstGeom prst="roundRect">
          <a:avLst>
            <a:gd name="adj" fmla="val 6041"/>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13</xdr:col>
      <xdr:colOff>602848</xdr:colOff>
      <xdr:row>20</xdr:row>
      <xdr:rowOff>112533</xdr:rowOff>
    </xdr:from>
    <xdr:to>
      <xdr:col>18</xdr:col>
      <xdr:colOff>88418</xdr:colOff>
      <xdr:row>34</xdr:row>
      <xdr:rowOff>8039</xdr:rowOff>
    </xdr:to>
    <xdr:sp macro="" textlink="">
      <xdr:nvSpPr>
        <xdr:cNvPr id="41" name="Rectangle: Rounded Corners 40">
          <a:extLst>
            <a:ext uri="{FF2B5EF4-FFF2-40B4-BE49-F238E27FC236}">
              <a16:creationId xmlns:a16="http://schemas.microsoft.com/office/drawing/2014/main" id="{23A26940-8822-46C4-810C-9CAB060723FF}"/>
            </a:ext>
          </a:extLst>
        </xdr:cNvPr>
        <xdr:cNvSpPr/>
      </xdr:nvSpPr>
      <xdr:spPr>
        <a:xfrm>
          <a:off x="8544367" y="3810001"/>
          <a:ext cx="2540000" cy="2483734"/>
        </a:xfrm>
        <a:prstGeom prst="roundRect">
          <a:avLst>
            <a:gd name="adj" fmla="val 4317"/>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9</xdr:col>
      <xdr:colOff>426012</xdr:colOff>
      <xdr:row>24</xdr:row>
      <xdr:rowOff>168797</xdr:rowOff>
    </xdr:from>
    <xdr:to>
      <xdr:col>13</xdr:col>
      <xdr:colOff>580672</xdr:colOff>
      <xdr:row>33</xdr:row>
      <xdr:rowOff>159598</xdr:rowOff>
    </xdr:to>
    <xdr:sp macro="" textlink="">
      <xdr:nvSpPr>
        <xdr:cNvPr id="42" name="Rectangle: Rounded Corners 41">
          <a:extLst>
            <a:ext uri="{FF2B5EF4-FFF2-40B4-BE49-F238E27FC236}">
              <a16:creationId xmlns:a16="http://schemas.microsoft.com/office/drawing/2014/main" id="{8D54963A-76CC-47C5-BC94-DECEC2B0EFF6}"/>
            </a:ext>
          </a:extLst>
        </xdr:cNvPr>
        <xdr:cNvSpPr/>
      </xdr:nvSpPr>
      <xdr:spPr>
        <a:xfrm>
          <a:off x="5923987" y="4605759"/>
          <a:ext cx="2598204" cy="1654662"/>
        </a:xfrm>
        <a:prstGeom prst="roundRect">
          <a:avLst>
            <a:gd name="adj" fmla="val 7895"/>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13</xdr:col>
      <xdr:colOff>602848</xdr:colOff>
      <xdr:row>8</xdr:row>
      <xdr:rowOff>65873</xdr:rowOff>
    </xdr:from>
    <xdr:to>
      <xdr:col>18</xdr:col>
      <xdr:colOff>80380</xdr:colOff>
      <xdr:row>20</xdr:row>
      <xdr:rowOff>72342</xdr:rowOff>
    </xdr:to>
    <xdr:sp macro="" textlink="">
      <xdr:nvSpPr>
        <xdr:cNvPr id="43" name="Rectangle: Rounded Corners 42">
          <a:extLst>
            <a:ext uri="{FF2B5EF4-FFF2-40B4-BE49-F238E27FC236}">
              <a16:creationId xmlns:a16="http://schemas.microsoft.com/office/drawing/2014/main" id="{C542A847-7BB6-4E2E-8595-7E0CE645021D}"/>
            </a:ext>
          </a:extLst>
        </xdr:cNvPr>
        <xdr:cNvSpPr/>
      </xdr:nvSpPr>
      <xdr:spPr>
        <a:xfrm>
          <a:off x="8544367" y="1544860"/>
          <a:ext cx="2531962" cy="2224950"/>
        </a:xfrm>
        <a:prstGeom prst="roundRect">
          <a:avLst>
            <a:gd name="adj" fmla="val 4832"/>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6</xdr:col>
      <xdr:colOff>296851</xdr:colOff>
      <xdr:row>18</xdr:row>
      <xdr:rowOff>72341</xdr:rowOff>
    </xdr:from>
    <xdr:to>
      <xdr:col>13</xdr:col>
      <xdr:colOff>554620</xdr:colOff>
      <xdr:row>24</xdr:row>
      <xdr:rowOff>137711</xdr:rowOff>
    </xdr:to>
    <xdr:sp macro="" textlink="">
      <xdr:nvSpPr>
        <xdr:cNvPr id="44" name="Rectangle: Rounded Corners 43">
          <a:extLst>
            <a:ext uri="{FF2B5EF4-FFF2-40B4-BE49-F238E27FC236}">
              <a16:creationId xmlns:a16="http://schemas.microsoft.com/office/drawing/2014/main" id="{6BE91ACB-9740-4BDE-A672-06DDDC7F2E60}"/>
            </a:ext>
          </a:extLst>
        </xdr:cNvPr>
        <xdr:cNvSpPr/>
      </xdr:nvSpPr>
      <xdr:spPr>
        <a:xfrm>
          <a:off x="3962167" y="3400063"/>
          <a:ext cx="4533972" cy="1174610"/>
        </a:xfrm>
        <a:prstGeom prst="roundRect">
          <a:avLst>
            <a:gd name="adj" fmla="val 4592"/>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2</xdr:col>
      <xdr:colOff>256437</xdr:colOff>
      <xdr:row>24</xdr:row>
      <xdr:rowOff>151721</xdr:rowOff>
    </xdr:from>
    <xdr:to>
      <xdr:col>9</xdr:col>
      <xdr:colOff>365679</xdr:colOff>
      <xdr:row>33</xdr:row>
      <xdr:rowOff>120570</xdr:rowOff>
    </xdr:to>
    <xdr:sp macro="" textlink="">
      <xdr:nvSpPr>
        <xdr:cNvPr id="45" name="Rectangle: Rounded Corners 44">
          <a:extLst>
            <a:ext uri="{FF2B5EF4-FFF2-40B4-BE49-F238E27FC236}">
              <a16:creationId xmlns:a16="http://schemas.microsoft.com/office/drawing/2014/main" id="{FE192164-F911-40D7-823C-4E18442DE7FA}"/>
            </a:ext>
          </a:extLst>
        </xdr:cNvPr>
        <xdr:cNvSpPr/>
      </xdr:nvSpPr>
      <xdr:spPr>
        <a:xfrm>
          <a:off x="1478209" y="4588683"/>
          <a:ext cx="4385445" cy="1632710"/>
        </a:xfrm>
        <a:prstGeom prst="roundRect">
          <a:avLst>
            <a:gd name="adj" fmla="val 6087"/>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18</xdr:col>
      <xdr:colOff>128608</xdr:colOff>
      <xdr:row>25</xdr:row>
      <xdr:rowOff>48228</xdr:rowOff>
    </xdr:from>
    <xdr:to>
      <xdr:col>24</xdr:col>
      <xdr:colOff>460655</xdr:colOff>
      <xdr:row>33</xdr:row>
      <xdr:rowOff>144371</xdr:rowOff>
    </xdr:to>
    <xdr:sp macro="" textlink="">
      <xdr:nvSpPr>
        <xdr:cNvPr id="46" name="Rectangle: Rounded Corners 45">
          <a:extLst>
            <a:ext uri="{FF2B5EF4-FFF2-40B4-BE49-F238E27FC236}">
              <a16:creationId xmlns:a16="http://schemas.microsoft.com/office/drawing/2014/main" id="{A6A43B71-33F8-4F56-8DAD-EFCD57833004}"/>
            </a:ext>
          </a:extLst>
        </xdr:cNvPr>
        <xdr:cNvSpPr/>
      </xdr:nvSpPr>
      <xdr:spPr>
        <a:xfrm>
          <a:off x="11124557" y="4670063"/>
          <a:ext cx="3997364" cy="1575131"/>
        </a:xfrm>
        <a:prstGeom prst="roundRect">
          <a:avLst>
            <a:gd name="adj" fmla="val 6932"/>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xdr:from>
      <xdr:col>0</xdr:col>
      <xdr:colOff>79269</xdr:colOff>
      <xdr:row>4</xdr:row>
      <xdr:rowOff>11707</xdr:rowOff>
    </xdr:from>
    <xdr:to>
      <xdr:col>2</xdr:col>
      <xdr:colOff>221868</xdr:colOff>
      <xdr:row>33</xdr:row>
      <xdr:rowOff>0</xdr:rowOff>
    </xdr:to>
    <xdr:sp macro="" textlink="">
      <xdr:nvSpPr>
        <xdr:cNvPr id="48" name="Rectangle: Rounded Corners 47">
          <a:extLst>
            <a:ext uri="{FF2B5EF4-FFF2-40B4-BE49-F238E27FC236}">
              <a16:creationId xmlns:a16="http://schemas.microsoft.com/office/drawing/2014/main" id="{BF8CE36E-3381-4EF7-973E-0C29B6EE6CBD}"/>
            </a:ext>
          </a:extLst>
        </xdr:cNvPr>
        <xdr:cNvSpPr/>
      </xdr:nvSpPr>
      <xdr:spPr>
        <a:xfrm>
          <a:off x="79269" y="746165"/>
          <a:ext cx="1366695" cy="5313112"/>
        </a:xfrm>
        <a:prstGeom prst="roundRect">
          <a:avLst>
            <a:gd name="adj" fmla="val 4461"/>
          </a:avLst>
        </a:prstGeom>
        <a:solidFill>
          <a:schemeClr val="tx2">
            <a:lumMod val="50000"/>
          </a:schemeClr>
        </a:solidFill>
        <a:ln w="9525">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50000"/>
              </a:schemeClr>
            </a:solidFill>
          </a:endParaRPr>
        </a:p>
      </xdr:txBody>
    </xdr:sp>
    <xdr:clientData/>
  </xdr:twoCellAnchor>
  <xdr:twoCellAnchor editAs="oneCell">
    <xdr:from>
      <xdr:col>6</xdr:col>
      <xdr:colOff>348151</xdr:colOff>
      <xdr:row>4</xdr:row>
      <xdr:rowOff>128898</xdr:rowOff>
    </xdr:from>
    <xdr:to>
      <xdr:col>8</xdr:col>
      <xdr:colOff>39616</xdr:colOff>
      <xdr:row>7</xdr:row>
      <xdr:rowOff>136548</xdr:rowOff>
    </xdr:to>
    <xdr:pic>
      <xdr:nvPicPr>
        <xdr:cNvPr id="50" name="Graphic 49" descr="Bar graph with upward trend with solid fill">
          <a:extLst>
            <a:ext uri="{FF2B5EF4-FFF2-40B4-BE49-F238E27FC236}">
              <a16:creationId xmlns:a16="http://schemas.microsoft.com/office/drawing/2014/main" id="{CD290652-3BB8-91DA-8C3B-759A9420DF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13467" y="868392"/>
          <a:ext cx="913238" cy="562270"/>
        </a:xfrm>
        <a:prstGeom prst="rect">
          <a:avLst/>
        </a:prstGeom>
      </xdr:spPr>
    </xdr:pic>
    <xdr:clientData/>
  </xdr:twoCellAnchor>
  <xdr:twoCellAnchor editAs="oneCell">
    <xdr:from>
      <xdr:col>10</xdr:col>
      <xdr:colOff>340789</xdr:colOff>
      <xdr:row>4</xdr:row>
      <xdr:rowOff>5715</xdr:rowOff>
    </xdr:from>
    <xdr:to>
      <xdr:col>11</xdr:col>
      <xdr:colOff>509104</xdr:colOff>
      <xdr:row>8</xdr:row>
      <xdr:rowOff>51617</xdr:rowOff>
    </xdr:to>
    <xdr:pic>
      <xdr:nvPicPr>
        <xdr:cNvPr id="52" name="Graphic 51" descr="Piggy Bank with solid fill">
          <a:extLst>
            <a:ext uri="{FF2B5EF4-FFF2-40B4-BE49-F238E27FC236}">
              <a16:creationId xmlns:a16="http://schemas.microsoft.com/office/drawing/2014/main" id="{95D07D7E-E141-7AF6-C694-574053AEE64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449650" y="745209"/>
          <a:ext cx="779201" cy="785395"/>
        </a:xfrm>
        <a:prstGeom prst="rect">
          <a:avLst/>
        </a:prstGeom>
      </xdr:spPr>
    </xdr:pic>
    <xdr:clientData/>
  </xdr:twoCellAnchor>
  <xdr:twoCellAnchor editAs="oneCell">
    <xdr:from>
      <xdr:col>2</xdr:col>
      <xdr:colOff>321326</xdr:colOff>
      <xdr:row>4</xdr:row>
      <xdr:rowOff>112531</xdr:rowOff>
    </xdr:from>
    <xdr:to>
      <xdr:col>4</xdr:col>
      <xdr:colOff>104494</xdr:colOff>
      <xdr:row>7</xdr:row>
      <xdr:rowOff>88418</xdr:rowOff>
    </xdr:to>
    <xdr:pic>
      <xdr:nvPicPr>
        <xdr:cNvPr id="54" name="Graphic 53" descr="Money with solid fill">
          <a:extLst>
            <a:ext uri="{FF2B5EF4-FFF2-40B4-BE49-F238E27FC236}">
              <a16:creationId xmlns:a16="http://schemas.microsoft.com/office/drawing/2014/main" id="{8F30F202-55A5-D20A-3613-D8833F73484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43098" y="852025"/>
          <a:ext cx="1004940" cy="530507"/>
        </a:xfrm>
        <a:prstGeom prst="rect">
          <a:avLst/>
        </a:prstGeom>
      </xdr:spPr>
    </xdr:pic>
    <xdr:clientData/>
  </xdr:twoCellAnchor>
  <xdr:twoCellAnchor editAs="oneCell">
    <xdr:from>
      <xdr:col>14</xdr:col>
      <xdr:colOff>150205</xdr:colOff>
      <xdr:row>4</xdr:row>
      <xdr:rowOff>92194</xdr:rowOff>
    </xdr:from>
    <xdr:to>
      <xdr:col>15</xdr:col>
      <xdr:colOff>451394</xdr:colOff>
      <xdr:row>7</xdr:row>
      <xdr:rowOff>153400</xdr:rowOff>
    </xdr:to>
    <xdr:pic>
      <xdr:nvPicPr>
        <xdr:cNvPr id="56" name="Graphic 55" descr="Database with solid fill">
          <a:extLst>
            <a:ext uri="{FF2B5EF4-FFF2-40B4-BE49-F238E27FC236}">
              <a16:creationId xmlns:a16="http://schemas.microsoft.com/office/drawing/2014/main" id="{4DB83079-A23D-0D21-2BB2-E5978B98F72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702610" y="831688"/>
          <a:ext cx="912075" cy="615826"/>
        </a:xfrm>
        <a:prstGeom prst="rect">
          <a:avLst/>
        </a:prstGeom>
      </xdr:spPr>
    </xdr:pic>
    <xdr:clientData/>
  </xdr:twoCellAnchor>
  <xdr:twoCellAnchor>
    <xdr:from>
      <xdr:col>4</xdr:col>
      <xdr:colOff>104494</xdr:colOff>
      <xdr:row>4</xdr:row>
      <xdr:rowOff>160662</xdr:rowOff>
    </xdr:from>
    <xdr:to>
      <xdr:col>6</xdr:col>
      <xdr:colOff>80379</xdr:colOff>
      <xdr:row>6</xdr:row>
      <xdr:rowOff>40189</xdr:rowOff>
    </xdr:to>
    <xdr:sp macro="" textlink="">
      <xdr:nvSpPr>
        <xdr:cNvPr id="57" name="TextBox 56">
          <a:extLst>
            <a:ext uri="{FF2B5EF4-FFF2-40B4-BE49-F238E27FC236}">
              <a16:creationId xmlns:a16="http://schemas.microsoft.com/office/drawing/2014/main" id="{E7B6CDBB-C4A2-0513-698F-1FC2955F2CE0}"/>
            </a:ext>
          </a:extLst>
        </xdr:cNvPr>
        <xdr:cNvSpPr txBox="1"/>
      </xdr:nvSpPr>
      <xdr:spPr>
        <a:xfrm>
          <a:off x="2548038" y="900156"/>
          <a:ext cx="1197657" cy="249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FFFF00"/>
              </a:solidFill>
              <a:latin typeface="+mn-lt"/>
            </a:rPr>
            <a:t>TOTAL SALES</a:t>
          </a:r>
        </a:p>
      </xdr:txBody>
    </xdr:sp>
    <xdr:clientData/>
  </xdr:twoCellAnchor>
  <xdr:twoCellAnchor>
    <xdr:from>
      <xdr:col>8</xdr:col>
      <xdr:colOff>152720</xdr:colOff>
      <xdr:row>4</xdr:row>
      <xdr:rowOff>130060</xdr:rowOff>
    </xdr:from>
    <xdr:to>
      <xdr:col>10</xdr:col>
      <xdr:colOff>8037</xdr:colOff>
      <xdr:row>6</xdr:row>
      <xdr:rowOff>64303</xdr:rowOff>
    </xdr:to>
    <xdr:sp macro="" textlink="">
      <xdr:nvSpPr>
        <xdr:cNvPr id="60" name="TextBox 59">
          <a:extLst>
            <a:ext uri="{FF2B5EF4-FFF2-40B4-BE49-F238E27FC236}">
              <a16:creationId xmlns:a16="http://schemas.microsoft.com/office/drawing/2014/main" id="{7E5EA372-7C5D-8D25-E7F1-D52DF7E35BF8}"/>
            </a:ext>
          </a:extLst>
        </xdr:cNvPr>
        <xdr:cNvSpPr txBox="1"/>
      </xdr:nvSpPr>
      <xdr:spPr>
        <a:xfrm>
          <a:off x="5039809" y="869554"/>
          <a:ext cx="1077089" cy="3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rgbClr val="FFFF00"/>
              </a:solidFill>
              <a:latin typeface="+mn-lt"/>
            </a:rPr>
            <a:t>TOTAL PROFIT</a:t>
          </a:r>
        </a:p>
      </xdr:txBody>
    </xdr:sp>
    <xdr:clientData/>
  </xdr:twoCellAnchor>
  <xdr:twoCellAnchor>
    <xdr:from>
      <xdr:col>11</xdr:col>
      <xdr:colOff>586772</xdr:colOff>
      <xdr:row>4</xdr:row>
      <xdr:rowOff>130061</xdr:rowOff>
    </xdr:from>
    <xdr:to>
      <xdr:col>13</xdr:col>
      <xdr:colOff>442089</xdr:colOff>
      <xdr:row>6</xdr:row>
      <xdr:rowOff>16076</xdr:rowOff>
    </xdr:to>
    <xdr:sp macro="" textlink="">
      <xdr:nvSpPr>
        <xdr:cNvPr id="63" name="TextBox 62">
          <a:extLst>
            <a:ext uri="{FF2B5EF4-FFF2-40B4-BE49-F238E27FC236}">
              <a16:creationId xmlns:a16="http://schemas.microsoft.com/office/drawing/2014/main" id="{52B4A5C3-6AD0-9F67-F272-DF2BC6B59D6A}"/>
            </a:ext>
          </a:extLst>
        </xdr:cNvPr>
        <xdr:cNvSpPr txBox="1"/>
      </xdr:nvSpPr>
      <xdr:spPr>
        <a:xfrm>
          <a:off x="7306519" y="869555"/>
          <a:ext cx="1077089" cy="25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FF00"/>
              </a:solidFill>
              <a:latin typeface="+mn-lt"/>
            </a:rPr>
            <a:t>MARGIN %</a:t>
          </a:r>
        </a:p>
      </xdr:txBody>
    </xdr:sp>
    <xdr:clientData/>
  </xdr:twoCellAnchor>
  <xdr:twoCellAnchor>
    <xdr:from>
      <xdr:col>15</xdr:col>
      <xdr:colOff>361708</xdr:colOff>
      <xdr:row>4</xdr:row>
      <xdr:rowOff>88417</xdr:rowOff>
    </xdr:from>
    <xdr:to>
      <xdr:col>18</xdr:col>
      <xdr:colOff>56265</xdr:colOff>
      <xdr:row>6</xdr:row>
      <xdr:rowOff>56265</xdr:rowOff>
    </xdr:to>
    <xdr:sp macro="" textlink="">
      <xdr:nvSpPr>
        <xdr:cNvPr id="64" name="TextBox 63">
          <a:extLst>
            <a:ext uri="{FF2B5EF4-FFF2-40B4-BE49-F238E27FC236}">
              <a16:creationId xmlns:a16="http://schemas.microsoft.com/office/drawing/2014/main" id="{5C40327D-99DF-D4BA-7F55-2187CFAA3E6C}"/>
            </a:ext>
          </a:extLst>
        </xdr:cNvPr>
        <xdr:cNvSpPr txBox="1"/>
      </xdr:nvSpPr>
      <xdr:spPr>
        <a:xfrm>
          <a:off x="9524999" y="827911"/>
          <a:ext cx="1527215" cy="33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FFF00"/>
              </a:solidFill>
              <a:latin typeface="+mn-lt"/>
            </a:rPr>
            <a:t>QUANTITY</a:t>
          </a:r>
        </a:p>
      </xdr:txBody>
    </xdr:sp>
    <xdr:clientData/>
  </xdr:twoCellAnchor>
  <xdr:twoCellAnchor>
    <xdr:from>
      <xdr:col>4</xdr:col>
      <xdr:colOff>344180</xdr:colOff>
      <xdr:row>6</xdr:row>
      <xdr:rowOff>54716</xdr:rowOff>
    </xdr:from>
    <xdr:to>
      <xdr:col>6</xdr:col>
      <xdr:colOff>107011</xdr:colOff>
      <xdr:row>7</xdr:row>
      <xdr:rowOff>108270</xdr:rowOff>
    </xdr:to>
    <xdr:sp macro="" textlink="'PIVOT TABLE'!B2">
      <xdr:nvSpPr>
        <xdr:cNvPr id="65" name="TextBox 64">
          <a:extLst>
            <a:ext uri="{FF2B5EF4-FFF2-40B4-BE49-F238E27FC236}">
              <a16:creationId xmlns:a16="http://schemas.microsoft.com/office/drawing/2014/main" id="{22095E42-71B9-4A9B-903B-1C453760829F}"/>
            </a:ext>
          </a:extLst>
        </xdr:cNvPr>
        <xdr:cNvSpPr txBox="1"/>
      </xdr:nvSpPr>
      <xdr:spPr>
        <a:xfrm>
          <a:off x="2787724" y="1163957"/>
          <a:ext cx="984603" cy="238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0B19DA-9CFE-4AEF-8F8D-88D58115090C}" type="TxLink">
            <a:rPr lang="en-US" sz="1100" b="1" i="0" u="none" strike="noStrike">
              <a:solidFill>
                <a:schemeClr val="bg1"/>
              </a:solidFill>
              <a:latin typeface="Calibri"/>
              <a:ea typeface="Calibri"/>
              <a:cs typeface="Calibri"/>
            </a:rPr>
            <a:pPr algn="ctr"/>
            <a:t> $5,00,00,767 </a:t>
          </a:fld>
          <a:endParaRPr lang="en-IN" sz="1100" b="1">
            <a:solidFill>
              <a:schemeClr val="bg1"/>
            </a:solidFill>
            <a:latin typeface="+mn-lt"/>
          </a:endParaRPr>
        </a:p>
      </xdr:txBody>
    </xdr:sp>
    <xdr:clientData/>
  </xdr:twoCellAnchor>
  <xdr:twoCellAnchor>
    <xdr:from>
      <xdr:col>8</xdr:col>
      <xdr:colOff>278877</xdr:colOff>
      <xdr:row>6</xdr:row>
      <xdr:rowOff>62529</xdr:rowOff>
    </xdr:from>
    <xdr:to>
      <xdr:col>10</xdr:col>
      <xdr:colOff>41708</xdr:colOff>
      <xdr:row>7</xdr:row>
      <xdr:rowOff>116083</xdr:rowOff>
    </xdr:to>
    <xdr:sp macro="" textlink="'PIVOT TABLE'!B3">
      <xdr:nvSpPr>
        <xdr:cNvPr id="67" name="TextBox 66">
          <a:extLst>
            <a:ext uri="{FF2B5EF4-FFF2-40B4-BE49-F238E27FC236}">
              <a16:creationId xmlns:a16="http://schemas.microsoft.com/office/drawing/2014/main" id="{38356789-7FFE-4E53-AA71-A0084F823638}"/>
            </a:ext>
          </a:extLst>
        </xdr:cNvPr>
        <xdr:cNvSpPr txBox="1"/>
      </xdr:nvSpPr>
      <xdr:spPr>
        <a:xfrm>
          <a:off x="5165966" y="1171770"/>
          <a:ext cx="984603" cy="238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A23D84-4171-4AE3-91E1-F97E0C137BDC}" type="TxLink">
            <a:rPr lang="en-US" sz="1200" b="1" i="0" u="none" strike="noStrike">
              <a:solidFill>
                <a:schemeClr val="bg1"/>
              </a:solidFill>
              <a:latin typeface="Calibri"/>
              <a:ea typeface="Calibri"/>
              <a:cs typeface="Calibri"/>
            </a:rPr>
            <a:pPr algn="ctr"/>
            <a:t> $20,19,593 </a:t>
          </a:fld>
          <a:endParaRPr lang="en-IN" sz="1200" b="1">
            <a:solidFill>
              <a:schemeClr val="bg1"/>
            </a:solidFill>
            <a:latin typeface="+mn-lt"/>
          </a:endParaRPr>
        </a:p>
      </xdr:txBody>
    </xdr:sp>
    <xdr:clientData/>
  </xdr:twoCellAnchor>
  <xdr:twoCellAnchor>
    <xdr:from>
      <xdr:col>12</xdr:col>
      <xdr:colOff>321519</xdr:colOff>
      <xdr:row>6</xdr:row>
      <xdr:rowOff>29377</xdr:rowOff>
    </xdr:from>
    <xdr:to>
      <xdr:col>13</xdr:col>
      <xdr:colOff>458165</xdr:colOff>
      <xdr:row>7</xdr:row>
      <xdr:rowOff>96456</xdr:rowOff>
    </xdr:to>
    <xdr:sp macro="" textlink="'PIVOT TABLE'!B4">
      <xdr:nvSpPr>
        <xdr:cNvPr id="68" name="TextBox 67">
          <a:extLst>
            <a:ext uri="{FF2B5EF4-FFF2-40B4-BE49-F238E27FC236}">
              <a16:creationId xmlns:a16="http://schemas.microsoft.com/office/drawing/2014/main" id="{EA046393-162B-41F7-A4F2-73636A2B4CB7}"/>
            </a:ext>
          </a:extLst>
        </xdr:cNvPr>
        <xdr:cNvSpPr txBox="1"/>
      </xdr:nvSpPr>
      <xdr:spPr>
        <a:xfrm>
          <a:off x="7652152" y="1138618"/>
          <a:ext cx="747532" cy="251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617377-DB29-4EEC-A1A3-90CAB47E46D3}" type="TxLink">
            <a:rPr lang="en-US" sz="1400" b="1" i="0" u="none" strike="noStrike">
              <a:solidFill>
                <a:schemeClr val="bg1"/>
              </a:solidFill>
              <a:latin typeface="Calibri"/>
              <a:ea typeface="Calibri"/>
              <a:cs typeface="Calibri"/>
            </a:rPr>
            <a:pPr algn="ctr"/>
            <a:t>4%</a:t>
          </a:fld>
          <a:endParaRPr lang="en-IN" sz="1600" b="1">
            <a:solidFill>
              <a:schemeClr val="bg1"/>
            </a:solidFill>
            <a:latin typeface="+mn-lt"/>
          </a:endParaRPr>
        </a:p>
      </xdr:txBody>
    </xdr:sp>
    <xdr:clientData/>
  </xdr:twoCellAnchor>
  <xdr:twoCellAnchor>
    <xdr:from>
      <xdr:col>16</xdr:col>
      <xdr:colOff>395513</xdr:colOff>
      <xdr:row>5</xdr:row>
      <xdr:rowOff>176352</xdr:rowOff>
    </xdr:from>
    <xdr:to>
      <xdr:col>18</xdr:col>
      <xdr:colOff>158343</xdr:colOff>
      <xdr:row>7</xdr:row>
      <xdr:rowOff>145749</xdr:rowOff>
    </xdr:to>
    <xdr:sp macro="" textlink="'PIVOT TABLE'!B5">
      <xdr:nvSpPr>
        <xdr:cNvPr id="69" name="TextBox 68">
          <a:extLst>
            <a:ext uri="{FF2B5EF4-FFF2-40B4-BE49-F238E27FC236}">
              <a16:creationId xmlns:a16="http://schemas.microsoft.com/office/drawing/2014/main" id="{44BE8F09-94B3-4495-80AE-4E77906E624F}"/>
            </a:ext>
          </a:extLst>
        </xdr:cNvPr>
        <xdr:cNvSpPr txBox="1"/>
      </xdr:nvSpPr>
      <xdr:spPr>
        <a:xfrm>
          <a:off x="10169690" y="1100719"/>
          <a:ext cx="984602" cy="339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CAD48C-4094-47CA-85C2-A3925A13F43B}" type="TxLink">
            <a:rPr lang="en-US" sz="1600" b="1" i="0" u="none" strike="noStrike">
              <a:solidFill>
                <a:schemeClr val="bg1"/>
              </a:solidFill>
              <a:latin typeface="Calibri"/>
              <a:ea typeface="Calibri"/>
              <a:cs typeface="Calibri"/>
            </a:rPr>
            <a:pPr algn="ctr"/>
            <a:t>5452</a:t>
          </a:fld>
          <a:endParaRPr lang="en-IN" sz="2400" b="1">
            <a:solidFill>
              <a:schemeClr val="bg1"/>
            </a:solidFill>
            <a:latin typeface="+mn-lt"/>
          </a:endParaRPr>
        </a:p>
      </xdr:txBody>
    </xdr:sp>
    <xdr:clientData/>
  </xdr:twoCellAnchor>
  <xdr:twoCellAnchor>
    <xdr:from>
      <xdr:col>2</xdr:col>
      <xdr:colOff>294099</xdr:colOff>
      <xdr:row>8</xdr:row>
      <xdr:rowOff>73524</xdr:rowOff>
    </xdr:from>
    <xdr:to>
      <xdr:col>6</xdr:col>
      <xdr:colOff>275422</xdr:colOff>
      <xdr:row>24</xdr:row>
      <xdr:rowOff>114759</xdr:rowOff>
    </xdr:to>
    <xdr:graphicFrame macro="">
      <xdr:nvGraphicFramePr>
        <xdr:cNvPr id="71" name="Chart 70">
          <a:extLst>
            <a:ext uri="{FF2B5EF4-FFF2-40B4-BE49-F238E27FC236}">
              <a16:creationId xmlns:a16="http://schemas.microsoft.com/office/drawing/2014/main" id="{77294DB9-ECA8-47CD-95CF-304FC2B46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290723</xdr:colOff>
      <xdr:row>8</xdr:row>
      <xdr:rowOff>61205</xdr:rowOff>
    </xdr:from>
    <xdr:to>
      <xdr:col>13</xdr:col>
      <xdr:colOff>530506</xdr:colOff>
      <xdr:row>18</xdr:row>
      <xdr:rowOff>0</xdr:rowOff>
    </xdr:to>
    <xdr:graphicFrame macro="">
      <xdr:nvGraphicFramePr>
        <xdr:cNvPr id="72" name="Chart 71">
          <a:extLst>
            <a:ext uri="{FF2B5EF4-FFF2-40B4-BE49-F238E27FC236}">
              <a16:creationId xmlns:a16="http://schemas.microsoft.com/office/drawing/2014/main" id="{63CF5720-1B92-4385-89A0-E55320971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570695</xdr:colOff>
      <xdr:row>8</xdr:row>
      <xdr:rowOff>120570</xdr:rowOff>
    </xdr:from>
    <xdr:to>
      <xdr:col>18</xdr:col>
      <xdr:colOff>40188</xdr:colOff>
      <xdr:row>20</xdr:row>
      <xdr:rowOff>32152</xdr:rowOff>
    </xdr:to>
    <xdr:graphicFrame macro="">
      <xdr:nvGraphicFramePr>
        <xdr:cNvPr id="73" name="Chart 72">
          <a:extLst>
            <a:ext uri="{FF2B5EF4-FFF2-40B4-BE49-F238E27FC236}">
              <a16:creationId xmlns:a16="http://schemas.microsoft.com/office/drawing/2014/main" id="{7CA08628-4CFC-4A9B-927F-91F1D4508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112532</xdr:colOff>
      <xdr:row>4</xdr:row>
      <xdr:rowOff>32819</xdr:rowOff>
    </xdr:from>
    <xdr:to>
      <xdr:col>24</xdr:col>
      <xdr:colOff>442088</xdr:colOff>
      <xdr:row>24</xdr:row>
      <xdr:rowOff>176834</xdr:rowOff>
    </xdr:to>
    <xdr:graphicFrame macro="">
      <xdr:nvGraphicFramePr>
        <xdr:cNvPr id="74" name="Chart 73">
          <a:extLst>
            <a:ext uri="{FF2B5EF4-FFF2-40B4-BE49-F238E27FC236}">
              <a16:creationId xmlns:a16="http://schemas.microsoft.com/office/drawing/2014/main" id="{E8B96F63-6676-46FA-9160-D33EF8624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298373</xdr:colOff>
      <xdr:row>18</xdr:row>
      <xdr:rowOff>0</xdr:rowOff>
    </xdr:from>
    <xdr:to>
      <xdr:col>13</xdr:col>
      <xdr:colOff>490316</xdr:colOff>
      <xdr:row>24</xdr:row>
      <xdr:rowOff>130060</xdr:rowOff>
    </xdr:to>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F13B0956-303A-430F-AF66-6D24F700C1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3955973" y="3314700"/>
              <a:ext cx="4459143" cy="1234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562659</xdr:colOff>
      <xdr:row>20</xdr:row>
      <xdr:rowOff>168799</xdr:rowOff>
    </xdr:from>
    <xdr:to>
      <xdr:col>18</xdr:col>
      <xdr:colOff>56363</xdr:colOff>
      <xdr:row>33</xdr:row>
      <xdr:rowOff>122024</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C12AF25E-1CA8-4563-8263-7673D86A9D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487459" y="3851799"/>
              <a:ext cx="2541704" cy="2347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288589</xdr:colOff>
      <xdr:row>25</xdr:row>
      <xdr:rowOff>15075</xdr:rowOff>
    </xdr:from>
    <xdr:to>
      <xdr:col>9</xdr:col>
      <xdr:colOff>329557</xdr:colOff>
      <xdr:row>33</xdr:row>
      <xdr:rowOff>160759</xdr:rowOff>
    </xdr:to>
    <xdr:graphicFrame macro="">
      <xdr:nvGraphicFramePr>
        <xdr:cNvPr id="80" name="Chart 79">
          <a:extLst>
            <a:ext uri="{FF2B5EF4-FFF2-40B4-BE49-F238E27FC236}">
              <a16:creationId xmlns:a16="http://schemas.microsoft.com/office/drawing/2014/main" id="{7ADAE207-BB97-463E-BB70-71D14AB91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490316</xdr:colOff>
      <xdr:row>25</xdr:row>
      <xdr:rowOff>56266</xdr:rowOff>
    </xdr:from>
    <xdr:to>
      <xdr:col>13</xdr:col>
      <xdr:colOff>554620</xdr:colOff>
      <xdr:row>33</xdr:row>
      <xdr:rowOff>120569</xdr:rowOff>
    </xdr:to>
    <xdr:graphicFrame macro="">
      <xdr:nvGraphicFramePr>
        <xdr:cNvPr id="81" name="Chart 80">
          <a:extLst>
            <a:ext uri="{FF2B5EF4-FFF2-40B4-BE49-F238E27FC236}">
              <a16:creationId xmlns:a16="http://schemas.microsoft.com/office/drawing/2014/main" id="{8FA6AE74-F9D2-4038-BF74-E8C531623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217026</xdr:colOff>
      <xdr:row>26</xdr:row>
      <xdr:rowOff>24114</xdr:rowOff>
    </xdr:from>
    <xdr:to>
      <xdr:col>24</xdr:col>
      <xdr:colOff>450126</xdr:colOff>
      <xdr:row>33</xdr:row>
      <xdr:rowOff>88418</xdr:rowOff>
    </xdr:to>
    <xdr:graphicFrame macro="">
      <xdr:nvGraphicFramePr>
        <xdr:cNvPr id="82" name="Chart 81">
          <a:extLst>
            <a:ext uri="{FF2B5EF4-FFF2-40B4-BE49-F238E27FC236}">
              <a16:creationId xmlns:a16="http://schemas.microsoft.com/office/drawing/2014/main" id="{39450C87-7CBA-4526-A124-BB6A9ECAD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65367</xdr:colOff>
      <xdr:row>11</xdr:row>
      <xdr:rowOff>145431</xdr:rowOff>
    </xdr:from>
    <xdr:to>
      <xdr:col>2</xdr:col>
      <xdr:colOff>224117</xdr:colOff>
      <xdr:row>20</xdr:row>
      <xdr:rowOff>149413</xdr:rowOff>
    </xdr:to>
    <mc:AlternateContent xmlns:mc="http://schemas.openxmlformats.org/markup-compatibility/2006" xmlns:a14="http://schemas.microsoft.com/office/drawing/2010/main">
      <mc:Choice Requires="a14">
        <xdr:graphicFrame macro="">
          <xdr:nvGraphicFramePr>
            <xdr:cNvPr id="94" name="YEAR 1">
              <a:extLst>
                <a:ext uri="{FF2B5EF4-FFF2-40B4-BE49-F238E27FC236}">
                  <a16:creationId xmlns:a16="http://schemas.microsoft.com/office/drawing/2014/main" id="{B9416FA6-5509-44E7-9657-9CD6C0D7C5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5367" y="2199843"/>
              <a:ext cx="1372721" cy="1684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65367</xdr:colOff>
      <xdr:row>20</xdr:row>
      <xdr:rowOff>142232</xdr:rowOff>
    </xdr:from>
    <xdr:to>
      <xdr:col>2</xdr:col>
      <xdr:colOff>205441</xdr:colOff>
      <xdr:row>34</xdr:row>
      <xdr:rowOff>0</xdr:rowOff>
    </xdr:to>
    <mc:AlternateContent xmlns:mc="http://schemas.openxmlformats.org/markup-compatibility/2006" xmlns:a14="http://schemas.microsoft.com/office/drawing/2010/main">
      <mc:Choice Requires="a14">
        <xdr:graphicFrame macro="">
          <xdr:nvGraphicFramePr>
            <xdr:cNvPr id="95" name="MONTH 1">
              <a:extLst>
                <a:ext uri="{FF2B5EF4-FFF2-40B4-BE49-F238E27FC236}">
                  <a16:creationId xmlns:a16="http://schemas.microsoft.com/office/drawing/2014/main" id="{C97F6408-B709-4B16-9AA4-3E3AD07C3FB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5367" y="3877526"/>
              <a:ext cx="1354045" cy="2285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54846</xdr:colOff>
      <xdr:row>4</xdr:row>
      <xdr:rowOff>8141</xdr:rowOff>
    </xdr:from>
    <xdr:to>
      <xdr:col>2</xdr:col>
      <xdr:colOff>236090</xdr:colOff>
      <xdr:row>11</xdr:row>
      <xdr:rowOff>137258</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625BE8F7-A6AD-412B-89A5-7EE269CDB07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4846" y="752181"/>
              <a:ext cx="1399931" cy="1431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refreshedDate="46267.472688541668" createdVersion="8" refreshedVersion="8" minRefreshableVersion="3" recordCount="1000" xr:uid="{94F60BD0-C09F-4E70-ACE4-B16EC880928C}">
  <cacheSource type="worksheet">
    <worksheetSource name="Table1"/>
  </cacheSource>
  <cacheFields count="27">
    <cacheField name="No." numFmtId="0">
      <sharedItems containsSemiMixedTypes="0" containsString="0" containsNumber="1" containsInteger="1" minValue="1" maxValue="1000"/>
    </cacheField>
    <cacheField name="Voter ID" numFmtId="0">
      <sharedItems/>
    </cacheField>
    <cacheField name="Order Date" numFmtId="0">
      <sharedItems/>
    </cacheField>
    <cacheField name="Ship Date" numFmtId="0">
      <sharedItems/>
    </cacheField>
    <cacheField name="Ship Mode" numFmtId="0">
      <sharedItems count="4">
        <s v="Second Class"/>
        <s v="Same Day"/>
        <s v="Standard Class"/>
        <s v="First Class"/>
      </sharedItems>
    </cacheField>
    <cacheField name="Customer ID" numFmtId="0">
      <sharedItems/>
    </cacheField>
    <cacheField name="Customer Name" numFmtId="0">
      <sharedItems/>
    </cacheField>
    <cacheField name="Segment" numFmtId="0">
      <sharedItems count="3">
        <s v="Home Office"/>
        <s v="Corporate"/>
        <s v="Consumer"/>
      </sharedItems>
    </cacheField>
    <cacheField name="Country" numFmtId="0">
      <sharedItems/>
    </cacheField>
    <cacheField name="City" numFmtId="0">
      <sharedItems count="5">
        <s v="Delhi"/>
        <s v="Bengaluru"/>
        <s v="Kolkata"/>
        <s v="Ahmedabad"/>
        <s v="Mumbai"/>
      </sharedItems>
    </cacheField>
    <cacheField name="State" numFmtId="0">
      <sharedItems/>
    </cacheField>
    <cacheField name="Postal Code" numFmtId="0">
      <sharedItems containsSemiMixedTypes="0" containsString="0" containsNumber="1" containsInteger="1" minValue="101017" maxValue="999046"/>
    </cacheField>
    <cacheField name="Region" numFmtId="0">
      <sharedItems count="4">
        <s v="North"/>
        <s v="South"/>
        <s v="East"/>
        <s v="West"/>
      </sharedItems>
    </cacheField>
    <cacheField name="Product ID" numFmtId="0">
      <sharedItems/>
    </cacheField>
    <cacheField name="Category" numFmtId="0">
      <sharedItems count="3">
        <s v="Furniture"/>
        <s v="Technology"/>
        <s v="Office Supplies"/>
      </sharedItems>
    </cacheField>
    <cacheField name="Sub-Category" numFmtId="0">
      <sharedItems count="4">
        <s v="Chair"/>
        <s v="Laptop"/>
        <s v="Smartphone"/>
        <s v="Paper"/>
      </sharedItems>
    </cacheField>
    <cacheField name="Product Name" numFmtId="0">
      <sharedItems/>
    </cacheField>
    <cacheField name="Sales" numFmtId="0">
      <sharedItems containsSemiMixedTypes="0" containsString="0" containsNumber="1" minValue="308.37" maxValue="99774.04"/>
    </cacheField>
    <cacheField name="Low sales" numFmtId="0">
      <sharedItems containsMixedTypes="1" containsNumber="1" minValue="308.37" maxValue="308.37" count="2">
        <e v="#N/A"/>
        <n v="308.37"/>
      </sharedItems>
    </cacheField>
    <cacheField name="Medium sales" numFmtId="0">
      <sharedItems containsMixedTypes="1" containsNumber="1" minValue="329.24" maxValue="99770.46"/>
    </cacheField>
    <cacheField name="Column1" numFmtId="0">
      <sharedItems containsMixedTypes="1" containsNumber="1" minValue="99774.04" maxValue="99774.04"/>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1.54" maxValue="7971.05"/>
    </cacheField>
    <cacheField name="YEAR" numFmtId="0">
      <sharedItems containsSemiMixedTypes="0" containsString="0" containsNumber="1" containsInteger="1" minValue="2021" maxValue="2025" count="5">
        <n v="2021"/>
        <n v="2024"/>
        <n v="2022"/>
        <n v="2023"/>
        <n v="2025"/>
      </sharedItems>
    </cacheField>
    <cacheField name="MONTH" numFmtId="0">
      <sharedItems count="12">
        <s v="May"/>
        <s v="Dec"/>
        <s v="Aug"/>
        <s v="Jun"/>
        <s v="Apr"/>
        <s v="Mar"/>
        <s v="Jul"/>
        <s v="Oct"/>
        <s v="Jan"/>
        <s v="Nov"/>
        <s v="Sep"/>
        <s v="Feb"/>
      </sharedItems>
    </cacheField>
    <cacheField name="DAILY" numFmtId="0">
      <sharedItems containsSemiMixedTypes="0" containsString="0" containsNumber="1" containsInteger="1" minValue="1" maxValue="31" count="31">
        <n v="20"/>
        <n v="12"/>
        <n v="22"/>
        <n v="8"/>
        <n v="31"/>
        <n v="10"/>
        <n v="14"/>
        <n v="27"/>
        <n v="7"/>
        <n v="3"/>
        <n v="2"/>
        <n v="1"/>
        <n v="18"/>
        <n v="28"/>
        <n v="24"/>
        <n v="6"/>
        <n v="30"/>
        <n v="25"/>
        <n v="9"/>
        <n v="29"/>
        <n v="16"/>
        <n v="26"/>
        <n v="4"/>
        <n v="11"/>
        <n v="23"/>
        <n v="5"/>
        <n v="21"/>
        <n v="19"/>
        <n v="15"/>
        <n v="17"/>
        <n v="13"/>
      </sharedItems>
    </cacheField>
  </cacheFields>
  <extLst>
    <ext xmlns:x14="http://schemas.microsoft.com/office/spreadsheetml/2009/9/main" uri="{725AE2AE-9491-48be-B2B4-4EB974FC3084}">
      <x14:pivotCacheDefinition pivotCacheId="1754426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VID100001"/>
    <s v="20-05-2021"/>
    <s v="21-05-2021"/>
    <x v="0"/>
    <s v="CUST-1001"/>
    <s v="Sneha Reddy"/>
    <x v="0"/>
    <s v="India"/>
    <x v="0"/>
    <s v="Delhi"/>
    <n v="146765"/>
    <x v="0"/>
    <s v="PROD-2001"/>
    <x v="0"/>
    <x v="0"/>
    <s v="Office Chair"/>
    <n v="31035.119999999999"/>
    <x v="0"/>
    <n v="31035.119999999999"/>
    <e v="#N/A"/>
    <n v="1"/>
    <n v="0.3"/>
    <n v="155.18"/>
    <x v="0"/>
    <x v="0"/>
    <x v="0"/>
  </r>
  <r>
    <n v="2"/>
    <s v="VID100002"/>
    <s v="12-12-2021"/>
    <s v="18-12-2021"/>
    <x v="1"/>
    <s v="CUST-1002"/>
    <s v="Amit Verma"/>
    <x v="1"/>
    <s v="India"/>
    <x v="1"/>
    <s v="Karnataka"/>
    <n v="489310"/>
    <x v="1"/>
    <s v="PROD-2002"/>
    <x v="1"/>
    <x v="1"/>
    <s v="Dell Inspiron"/>
    <n v="16187.61"/>
    <x v="0"/>
    <n v="16187.61"/>
    <e v="#N/A"/>
    <n v="3"/>
    <n v="0.3"/>
    <n v="80.94"/>
    <x v="0"/>
    <x v="1"/>
    <x v="1"/>
  </r>
  <r>
    <n v="3"/>
    <s v="VID100003"/>
    <s v="22-12-2021"/>
    <s v="25-12-2021"/>
    <x v="1"/>
    <s v="CUST-1003"/>
    <s v="Sneha Reddy"/>
    <x v="0"/>
    <s v="India"/>
    <x v="2"/>
    <s v="West Bengal"/>
    <n v="278634"/>
    <x v="2"/>
    <s v="PROD-2003"/>
    <x v="1"/>
    <x v="2"/>
    <s v="Samsung Galaxy"/>
    <n v="56628.32"/>
    <x v="0"/>
    <n v="56628.32"/>
    <e v="#N/A"/>
    <n v="4"/>
    <n v="0.2"/>
    <n v="1698.85"/>
    <x v="0"/>
    <x v="1"/>
    <x v="2"/>
  </r>
  <r>
    <n v="4"/>
    <s v="VID100004"/>
    <s v="08-12-2024"/>
    <s v="14-12-2024"/>
    <x v="2"/>
    <s v="CUST-1004"/>
    <s v="Amit Verma"/>
    <x v="1"/>
    <s v="India"/>
    <x v="3"/>
    <s v="Gujarat"/>
    <n v="160603"/>
    <x v="3"/>
    <s v="PROD-2004"/>
    <x v="2"/>
    <x v="3"/>
    <s v="A4 Paper"/>
    <n v="69645.47"/>
    <x v="0"/>
    <n v="69645.47"/>
    <e v="#N/A"/>
    <n v="2"/>
    <n v="0.3"/>
    <n v="348.23"/>
    <x v="1"/>
    <x v="1"/>
    <x v="3"/>
  </r>
  <r>
    <n v="5"/>
    <s v="VID100005"/>
    <s v="31-08-2021"/>
    <s v="06-09-2021"/>
    <x v="1"/>
    <s v="CUST-1005"/>
    <s v="Diya Nair"/>
    <x v="0"/>
    <s v="India"/>
    <x v="3"/>
    <s v="Gujarat"/>
    <n v="685936"/>
    <x v="3"/>
    <s v="PROD-2005"/>
    <x v="0"/>
    <x v="0"/>
    <s v="Office Chair"/>
    <n v="21676.59"/>
    <x v="0"/>
    <n v="21676.59"/>
    <e v="#N/A"/>
    <n v="9"/>
    <n v="0.1"/>
    <n v="1192.21"/>
    <x v="0"/>
    <x v="2"/>
    <x v="4"/>
  </r>
  <r>
    <n v="6"/>
    <s v="VID100006"/>
    <s v="10-06-2022"/>
    <s v="14-06-2022"/>
    <x v="1"/>
    <s v="CUST-1006"/>
    <s v="Ananya Mishra"/>
    <x v="0"/>
    <s v="India"/>
    <x v="0"/>
    <s v="Delhi"/>
    <n v="642489"/>
    <x v="0"/>
    <s v="PROD-2006"/>
    <x v="2"/>
    <x v="3"/>
    <s v="A4 Paper"/>
    <n v="12903.19"/>
    <x v="0"/>
    <n v="12903.19"/>
    <e v="#N/A"/>
    <n v="5"/>
    <n v="0.2"/>
    <n v="387.1"/>
    <x v="2"/>
    <x v="3"/>
    <x v="5"/>
  </r>
  <r>
    <n v="7"/>
    <s v="VID100007"/>
    <s v="14-04-2021"/>
    <s v="20-04-2021"/>
    <x v="0"/>
    <s v="CUST-1007"/>
    <s v="Priya Patel"/>
    <x v="1"/>
    <s v="India"/>
    <x v="2"/>
    <s v="West Bengal"/>
    <n v="264166"/>
    <x v="2"/>
    <s v="PROD-2007"/>
    <x v="0"/>
    <x v="0"/>
    <s v="Office Chair"/>
    <n v="16365.92"/>
    <x v="0"/>
    <n v="16365.92"/>
    <e v="#N/A"/>
    <n v="7"/>
    <n v="0"/>
    <n v="1309.27"/>
    <x v="0"/>
    <x v="4"/>
    <x v="6"/>
  </r>
  <r>
    <n v="8"/>
    <s v="VID100008"/>
    <s v="27-08-2023"/>
    <s v="30-08-2023"/>
    <x v="1"/>
    <s v="CUST-1008"/>
    <s v="Rahul Joshi"/>
    <x v="2"/>
    <s v="India"/>
    <x v="3"/>
    <s v="Gujarat"/>
    <n v="410838"/>
    <x v="3"/>
    <s v="PROD-2008"/>
    <x v="1"/>
    <x v="1"/>
    <s v="Dell Inspiron"/>
    <n v="23916.19"/>
    <x v="0"/>
    <n v="23916.19"/>
    <e v="#N/A"/>
    <n v="5"/>
    <n v="0.1"/>
    <n v="1315.39"/>
    <x v="3"/>
    <x v="2"/>
    <x v="7"/>
  </r>
  <r>
    <n v="9"/>
    <s v="VID100009"/>
    <s v="07-03-2024"/>
    <s v="14-03-2024"/>
    <x v="2"/>
    <s v="CUST-1009"/>
    <s v="Sneha Reddy"/>
    <x v="0"/>
    <s v="India"/>
    <x v="3"/>
    <s v="Gujarat"/>
    <n v="419202"/>
    <x v="3"/>
    <s v="PROD-2009"/>
    <x v="2"/>
    <x v="3"/>
    <s v="A4 Paper"/>
    <n v="14860.88"/>
    <x v="0"/>
    <n v="14860.88"/>
    <e v="#N/A"/>
    <n v="8"/>
    <n v="0"/>
    <n v="1188.8699999999999"/>
    <x v="1"/>
    <x v="5"/>
    <x v="8"/>
  </r>
  <r>
    <n v="10"/>
    <s v="VID100010"/>
    <s v="03-07-2023"/>
    <s v="10-07-2023"/>
    <x v="2"/>
    <s v="CUST-1010"/>
    <s v="Rahul Joshi"/>
    <x v="2"/>
    <s v="India"/>
    <x v="2"/>
    <s v="West Bengal"/>
    <n v="341472"/>
    <x v="2"/>
    <s v="PROD-2010"/>
    <x v="0"/>
    <x v="0"/>
    <s v="Office Chair"/>
    <n v="55593.79"/>
    <x v="0"/>
    <n v="55593.79"/>
    <e v="#N/A"/>
    <n v="3"/>
    <n v="0.2"/>
    <n v="1667.81"/>
    <x v="3"/>
    <x v="6"/>
    <x v="9"/>
  </r>
  <r>
    <n v="11"/>
    <s v="VID100011"/>
    <s v="02-04-2024"/>
    <s v="05-04-2024"/>
    <x v="0"/>
    <s v="CUST-1011"/>
    <s v="Vikram Singh"/>
    <x v="1"/>
    <s v="India"/>
    <x v="0"/>
    <s v="Delhi"/>
    <n v="854290"/>
    <x v="0"/>
    <s v="PROD-2011"/>
    <x v="1"/>
    <x v="1"/>
    <s v="Dell Inspiron"/>
    <n v="59464.71"/>
    <x v="0"/>
    <n v="59464.71"/>
    <e v="#N/A"/>
    <n v="1"/>
    <n v="0.2"/>
    <n v="1783.94"/>
    <x v="1"/>
    <x v="4"/>
    <x v="10"/>
  </r>
  <r>
    <n v="12"/>
    <s v="VID100012"/>
    <s v="01-10-2021"/>
    <s v="04-10-2021"/>
    <x v="3"/>
    <s v="CUST-1012"/>
    <s v="Vikram Singh"/>
    <x v="2"/>
    <s v="India"/>
    <x v="2"/>
    <s v="West Bengal"/>
    <n v="952748"/>
    <x v="2"/>
    <s v="PROD-2012"/>
    <x v="1"/>
    <x v="1"/>
    <s v="Dell Inspiron"/>
    <n v="4162.0200000000004"/>
    <x v="0"/>
    <n v="4162.0200000000004"/>
    <e v="#N/A"/>
    <n v="6"/>
    <n v="0.1"/>
    <n v="228.91"/>
    <x v="0"/>
    <x v="7"/>
    <x v="11"/>
  </r>
  <r>
    <n v="13"/>
    <s v="VID100013"/>
    <s v="18-10-2021"/>
    <s v="24-10-2021"/>
    <x v="1"/>
    <s v="CUST-1013"/>
    <s v="Aarav Sharma"/>
    <x v="2"/>
    <s v="India"/>
    <x v="2"/>
    <s v="West Bengal"/>
    <n v="613946"/>
    <x v="2"/>
    <s v="PROD-2013"/>
    <x v="1"/>
    <x v="2"/>
    <s v="Samsung Galaxy"/>
    <n v="85451.95"/>
    <x v="0"/>
    <n v="85451.95"/>
    <e v="#N/A"/>
    <n v="1"/>
    <n v="0"/>
    <n v="6836.16"/>
    <x v="0"/>
    <x v="7"/>
    <x v="12"/>
  </r>
  <r>
    <n v="14"/>
    <s v="VID100014"/>
    <s v="31-05-2021"/>
    <s v="03-06-2021"/>
    <x v="0"/>
    <s v="CUST-1014"/>
    <s v="Sneha Reddy"/>
    <x v="2"/>
    <s v="India"/>
    <x v="4"/>
    <s v="Maharashtra"/>
    <n v="526156"/>
    <x v="3"/>
    <s v="PROD-2014"/>
    <x v="1"/>
    <x v="1"/>
    <s v="Dell Inspiron"/>
    <n v="66705.27"/>
    <x v="0"/>
    <n v="66705.27"/>
    <e v="#N/A"/>
    <n v="8"/>
    <n v="0"/>
    <n v="5336.42"/>
    <x v="0"/>
    <x v="0"/>
    <x v="4"/>
  </r>
  <r>
    <n v="15"/>
    <s v="VID100015"/>
    <s v="07-06-2025"/>
    <s v="11-06-2025"/>
    <x v="3"/>
    <s v="CUST-1015"/>
    <s v="Amit Verma"/>
    <x v="1"/>
    <s v="India"/>
    <x v="1"/>
    <s v="Karnataka"/>
    <n v="327215"/>
    <x v="1"/>
    <s v="PROD-2015"/>
    <x v="2"/>
    <x v="3"/>
    <s v="A4 Paper"/>
    <n v="44943.73"/>
    <x v="0"/>
    <n v="44943.73"/>
    <e v="#N/A"/>
    <n v="7"/>
    <n v="0"/>
    <n v="3595.5"/>
    <x v="4"/>
    <x v="3"/>
    <x v="8"/>
  </r>
  <r>
    <n v="16"/>
    <s v="VID100016"/>
    <s v="28-01-2024"/>
    <s v="02-02-2024"/>
    <x v="0"/>
    <s v="CUST-1016"/>
    <s v="Rohan Das"/>
    <x v="0"/>
    <s v="India"/>
    <x v="0"/>
    <s v="Delhi"/>
    <n v="723483"/>
    <x v="0"/>
    <s v="PROD-2016"/>
    <x v="1"/>
    <x v="2"/>
    <s v="Samsung Galaxy"/>
    <n v="37072.75"/>
    <x v="0"/>
    <n v="37072.75"/>
    <e v="#N/A"/>
    <n v="4"/>
    <n v="0.2"/>
    <n v="1112.18"/>
    <x v="1"/>
    <x v="8"/>
    <x v="13"/>
  </r>
  <r>
    <n v="17"/>
    <s v="VID100017"/>
    <s v="24-10-2025"/>
    <s v="26-10-2025"/>
    <x v="3"/>
    <s v="CUST-1017"/>
    <s v="Aarav Sharma"/>
    <x v="2"/>
    <s v="India"/>
    <x v="0"/>
    <s v="Delhi"/>
    <n v="191281"/>
    <x v="0"/>
    <s v="PROD-2017"/>
    <x v="2"/>
    <x v="3"/>
    <s v="A4 Paper"/>
    <n v="78226.39"/>
    <x v="0"/>
    <n v="78226.39"/>
    <e v="#N/A"/>
    <n v="4"/>
    <n v="0.3"/>
    <n v="391.13"/>
    <x v="4"/>
    <x v="7"/>
    <x v="14"/>
  </r>
  <r>
    <n v="18"/>
    <s v="VID100018"/>
    <s v="14-11-2025"/>
    <s v="18-11-2025"/>
    <x v="3"/>
    <s v="CUST-1018"/>
    <s v="Vikram Singh"/>
    <x v="0"/>
    <s v="India"/>
    <x v="2"/>
    <s v="West Bengal"/>
    <n v="784130"/>
    <x v="2"/>
    <s v="PROD-2018"/>
    <x v="2"/>
    <x v="3"/>
    <s v="A4 Paper"/>
    <n v="71137.649999999994"/>
    <x v="0"/>
    <n v="71137.649999999994"/>
    <e v="#N/A"/>
    <n v="4"/>
    <n v="0.1"/>
    <n v="3912.57"/>
    <x v="4"/>
    <x v="9"/>
    <x v="6"/>
  </r>
  <r>
    <n v="19"/>
    <s v="VID100019"/>
    <s v="22-12-2021"/>
    <s v="28-12-2021"/>
    <x v="3"/>
    <s v="CUST-1019"/>
    <s v="Aarav Sharma"/>
    <x v="0"/>
    <s v="India"/>
    <x v="2"/>
    <s v="West Bengal"/>
    <n v="742393"/>
    <x v="2"/>
    <s v="PROD-2019"/>
    <x v="0"/>
    <x v="0"/>
    <s v="Office Chair"/>
    <n v="4097.01"/>
    <x v="0"/>
    <n v="4097.01"/>
    <e v="#N/A"/>
    <n v="6"/>
    <n v="0.2"/>
    <n v="122.91"/>
    <x v="0"/>
    <x v="1"/>
    <x v="2"/>
  </r>
  <r>
    <n v="20"/>
    <s v="VID100020"/>
    <s v="06-09-2021"/>
    <s v="07-09-2021"/>
    <x v="0"/>
    <s v="CUST-1020"/>
    <s v="Vikram Singh"/>
    <x v="0"/>
    <s v="India"/>
    <x v="2"/>
    <s v="West Bengal"/>
    <n v="308808"/>
    <x v="2"/>
    <s v="PROD-2020"/>
    <x v="2"/>
    <x v="3"/>
    <s v="A4 Paper"/>
    <n v="49467.16"/>
    <x v="0"/>
    <n v="49467.16"/>
    <e v="#N/A"/>
    <n v="4"/>
    <n v="0.2"/>
    <n v="1484.01"/>
    <x v="0"/>
    <x v="10"/>
    <x v="15"/>
  </r>
  <r>
    <n v="21"/>
    <s v="VID100021"/>
    <s v="30-11-2024"/>
    <s v="03-12-2024"/>
    <x v="0"/>
    <s v="CUST-1021"/>
    <s v="Aarav Sharma"/>
    <x v="0"/>
    <s v="India"/>
    <x v="2"/>
    <s v="West Bengal"/>
    <n v="384188"/>
    <x v="2"/>
    <s v="PROD-2021"/>
    <x v="2"/>
    <x v="3"/>
    <s v="A4 Paper"/>
    <n v="75585.88"/>
    <x v="0"/>
    <n v="75585.88"/>
    <e v="#N/A"/>
    <n v="9"/>
    <n v="0.3"/>
    <n v="377.93"/>
    <x v="1"/>
    <x v="9"/>
    <x v="16"/>
  </r>
  <r>
    <n v="22"/>
    <s v="VID100022"/>
    <s v="12-11-2025"/>
    <s v="14-11-2025"/>
    <x v="1"/>
    <s v="CUST-1022"/>
    <s v="Priya Patel"/>
    <x v="0"/>
    <s v="India"/>
    <x v="0"/>
    <s v="Delhi"/>
    <n v="519675"/>
    <x v="0"/>
    <s v="PROD-2022"/>
    <x v="1"/>
    <x v="1"/>
    <s v="Dell Inspiron"/>
    <n v="96209.55"/>
    <x v="0"/>
    <n v="96209.55"/>
    <e v="#N/A"/>
    <n v="3"/>
    <n v="0.1"/>
    <n v="5291.53"/>
    <x v="4"/>
    <x v="9"/>
    <x v="1"/>
  </r>
  <r>
    <n v="23"/>
    <s v="VID100023"/>
    <s v="27-11-2023"/>
    <s v="02-12-2023"/>
    <x v="3"/>
    <s v="CUST-1023"/>
    <s v="Priya Patel"/>
    <x v="0"/>
    <s v="India"/>
    <x v="0"/>
    <s v="Delhi"/>
    <n v="757948"/>
    <x v="0"/>
    <s v="PROD-2023"/>
    <x v="0"/>
    <x v="0"/>
    <s v="Office Chair"/>
    <n v="80903.89"/>
    <x v="0"/>
    <n v="80903.89"/>
    <e v="#N/A"/>
    <n v="3"/>
    <n v="0.2"/>
    <n v="2427.12"/>
    <x v="3"/>
    <x v="9"/>
    <x v="7"/>
  </r>
  <r>
    <n v="24"/>
    <s v="VID100024"/>
    <s v="24-06-2024"/>
    <s v="26-06-2024"/>
    <x v="3"/>
    <s v="CUST-1024"/>
    <s v="Priya Patel"/>
    <x v="1"/>
    <s v="India"/>
    <x v="2"/>
    <s v="West Bengal"/>
    <n v="415589"/>
    <x v="2"/>
    <s v="PROD-2024"/>
    <x v="1"/>
    <x v="1"/>
    <s v="Dell Inspiron"/>
    <n v="6328.73"/>
    <x v="0"/>
    <n v="6328.73"/>
    <e v="#N/A"/>
    <n v="1"/>
    <n v="0.3"/>
    <n v="31.64"/>
    <x v="1"/>
    <x v="3"/>
    <x v="14"/>
  </r>
  <r>
    <n v="25"/>
    <s v="VID100025"/>
    <s v="25-03-2022"/>
    <s v="01-04-2022"/>
    <x v="1"/>
    <s v="CUST-1025"/>
    <s v="Aarav Sharma"/>
    <x v="0"/>
    <s v="India"/>
    <x v="3"/>
    <s v="Gujarat"/>
    <n v="792187"/>
    <x v="3"/>
    <s v="PROD-2025"/>
    <x v="2"/>
    <x v="3"/>
    <s v="A4 Paper"/>
    <n v="73848.39"/>
    <x v="0"/>
    <n v="73848.39"/>
    <e v="#N/A"/>
    <n v="1"/>
    <n v="0.3"/>
    <n v="369.24"/>
    <x v="2"/>
    <x v="5"/>
    <x v="17"/>
  </r>
  <r>
    <n v="26"/>
    <s v="VID100026"/>
    <s v="09-02-2022"/>
    <s v="11-02-2022"/>
    <x v="3"/>
    <s v="CUST-1026"/>
    <s v="Pooja Hegde"/>
    <x v="0"/>
    <s v="India"/>
    <x v="1"/>
    <s v="Karnataka"/>
    <n v="533755"/>
    <x v="1"/>
    <s v="PROD-2026"/>
    <x v="0"/>
    <x v="0"/>
    <s v="Office Chair"/>
    <n v="77486.490000000005"/>
    <x v="0"/>
    <n v="77486.490000000005"/>
    <e v="#N/A"/>
    <n v="5"/>
    <n v="0"/>
    <n v="6198.92"/>
    <x v="2"/>
    <x v="11"/>
    <x v="18"/>
  </r>
  <r>
    <n v="27"/>
    <s v="VID100027"/>
    <s v="18-06-2024"/>
    <s v="23-06-2024"/>
    <x v="3"/>
    <s v="CUST-1027"/>
    <s v="Amit Verma"/>
    <x v="2"/>
    <s v="India"/>
    <x v="3"/>
    <s v="Gujarat"/>
    <n v="310864"/>
    <x v="3"/>
    <s v="PROD-2027"/>
    <x v="2"/>
    <x v="3"/>
    <s v="A4 Paper"/>
    <n v="3476.54"/>
    <x v="0"/>
    <n v="3476.54"/>
    <e v="#N/A"/>
    <n v="8"/>
    <n v="0"/>
    <n v="278.12"/>
    <x v="1"/>
    <x v="3"/>
    <x v="12"/>
  </r>
  <r>
    <n v="28"/>
    <s v="VID100028"/>
    <s v="18-02-2023"/>
    <s v="21-02-2023"/>
    <x v="1"/>
    <s v="CUST-1028"/>
    <s v="Sneha Reddy"/>
    <x v="1"/>
    <s v="India"/>
    <x v="1"/>
    <s v="Karnataka"/>
    <n v="493083"/>
    <x v="1"/>
    <s v="PROD-2028"/>
    <x v="2"/>
    <x v="3"/>
    <s v="A4 Paper"/>
    <n v="72537.17"/>
    <x v="0"/>
    <n v="72537.17"/>
    <e v="#N/A"/>
    <n v="2"/>
    <n v="0.3"/>
    <n v="362.69"/>
    <x v="3"/>
    <x v="11"/>
    <x v="12"/>
  </r>
  <r>
    <n v="29"/>
    <s v="VID100029"/>
    <s v="01-11-2022"/>
    <s v="03-11-2022"/>
    <x v="1"/>
    <s v="CUST-1029"/>
    <s v="Ananya Mishra"/>
    <x v="0"/>
    <s v="India"/>
    <x v="4"/>
    <s v="Maharashtra"/>
    <n v="601963"/>
    <x v="3"/>
    <s v="PROD-2029"/>
    <x v="1"/>
    <x v="2"/>
    <s v="Samsung Galaxy"/>
    <n v="24622.04"/>
    <x v="0"/>
    <n v="24622.04"/>
    <e v="#N/A"/>
    <n v="3"/>
    <n v="0.2"/>
    <n v="738.66"/>
    <x v="2"/>
    <x v="9"/>
    <x v="11"/>
  </r>
  <r>
    <n v="30"/>
    <s v="VID100030"/>
    <s v="29-10-2023"/>
    <s v="05-11-2023"/>
    <x v="3"/>
    <s v="CUST-1030"/>
    <s v="Priya Patel"/>
    <x v="2"/>
    <s v="India"/>
    <x v="4"/>
    <s v="Maharashtra"/>
    <n v="421969"/>
    <x v="3"/>
    <s v="PROD-2030"/>
    <x v="1"/>
    <x v="2"/>
    <s v="Samsung Galaxy"/>
    <n v="41753.629999999997"/>
    <x v="0"/>
    <n v="41753.629999999997"/>
    <e v="#N/A"/>
    <n v="4"/>
    <n v="0.2"/>
    <n v="1252.6099999999999"/>
    <x v="3"/>
    <x v="7"/>
    <x v="19"/>
  </r>
  <r>
    <n v="31"/>
    <s v="VID100031"/>
    <s v="20-06-2022"/>
    <s v="27-06-2022"/>
    <x v="0"/>
    <s v="CUST-1031"/>
    <s v="Pooja Hegde"/>
    <x v="1"/>
    <s v="India"/>
    <x v="4"/>
    <s v="Maharashtra"/>
    <n v="429837"/>
    <x v="3"/>
    <s v="PROD-2031"/>
    <x v="2"/>
    <x v="3"/>
    <s v="A4 Paper"/>
    <n v="43327.62"/>
    <x v="0"/>
    <n v="43327.62"/>
    <e v="#N/A"/>
    <n v="1"/>
    <n v="0.1"/>
    <n v="2383.02"/>
    <x v="2"/>
    <x v="3"/>
    <x v="0"/>
  </r>
  <r>
    <n v="32"/>
    <s v="VID100032"/>
    <s v="06-05-2021"/>
    <s v="09-05-2021"/>
    <x v="0"/>
    <s v="CUST-1032"/>
    <s v="Amit Verma"/>
    <x v="1"/>
    <s v="India"/>
    <x v="3"/>
    <s v="Gujarat"/>
    <n v="187349"/>
    <x v="3"/>
    <s v="PROD-2032"/>
    <x v="1"/>
    <x v="1"/>
    <s v="Dell Inspiron"/>
    <n v="9902.3799999999992"/>
    <x v="0"/>
    <n v="9902.3799999999992"/>
    <e v="#N/A"/>
    <n v="4"/>
    <n v="0"/>
    <n v="792.19"/>
    <x v="0"/>
    <x v="0"/>
    <x v="15"/>
  </r>
  <r>
    <n v="33"/>
    <s v="VID100033"/>
    <s v="06-05-2022"/>
    <s v="09-05-2022"/>
    <x v="1"/>
    <s v="CUST-1033"/>
    <s v="Diya Nair"/>
    <x v="2"/>
    <s v="India"/>
    <x v="4"/>
    <s v="Maharashtra"/>
    <n v="730314"/>
    <x v="3"/>
    <s v="PROD-2033"/>
    <x v="0"/>
    <x v="0"/>
    <s v="Office Chair"/>
    <n v="65374.82"/>
    <x v="0"/>
    <n v="65374.82"/>
    <e v="#N/A"/>
    <n v="10"/>
    <n v="0.1"/>
    <n v="3595.62"/>
    <x v="2"/>
    <x v="0"/>
    <x v="15"/>
  </r>
  <r>
    <n v="34"/>
    <s v="VID100034"/>
    <s v="30-01-2023"/>
    <s v="02-02-2023"/>
    <x v="0"/>
    <s v="CUST-1034"/>
    <s v="Rahul Joshi"/>
    <x v="1"/>
    <s v="India"/>
    <x v="0"/>
    <s v="Delhi"/>
    <n v="400409"/>
    <x v="0"/>
    <s v="PROD-2034"/>
    <x v="1"/>
    <x v="2"/>
    <s v="Samsung Galaxy"/>
    <n v="55847.43"/>
    <x v="0"/>
    <n v="55847.43"/>
    <e v="#N/A"/>
    <n v="2"/>
    <n v="0.3"/>
    <n v="279.24"/>
    <x v="3"/>
    <x v="8"/>
    <x v="16"/>
  </r>
  <r>
    <n v="35"/>
    <s v="VID100035"/>
    <s v="16-10-2021"/>
    <s v="20-10-2021"/>
    <x v="3"/>
    <s v="CUST-1035"/>
    <s v="Pooja Hegde"/>
    <x v="1"/>
    <s v="India"/>
    <x v="4"/>
    <s v="Maharashtra"/>
    <n v="369698"/>
    <x v="3"/>
    <s v="PROD-2035"/>
    <x v="0"/>
    <x v="0"/>
    <s v="Office Chair"/>
    <n v="27851.3"/>
    <x v="0"/>
    <n v="27851.3"/>
    <e v="#N/A"/>
    <n v="6"/>
    <n v="0.1"/>
    <n v="1531.82"/>
    <x v="0"/>
    <x v="7"/>
    <x v="20"/>
  </r>
  <r>
    <n v="36"/>
    <s v="VID100036"/>
    <s v="26-04-2025"/>
    <s v="28-04-2025"/>
    <x v="2"/>
    <s v="CUST-1036"/>
    <s v="Sneha Reddy"/>
    <x v="2"/>
    <s v="India"/>
    <x v="3"/>
    <s v="Gujarat"/>
    <n v="669602"/>
    <x v="3"/>
    <s v="PROD-2036"/>
    <x v="1"/>
    <x v="2"/>
    <s v="Samsung Galaxy"/>
    <n v="29318.59"/>
    <x v="0"/>
    <n v="29318.59"/>
    <e v="#N/A"/>
    <n v="9"/>
    <n v="0.2"/>
    <n v="879.56"/>
    <x v="4"/>
    <x v="4"/>
    <x v="21"/>
  </r>
  <r>
    <n v="37"/>
    <s v="VID100037"/>
    <s v="10-01-2024"/>
    <s v="14-01-2024"/>
    <x v="1"/>
    <s v="CUST-1037"/>
    <s v="Aarav Sharma"/>
    <x v="0"/>
    <s v="India"/>
    <x v="0"/>
    <s v="Delhi"/>
    <n v="981550"/>
    <x v="0"/>
    <s v="PROD-2037"/>
    <x v="2"/>
    <x v="3"/>
    <s v="A4 Paper"/>
    <n v="94353.38"/>
    <x v="0"/>
    <n v="94353.38"/>
    <e v="#N/A"/>
    <n v="5"/>
    <n v="0.2"/>
    <n v="2830.6"/>
    <x v="1"/>
    <x v="8"/>
    <x v="5"/>
  </r>
  <r>
    <n v="38"/>
    <s v="VID100038"/>
    <s v="22-02-2024"/>
    <s v="26-02-2024"/>
    <x v="2"/>
    <s v="CUST-1038"/>
    <s v="Amit Verma"/>
    <x v="1"/>
    <s v="India"/>
    <x v="3"/>
    <s v="Gujarat"/>
    <n v="645818"/>
    <x v="3"/>
    <s v="PROD-2038"/>
    <x v="1"/>
    <x v="2"/>
    <s v="Samsung Galaxy"/>
    <n v="66970.37"/>
    <x v="0"/>
    <n v="66970.37"/>
    <e v="#N/A"/>
    <n v="8"/>
    <n v="0"/>
    <n v="5357.63"/>
    <x v="1"/>
    <x v="11"/>
    <x v="2"/>
  </r>
  <r>
    <n v="39"/>
    <s v="VID100039"/>
    <s v="04-03-2024"/>
    <s v="09-03-2024"/>
    <x v="0"/>
    <s v="CUST-1039"/>
    <s v="Rahul Joshi"/>
    <x v="2"/>
    <s v="India"/>
    <x v="0"/>
    <s v="Delhi"/>
    <n v="563791"/>
    <x v="0"/>
    <s v="PROD-2039"/>
    <x v="2"/>
    <x v="3"/>
    <s v="A4 Paper"/>
    <n v="88292.9"/>
    <x v="0"/>
    <n v="88292.9"/>
    <e v="#N/A"/>
    <n v="8"/>
    <n v="0.3"/>
    <n v="441.46"/>
    <x v="1"/>
    <x v="5"/>
    <x v="22"/>
  </r>
  <r>
    <n v="40"/>
    <s v="VID100040"/>
    <s v="31-07-2025"/>
    <s v="05-08-2025"/>
    <x v="0"/>
    <s v="CUST-1040"/>
    <s v="Aarav Sharma"/>
    <x v="2"/>
    <s v="India"/>
    <x v="2"/>
    <s v="West Bengal"/>
    <n v="620048"/>
    <x v="2"/>
    <s v="PROD-2040"/>
    <x v="1"/>
    <x v="1"/>
    <s v="Dell Inspiron"/>
    <n v="84913.56"/>
    <x v="0"/>
    <n v="84913.56"/>
    <e v="#N/A"/>
    <n v="8"/>
    <n v="0"/>
    <n v="6793.08"/>
    <x v="4"/>
    <x v="6"/>
    <x v="4"/>
  </r>
  <r>
    <n v="41"/>
    <s v="VID100041"/>
    <s v="18-08-2022"/>
    <s v="25-08-2022"/>
    <x v="2"/>
    <s v="CUST-1041"/>
    <s v="Diya Nair"/>
    <x v="0"/>
    <s v="India"/>
    <x v="1"/>
    <s v="Karnataka"/>
    <n v="431548"/>
    <x v="1"/>
    <s v="PROD-2041"/>
    <x v="0"/>
    <x v="0"/>
    <s v="Office Chair"/>
    <n v="97999.94"/>
    <x v="0"/>
    <n v="97999.94"/>
    <e v="#N/A"/>
    <n v="10"/>
    <n v="0"/>
    <n v="7840"/>
    <x v="2"/>
    <x v="2"/>
    <x v="12"/>
  </r>
  <r>
    <n v="42"/>
    <s v="VID100042"/>
    <s v="01-09-2022"/>
    <s v="07-09-2022"/>
    <x v="1"/>
    <s v="CUST-1042"/>
    <s v="Ananya Mishra"/>
    <x v="1"/>
    <s v="India"/>
    <x v="4"/>
    <s v="Maharashtra"/>
    <n v="210494"/>
    <x v="3"/>
    <s v="PROD-2042"/>
    <x v="0"/>
    <x v="0"/>
    <s v="Office Chair"/>
    <n v="3749.48"/>
    <x v="0"/>
    <n v="3749.48"/>
    <e v="#N/A"/>
    <n v="4"/>
    <n v="0"/>
    <n v="299.95999999999998"/>
    <x v="2"/>
    <x v="10"/>
    <x v="11"/>
  </r>
  <r>
    <n v="43"/>
    <s v="VID100043"/>
    <s v="29-10-2025"/>
    <s v="30-10-2025"/>
    <x v="0"/>
    <s v="CUST-1043"/>
    <s v="Vikram Singh"/>
    <x v="2"/>
    <s v="India"/>
    <x v="0"/>
    <s v="Delhi"/>
    <n v="292843"/>
    <x v="0"/>
    <s v="PROD-2043"/>
    <x v="0"/>
    <x v="0"/>
    <s v="Office Chair"/>
    <n v="98115.68"/>
    <x v="0"/>
    <n v="98115.68"/>
    <e v="#N/A"/>
    <n v="10"/>
    <n v="0"/>
    <n v="7849.25"/>
    <x v="4"/>
    <x v="7"/>
    <x v="19"/>
  </r>
  <r>
    <n v="44"/>
    <s v="VID100044"/>
    <s v="24-11-2023"/>
    <s v="29-11-2023"/>
    <x v="0"/>
    <s v="CUST-1044"/>
    <s v="Ananya Mishra"/>
    <x v="1"/>
    <s v="India"/>
    <x v="0"/>
    <s v="Delhi"/>
    <n v="614719"/>
    <x v="0"/>
    <s v="PROD-2044"/>
    <x v="1"/>
    <x v="1"/>
    <s v="Dell Inspiron"/>
    <n v="26210.93"/>
    <x v="0"/>
    <n v="26210.93"/>
    <e v="#N/A"/>
    <n v="6"/>
    <n v="0.2"/>
    <n v="786.33"/>
    <x v="3"/>
    <x v="9"/>
    <x v="14"/>
  </r>
  <r>
    <n v="45"/>
    <s v="VID100045"/>
    <s v="02-02-2022"/>
    <s v="09-02-2022"/>
    <x v="3"/>
    <s v="CUST-1045"/>
    <s v="Ananya Mishra"/>
    <x v="1"/>
    <s v="India"/>
    <x v="1"/>
    <s v="Karnataka"/>
    <n v="354445"/>
    <x v="1"/>
    <s v="PROD-2045"/>
    <x v="1"/>
    <x v="2"/>
    <s v="Samsung Galaxy"/>
    <n v="41541.699999999997"/>
    <x v="0"/>
    <n v="41541.699999999997"/>
    <e v="#N/A"/>
    <n v="8"/>
    <n v="0.3"/>
    <n v="207.71"/>
    <x v="2"/>
    <x v="11"/>
    <x v="10"/>
  </r>
  <r>
    <n v="46"/>
    <s v="VID100046"/>
    <s v="10-10-2025"/>
    <s v="12-10-2025"/>
    <x v="1"/>
    <s v="CUST-1046"/>
    <s v="Sneha Reddy"/>
    <x v="2"/>
    <s v="India"/>
    <x v="0"/>
    <s v="Delhi"/>
    <n v="721214"/>
    <x v="0"/>
    <s v="PROD-2046"/>
    <x v="0"/>
    <x v="0"/>
    <s v="Office Chair"/>
    <n v="30256.55"/>
    <x v="0"/>
    <n v="30256.55"/>
    <e v="#N/A"/>
    <n v="1"/>
    <n v="0.1"/>
    <n v="1664.11"/>
    <x v="4"/>
    <x v="7"/>
    <x v="5"/>
  </r>
  <r>
    <n v="47"/>
    <s v="VID100047"/>
    <s v="29-05-2024"/>
    <s v="02-06-2024"/>
    <x v="3"/>
    <s v="CUST-1047"/>
    <s v="Ananya Mishra"/>
    <x v="1"/>
    <s v="India"/>
    <x v="4"/>
    <s v="Maharashtra"/>
    <n v="391948"/>
    <x v="3"/>
    <s v="PROD-2047"/>
    <x v="2"/>
    <x v="3"/>
    <s v="A4 Paper"/>
    <n v="86970.95"/>
    <x v="0"/>
    <n v="86970.95"/>
    <e v="#N/A"/>
    <n v="8"/>
    <n v="0.2"/>
    <n v="2609.13"/>
    <x v="1"/>
    <x v="0"/>
    <x v="19"/>
  </r>
  <r>
    <n v="48"/>
    <s v="VID100048"/>
    <s v="11-01-2024"/>
    <s v="16-01-2024"/>
    <x v="1"/>
    <s v="CUST-1048"/>
    <s v="Vikram Singh"/>
    <x v="1"/>
    <s v="India"/>
    <x v="4"/>
    <s v="Maharashtra"/>
    <n v="665576"/>
    <x v="3"/>
    <s v="PROD-2048"/>
    <x v="0"/>
    <x v="0"/>
    <s v="Office Chair"/>
    <n v="84624.94"/>
    <x v="0"/>
    <n v="84624.94"/>
    <e v="#N/A"/>
    <n v="9"/>
    <n v="0"/>
    <n v="6770"/>
    <x v="1"/>
    <x v="8"/>
    <x v="23"/>
  </r>
  <r>
    <n v="49"/>
    <s v="VID100049"/>
    <s v="26-03-2023"/>
    <s v="28-03-2023"/>
    <x v="3"/>
    <s v="CUST-1049"/>
    <s v="Priya Patel"/>
    <x v="0"/>
    <s v="India"/>
    <x v="3"/>
    <s v="Gujarat"/>
    <n v="662572"/>
    <x v="3"/>
    <s v="PROD-2049"/>
    <x v="2"/>
    <x v="3"/>
    <s v="A4 Paper"/>
    <n v="23652.49"/>
    <x v="0"/>
    <n v="23652.49"/>
    <e v="#N/A"/>
    <n v="3"/>
    <n v="0.1"/>
    <n v="1300.8900000000001"/>
    <x v="3"/>
    <x v="5"/>
    <x v="21"/>
  </r>
  <r>
    <n v="50"/>
    <s v="VID100050"/>
    <s v="02-12-2024"/>
    <s v="07-12-2024"/>
    <x v="0"/>
    <s v="CUST-1050"/>
    <s v="Vikram Singh"/>
    <x v="0"/>
    <s v="India"/>
    <x v="1"/>
    <s v="Karnataka"/>
    <n v="263379"/>
    <x v="1"/>
    <s v="PROD-2050"/>
    <x v="1"/>
    <x v="2"/>
    <s v="Samsung Galaxy"/>
    <n v="23984.97"/>
    <x v="0"/>
    <n v="23984.97"/>
    <e v="#N/A"/>
    <n v="1"/>
    <n v="0.2"/>
    <n v="719.55"/>
    <x v="1"/>
    <x v="1"/>
    <x v="10"/>
  </r>
  <r>
    <n v="51"/>
    <s v="VID100051"/>
    <s v="08-03-2021"/>
    <s v="09-03-2021"/>
    <x v="3"/>
    <s v="CUST-1051"/>
    <s v="Pooja Hegde"/>
    <x v="0"/>
    <s v="India"/>
    <x v="4"/>
    <s v="Maharashtra"/>
    <n v="451019"/>
    <x v="3"/>
    <s v="PROD-2051"/>
    <x v="2"/>
    <x v="3"/>
    <s v="A4 Paper"/>
    <n v="49532.99"/>
    <x v="0"/>
    <n v="49532.99"/>
    <e v="#N/A"/>
    <n v="10"/>
    <n v="0.2"/>
    <n v="1485.99"/>
    <x v="0"/>
    <x v="5"/>
    <x v="3"/>
  </r>
  <r>
    <n v="52"/>
    <s v="VID100052"/>
    <s v="27-01-2024"/>
    <s v="29-01-2024"/>
    <x v="2"/>
    <s v="CUST-1052"/>
    <s v="Amit Verma"/>
    <x v="0"/>
    <s v="India"/>
    <x v="4"/>
    <s v="Maharashtra"/>
    <n v="420238"/>
    <x v="3"/>
    <s v="PROD-2052"/>
    <x v="2"/>
    <x v="3"/>
    <s v="A4 Paper"/>
    <n v="5223.5600000000004"/>
    <x v="0"/>
    <n v="5223.5600000000004"/>
    <e v="#N/A"/>
    <n v="6"/>
    <n v="0.1"/>
    <n v="287.3"/>
    <x v="1"/>
    <x v="8"/>
    <x v="7"/>
  </r>
  <r>
    <n v="53"/>
    <s v="VID100053"/>
    <s v="23-02-2024"/>
    <s v="27-02-2024"/>
    <x v="3"/>
    <s v="CUST-1053"/>
    <s v="Rahul Joshi"/>
    <x v="0"/>
    <s v="India"/>
    <x v="2"/>
    <s v="West Bengal"/>
    <n v="935222"/>
    <x v="2"/>
    <s v="PROD-2053"/>
    <x v="1"/>
    <x v="1"/>
    <s v="Dell Inspiron"/>
    <n v="50727.040000000001"/>
    <x v="0"/>
    <n v="50727.040000000001"/>
    <e v="#N/A"/>
    <n v="10"/>
    <n v="0"/>
    <n v="4058.16"/>
    <x v="1"/>
    <x v="11"/>
    <x v="24"/>
  </r>
  <r>
    <n v="54"/>
    <s v="VID100054"/>
    <s v="08-05-2024"/>
    <s v="11-05-2024"/>
    <x v="1"/>
    <s v="CUST-1054"/>
    <s v="Rohan Das"/>
    <x v="2"/>
    <s v="India"/>
    <x v="0"/>
    <s v="Delhi"/>
    <n v="271135"/>
    <x v="0"/>
    <s v="PROD-2054"/>
    <x v="0"/>
    <x v="0"/>
    <s v="Office Chair"/>
    <n v="52048.03"/>
    <x v="0"/>
    <n v="52048.03"/>
    <e v="#N/A"/>
    <n v="1"/>
    <n v="0"/>
    <n v="4163.84"/>
    <x v="1"/>
    <x v="0"/>
    <x v="3"/>
  </r>
  <r>
    <n v="55"/>
    <s v="VID100055"/>
    <s v="14-09-2024"/>
    <s v="17-09-2024"/>
    <x v="3"/>
    <s v="CUST-1055"/>
    <s v="Priya Patel"/>
    <x v="0"/>
    <s v="India"/>
    <x v="4"/>
    <s v="Maharashtra"/>
    <n v="931983"/>
    <x v="3"/>
    <s v="PROD-2055"/>
    <x v="1"/>
    <x v="1"/>
    <s v="Dell Inspiron"/>
    <n v="72337.289999999994"/>
    <x v="0"/>
    <n v="72337.289999999994"/>
    <e v="#N/A"/>
    <n v="10"/>
    <n v="0"/>
    <n v="5786.98"/>
    <x v="1"/>
    <x v="10"/>
    <x v="6"/>
  </r>
  <r>
    <n v="56"/>
    <s v="VID100056"/>
    <s v="01-08-2022"/>
    <s v="02-08-2022"/>
    <x v="1"/>
    <s v="CUST-1056"/>
    <s v="Ananya Mishra"/>
    <x v="2"/>
    <s v="India"/>
    <x v="0"/>
    <s v="Delhi"/>
    <n v="540057"/>
    <x v="0"/>
    <s v="PROD-2056"/>
    <x v="0"/>
    <x v="0"/>
    <s v="Office Chair"/>
    <n v="67868.2"/>
    <x v="0"/>
    <n v="67868.2"/>
    <e v="#N/A"/>
    <n v="5"/>
    <n v="0.2"/>
    <n v="2036.05"/>
    <x v="2"/>
    <x v="2"/>
    <x v="11"/>
  </r>
  <r>
    <n v="57"/>
    <s v="VID100057"/>
    <s v="01-01-2021"/>
    <s v="04-01-2021"/>
    <x v="3"/>
    <s v="CUST-1057"/>
    <s v="Ananya Mishra"/>
    <x v="1"/>
    <s v="India"/>
    <x v="1"/>
    <s v="Karnataka"/>
    <n v="428809"/>
    <x v="1"/>
    <s v="PROD-2057"/>
    <x v="1"/>
    <x v="2"/>
    <s v="Samsung Galaxy"/>
    <n v="28939.46"/>
    <x v="0"/>
    <n v="28939.46"/>
    <e v="#N/A"/>
    <n v="1"/>
    <n v="0.1"/>
    <n v="1591.67"/>
    <x v="0"/>
    <x v="8"/>
    <x v="11"/>
  </r>
  <r>
    <n v="58"/>
    <s v="VID100058"/>
    <s v="09-11-2023"/>
    <s v="16-11-2023"/>
    <x v="2"/>
    <s v="CUST-1058"/>
    <s v="Rahul Joshi"/>
    <x v="0"/>
    <s v="India"/>
    <x v="1"/>
    <s v="Karnataka"/>
    <n v="860612"/>
    <x v="1"/>
    <s v="PROD-2058"/>
    <x v="1"/>
    <x v="2"/>
    <s v="Samsung Galaxy"/>
    <n v="9367"/>
    <x v="0"/>
    <n v="9367"/>
    <e v="#N/A"/>
    <n v="2"/>
    <n v="0"/>
    <n v="749.36"/>
    <x v="3"/>
    <x v="9"/>
    <x v="18"/>
  </r>
  <r>
    <n v="59"/>
    <s v="VID100059"/>
    <s v="06-08-2021"/>
    <s v="08-08-2021"/>
    <x v="3"/>
    <s v="CUST-1059"/>
    <s v="Diya Nair"/>
    <x v="1"/>
    <s v="India"/>
    <x v="4"/>
    <s v="Maharashtra"/>
    <n v="370507"/>
    <x v="3"/>
    <s v="PROD-2059"/>
    <x v="2"/>
    <x v="3"/>
    <s v="A4 Paper"/>
    <n v="1138.1199999999999"/>
    <x v="0"/>
    <n v="1138.1199999999999"/>
    <e v="#N/A"/>
    <n v="5"/>
    <n v="0.1"/>
    <n v="62.6"/>
    <x v="0"/>
    <x v="2"/>
    <x v="15"/>
  </r>
  <r>
    <n v="60"/>
    <s v="VID100060"/>
    <s v="14-05-2021"/>
    <s v="20-05-2021"/>
    <x v="0"/>
    <s v="CUST-1060"/>
    <s v="Priya Patel"/>
    <x v="2"/>
    <s v="India"/>
    <x v="1"/>
    <s v="Karnataka"/>
    <n v="467563"/>
    <x v="1"/>
    <s v="PROD-2060"/>
    <x v="1"/>
    <x v="1"/>
    <s v="Dell Inspiron"/>
    <n v="15331.39"/>
    <x v="0"/>
    <n v="15331.39"/>
    <e v="#N/A"/>
    <n v="6"/>
    <n v="0"/>
    <n v="1226.51"/>
    <x v="0"/>
    <x v="0"/>
    <x v="6"/>
  </r>
  <r>
    <n v="61"/>
    <s v="VID100061"/>
    <s v="11-03-2025"/>
    <s v="18-03-2025"/>
    <x v="2"/>
    <s v="CUST-1061"/>
    <s v="Aarav Sharma"/>
    <x v="1"/>
    <s v="India"/>
    <x v="1"/>
    <s v="Karnataka"/>
    <n v="549946"/>
    <x v="1"/>
    <s v="PROD-2061"/>
    <x v="2"/>
    <x v="3"/>
    <s v="A4 Paper"/>
    <n v="45819.59"/>
    <x v="0"/>
    <n v="45819.59"/>
    <e v="#N/A"/>
    <n v="3"/>
    <n v="0.3"/>
    <n v="229.1"/>
    <x v="4"/>
    <x v="5"/>
    <x v="23"/>
  </r>
  <r>
    <n v="62"/>
    <s v="VID100062"/>
    <s v="29-11-2023"/>
    <s v="05-12-2023"/>
    <x v="0"/>
    <s v="CUST-1062"/>
    <s v="Rohan Das"/>
    <x v="2"/>
    <s v="India"/>
    <x v="3"/>
    <s v="Gujarat"/>
    <n v="122887"/>
    <x v="3"/>
    <s v="PROD-2062"/>
    <x v="1"/>
    <x v="2"/>
    <s v="Samsung Galaxy"/>
    <n v="65812.09"/>
    <x v="0"/>
    <n v="65812.09"/>
    <e v="#N/A"/>
    <n v="10"/>
    <n v="0.2"/>
    <n v="1974.36"/>
    <x v="3"/>
    <x v="9"/>
    <x v="19"/>
  </r>
  <r>
    <n v="63"/>
    <s v="VID100063"/>
    <s v="09-01-2024"/>
    <s v="10-01-2024"/>
    <x v="1"/>
    <s v="CUST-1063"/>
    <s v="Pooja Hegde"/>
    <x v="1"/>
    <s v="India"/>
    <x v="2"/>
    <s v="West Bengal"/>
    <n v="570047"/>
    <x v="2"/>
    <s v="PROD-2063"/>
    <x v="1"/>
    <x v="2"/>
    <s v="Samsung Galaxy"/>
    <n v="40594.230000000003"/>
    <x v="0"/>
    <n v="40594.230000000003"/>
    <e v="#N/A"/>
    <n v="3"/>
    <n v="0.3"/>
    <n v="202.97"/>
    <x v="1"/>
    <x v="8"/>
    <x v="18"/>
  </r>
  <r>
    <n v="64"/>
    <s v="VID100064"/>
    <s v="30-05-2021"/>
    <s v="05-06-2021"/>
    <x v="2"/>
    <s v="CUST-1064"/>
    <s v="Rahul Joshi"/>
    <x v="1"/>
    <s v="India"/>
    <x v="2"/>
    <s v="West Bengal"/>
    <n v="427912"/>
    <x v="2"/>
    <s v="PROD-2064"/>
    <x v="1"/>
    <x v="2"/>
    <s v="Samsung Galaxy"/>
    <n v="58020.79"/>
    <x v="0"/>
    <n v="58020.79"/>
    <e v="#N/A"/>
    <n v="3"/>
    <n v="0.3"/>
    <n v="290.10000000000002"/>
    <x v="0"/>
    <x v="0"/>
    <x v="16"/>
  </r>
  <r>
    <n v="65"/>
    <s v="VID100065"/>
    <s v="28-10-2023"/>
    <s v="01-11-2023"/>
    <x v="2"/>
    <s v="CUST-1065"/>
    <s v="Rohan Das"/>
    <x v="2"/>
    <s v="India"/>
    <x v="1"/>
    <s v="Karnataka"/>
    <n v="337693"/>
    <x v="1"/>
    <s v="PROD-2065"/>
    <x v="1"/>
    <x v="1"/>
    <s v="Dell Inspiron"/>
    <n v="23105.45"/>
    <x v="0"/>
    <n v="23105.45"/>
    <e v="#N/A"/>
    <n v="10"/>
    <n v="0.3"/>
    <n v="115.53"/>
    <x v="3"/>
    <x v="7"/>
    <x v="13"/>
  </r>
  <r>
    <n v="66"/>
    <s v="VID100066"/>
    <s v="05-07-2022"/>
    <s v="06-07-2022"/>
    <x v="1"/>
    <s v="CUST-1066"/>
    <s v="Priya Patel"/>
    <x v="0"/>
    <s v="India"/>
    <x v="4"/>
    <s v="Maharashtra"/>
    <n v="285180"/>
    <x v="3"/>
    <s v="PROD-2066"/>
    <x v="1"/>
    <x v="1"/>
    <s v="Dell Inspiron"/>
    <n v="39523.81"/>
    <x v="0"/>
    <n v="39523.81"/>
    <e v="#N/A"/>
    <n v="2"/>
    <n v="0.3"/>
    <n v="197.62"/>
    <x v="2"/>
    <x v="6"/>
    <x v="25"/>
  </r>
  <r>
    <n v="67"/>
    <s v="VID100067"/>
    <s v="16-12-2021"/>
    <s v="21-12-2021"/>
    <x v="1"/>
    <s v="CUST-1067"/>
    <s v="Aarav Sharma"/>
    <x v="1"/>
    <s v="India"/>
    <x v="4"/>
    <s v="Maharashtra"/>
    <n v="887804"/>
    <x v="3"/>
    <s v="PROD-2067"/>
    <x v="1"/>
    <x v="2"/>
    <s v="Samsung Galaxy"/>
    <n v="74319"/>
    <x v="0"/>
    <n v="74319"/>
    <e v="#N/A"/>
    <n v="1"/>
    <n v="0"/>
    <n v="5945.52"/>
    <x v="0"/>
    <x v="1"/>
    <x v="20"/>
  </r>
  <r>
    <n v="68"/>
    <s v="VID100068"/>
    <s v="06-11-2024"/>
    <s v="13-11-2024"/>
    <x v="1"/>
    <s v="CUST-1068"/>
    <s v="Aarav Sharma"/>
    <x v="2"/>
    <s v="India"/>
    <x v="3"/>
    <s v="Gujarat"/>
    <n v="422311"/>
    <x v="3"/>
    <s v="PROD-2068"/>
    <x v="1"/>
    <x v="2"/>
    <s v="Samsung Galaxy"/>
    <n v="29196.62"/>
    <x v="0"/>
    <n v="29196.62"/>
    <e v="#N/A"/>
    <n v="10"/>
    <n v="0"/>
    <n v="2335.73"/>
    <x v="1"/>
    <x v="9"/>
    <x v="15"/>
  </r>
  <r>
    <n v="69"/>
    <s v="VID100069"/>
    <s v="06-12-2021"/>
    <s v="07-12-2021"/>
    <x v="3"/>
    <s v="CUST-1069"/>
    <s v="Amit Verma"/>
    <x v="2"/>
    <s v="India"/>
    <x v="3"/>
    <s v="Gujarat"/>
    <n v="712284"/>
    <x v="3"/>
    <s v="PROD-2069"/>
    <x v="2"/>
    <x v="3"/>
    <s v="A4 Paper"/>
    <n v="44881.41"/>
    <x v="0"/>
    <n v="44881.41"/>
    <e v="#N/A"/>
    <n v="6"/>
    <n v="0.3"/>
    <n v="224.41"/>
    <x v="0"/>
    <x v="1"/>
    <x v="15"/>
  </r>
  <r>
    <n v="70"/>
    <s v="VID100070"/>
    <s v="28-12-2023"/>
    <s v="03-01-2024"/>
    <x v="0"/>
    <s v="CUST-1070"/>
    <s v="Rahul Joshi"/>
    <x v="1"/>
    <s v="India"/>
    <x v="2"/>
    <s v="West Bengal"/>
    <n v="286270"/>
    <x v="2"/>
    <s v="PROD-2070"/>
    <x v="0"/>
    <x v="0"/>
    <s v="Office Chair"/>
    <n v="38279.300000000003"/>
    <x v="0"/>
    <n v="38279.300000000003"/>
    <e v="#N/A"/>
    <n v="3"/>
    <n v="0.1"/>
    <n v="2105.36"/>
    <x v="3"/>
    <x v="1"/>
    <x v="13"/>
  </r>
  <r>
    <n v="71"/>
    <s v="VID100071"/>
    <s v="10-01-2025"/>
    <s v="13-01-2025"/>
    <x v="2"/>
    <s v="CUST-1071"/>
    <s v="Rahul Joshi"/>
    <x v="1"/>
    <s v="India"/>
    <x v="3"/>
    <s v="Gujarat"/>
    <n v="667883"/>
    <x v="3"/>
    <s v="PROD-2071"/>
    <x v="1"/>
    <x v="1"/>
    <s v="Dell Inspiron"/>
    <n v="72565.94"/>
    <x v="0"/>
    <n v="72565.94"/>
    <e v="#N/A"/>
    <n v="10"/>
    <n v="0.1"/>
    <n v="3991.13"/>
    <x v="4"/>
    <x v="8"/>
    <x v="5"/>
  </r>
  <r>
    <n v="72"/>
    <s v="VID100072"/>
    <s v="14-11-2022"/>
    <s v="20-11-2022"/>
    <x v="2"/>
    <s v="CUST-1072"/>
    <s v="Rahul Joshi"/>
    <x v="0"/>
    <s v="India"/>
    <x v="2"/>
    <s v="West Bengal"/>
    <n v="962958"/>
    <x v="2"/>
    <s v="PROD-2072"/>
    <x v="0"/>
    <x v="0"/>
    <s v="Office Chair"/>
    <n v="60058.63"/>
    <x v="0"/>
    <n v="60058.63"/>
    <e v="#N/A"/>
    <n v="8"/>
    <n v="0.2"/>
    <n v="1801.76"/>
    <x v="2"/>
    <x v="9"/>
    <x v="6"/>
  </r>
  <r>
    <n v="73"/>
    <s v="VID100073"/>
    <s v="05-05-2021"/>
    <s v="07-05-2021"/>
    <x v="1"/>
    <s v="CUST-1073"/>
    <s v="Sneha Reddy"/>
    <x v="0"/>
    <s v="India"/>
    <x v="1"/>
    <s v="Karnataka"/>
    <n v="794359"/>
    <x v="1"/>
    <s v="PROD-2073"/>
    <x v="1"/>
    <x v="1"/>
    <s v="Dell Inspiron"/>
    <n v="56768.78"/>
    <x v="0"/>
    <n v="56768.78"/>
    <e v="#N/A"/>
    <n v="2"/>
    <n v="0.2"/>
    <n v="1703.06"/>
    <x v="0"/>
    <x v="0"/>
    <x v="25"/>
  </r>
  <r>
    <n v="74"/>
    <s v="VID100074"/>
    <s v="07-07-2023"/>
    <s v="11-07-2023"/>
    <x v="1"/>
    <s v="CUST-1074"/>
    <s v="Rohan Das"/>
    <x v="2"/>
    <s v="India"/>
    <x v="3"/>
    <s v="Gujarat"/>
    <n v="874858"/>
    <x v="3"/>
    <s v="PROD-2074"/>
    <x v="1"/>
    <x v="1"/>
    <s v="Dell Inspiron"/>
    <n v="54660.29"/>
    <x v="0"/>
    <n v="54660.29"/>
    <e v="#N/A"/>
    <n v="1"/>
    <n v="0.2"/>
    <n v="1639.81"/>
    <x v="3"/>
    <x v="6"/>
    <x v="8"/>
  </r>
  <r>
    <n v="75"/>
    <s v="VID100075"/>
    <s v="21-08-2024"/>
    <s v="22-08-2024"/>
    <x v="3"/>
    <s v="CUST-1075"/>
    <s v="Amit Verma"/>
    <x v="2"/>
    <s v="India"/>
    <x v="0"/>
    <s v="Delhi"/>
    <n v="362481"/>
    <x v="0"/>
    <s v="PROD-2075"/>
    <x v="1"/>
    <x v="1"/>
    <s v="Dell Inspiron"/>
    <n v="15247.35"/>
    <x v="0"/>
    <n v="15247.35"/>
    <e v="#N/A"/>
    <n v="10"/>
    <n v="0.3"/>
    <n v="76.239999999999995"/>
    <x v="1"/>
    <x v="2"/>
    <x v="26"/>
  </r>
  <r>
    <n v="76"/>
    <s v="VID100076"/>
    <s v="11-04-2023"/>
    <s v="17-04-2023"/>
    <x v="3"/>
    <s v="CUST-1076"/>
    <s v="Rahul Joshi"/>
    <x v="0"/>
    <s v="India"/>
    <x v="4"/>
    <s v="Maharashtra"/>
    <n v="148749"/>
    <x v="3"/>
    <s v="PROD-2076"/>
    <x v="0"/>
    <x v="0"/>
    <s v="Office Chair"/>
    <n v="28316.13"/>
    <x v="0"/>
    <n v="28316.13"/>
    <e v="#N/A"/>
    <n v="1"/>
    <n v="0"/>
    <n v="2265.29"/>
    <x v="3"/>
    <x v="4"/>
    <x v="23"/>
  </r>
  <r>
    <n v="77"/>
    <s v="VID100077"/>
    <s v="26-02-2022"/>
    <s v="02-03-2022"/>
    <x v="0"/>
    <s v="CUST-1077"/>
    <s v="Sneha Reddy"/>
    <x v="1"/>
    <s v="India"/>
    <x v="3"/>
    <s v="Gujarat"/>
    <n v="128104"/>
    <x v="3"/>
    <s v="PROD-2077"/>
    <x v="1"/>
    <x v="2"/>
    <s v="Samsung Galaxy"/>
    <n v="62284.99"/>
    <x v="0"/>
    <n v="62284.99"/>
    <e v="#N/A"/>
    <n v="9"/>
    <n v="0.3"/>
    <n v="311.42"/>
    <x v="2"/>
    <x v="11"/>
    <x v="21"/>
  </r>
  <r>
    <n v="78"/>
    <s v="VID100078"/>
    <s v="04-07-2024"/>
    <s v="11-07-2024"/>
    <x v="2"/>
    <s v="CUST-1078"/>
    <s v="Pooja Hegde"/>
    <x v="0"/>
    <s v="India"/>
    <x v="2"/>
    <s v="West Bengal"/>
    <n v="104396"/>
    <x v="2"/>
    <s v="PROD-2078"/>
    <x v="1"/>
    <x v="1"/>
    <s v="Dell Inspiron"/>
    <n v="2070.69"/>
    <x v="0"/>
    <n v="2070.69"/>
    <e v="#N/A"/>
    <n v="9"/>
    <n v="0.2"/>
    <n v="62.12"/>
    <x v="1"/>
    <x v="6"/>
    <x v="22"/>
  </r>
  <r>
    <n v="79"/>
    <s v="VID100079"/>
    <s v="10-05-2021"/>
    <s v="14-05-2021"/>
    <x v="1"/>
    <s v="CUST-1079"/>
    <s v="Aarav Sharma"/>
    <x v="0"/>
    <s v="India"/>
    <x v="0"/>
    <s v="Delhi"/>
    <n v="219978"/>
    <x v="0"/>
    <s v="PROD-2079"/>
    <x v="0"/>
    <x v="0"/>
    <s v="Office Chair"/>
    <n v="4779.84"/>
    <x v="0"/>
    <n v="4779.84"/>
    <e v="#N/A"/>
    <n v="10"/>
    <n v="0.3"/>
    <n v="23.9"/>
    <x v="0"/>
    <x v="0"/>
    <x v="5"/>
  </r>
  <r>
    <n v="80"/>
    <s v="VID100080"/>
    <s v="02-11-2023"/>
    <s v="06-11-2023"/>
    <x v="3"/>
    <s v="CUST-1080"/>
    <s v="Vikram Singh"/>
    <x v="1"/>
    <s v="India"/>
    <x v="1"/>
    <s v="Karnataka"/>
    <n v="494705"/>
    <x v="1"/>
    <s v="PROD-2080"/>
    <x v="1"/>
    <x v="2"/>
    <s v="Samsung Galaxy"/>
    <n v="92197.56"/>
    <x v="0"/>
    <n v="92197.56"/>
    <e v="#N/A"/>
    <n v="8"/>
    <n v="0.1"/>
    <n v="5070.87"/>
    <x v="3"/>
    <x v="9"/>
    <x v="10"/>
  </r>
  <r>
    <n v="81"/>
    <s v="VID100081"/>
    <s v="19-11-2024"/>
    <s v="20-11-2024"/>
    <x v="1"/>
    <s v="CUST-1081"/>
    <s v="Pooja Hegde"/>
    <x v="0"/>
    <s v="India"/>
    <x v="2"/>
    <s v="West Bengal"/>
    <n v="695545"/>
    <x v="2"/>
    <s v="PROD-2081"/>
    <x v="2"/>
    <x v="3"/>
    <s v="A4 Paper"/>
    <n v="69808.22"/>
    <x v="0"/>
    <n v="69808.22"/>
    <e v="#N/A"/>
    <n v="1"/>
    <n v="0.3"/>
    <n v="349.04"/>
    <x v="1"/>
    <x v="9"/>
    <x v="27"/>
  </r>
  <r>
    <n v="82"/>
    <s v="VID100082"/>
    <s v="01-05-2021"/>
    <s v="07-05-2021"/>
    <x v="1"/>
    <s v="CUST-1082"/>
    <s v="Rohan Das"/>
    <x v="1"/>
    <s v="India"/>
    <x v="4"/>
    <s v="Maharashtra"/>
    <n v="924421"/>
    <x v="3"/>
    <s v="PROD-2082"/>
    <x v="2"/>
    <x v="3"/>
    <s v="A4 Paper"/>
    <n v="84122.35"/>
    <x v="0"/>
    <n v="84122.35"/>
    <e v="#N/A"/>
    <n v="1"/>
    <n v="0"/>
    <n v="6729.79"/>
    <x v="0"/>
    <x v="0"/>
    <x v="11"/>
  </r>
  <r>
    <n v="83"/>
    <s v="VID100083"/>
    <s v="09-08-2025"/>
    <s v="14-08-2025"/>
    <x v="2"/>
    <s v="CUST-1083"/>
    <s v="Rohan Das"/>
    <x v="0"/>
    <s v="India"/>
    <x v="2"/>
    <s v="West Bengal"/>
    <n v="608471"/>
    <x v="2"/>
    <s v="PROD-2083"/>
    <x v="0"/>
    <x v="0"/>
    <s v="Office Chair"/>
    <n v="83979.87"/>
    <x v="0"/>
    <n v="83979.87"/>
    <e v="#N/A"/>
    <n v="6"/>
    <n v="0.3"/>
    <n v="419.9"/>
    <x v="4"/>
    <x v="2"/>
    <x v="18"/>
  </r>
  <r>
    <n v="84"/>
    <s v="VID100084"/>
    <s v="24-04-2025"/>
    <s v="30-04-2025"/>
    <x v="1"/>
    <s v="CUST-1084"/>
    <s v="Vikram Singh"/>
    <x v="1"/>
    <s v="India"/>
    <x v="3"/>
    <s v="Gujarat"/>
    <n v="190537"/>
    <x v="3"/>
    <s v="PROD-2084"/>
    <x v="1"/>
    <x v="2"/>
    <s v="Samsung Galaxy"/>
    <n v="28405"/>
    <x v="0"/>
    <n v="28405"/>
    <e v="#N/A"/>
    <n v="6"/>
    <n v="0"/>
    <n v="2272.4"/>
    <x v="4"/>
    <x v="4"/>
    <x v="14"/>
  </r>
  <r>
    <n v="85"/>
    <s v="VID100085"/>
    <s v="15-10-2024"/>
    <s v="16-10-2024"/>
    <x v="1"/>
    <s v="CUST-1085"/>
    <s v="Aarav Sharma"/>
    <x v="2"/>
    <s v="India"/>
    <x v="3"/>
    <s v="Gujarat"/>
    <n v="759744"/>
    <x v="3"/>
    <s v="PROD-2085"/>
    <x v="0"/>
    <x v="0"/>
    <s v="Office Chair"/>
    <n v="81396.100000000006"/>
    <x v="0"/>
    <n v="81396.100000000006"/>
    <e v="#N/A"/>
    <n v="3"/>
    <n v="0"/>
    <n v="6511.69"/>
    <x v="1"/>
    <x v="7"/>
    <x v="28"/>
  </r>
  <r>
    <n v="86"/>
    <s v="VID100086"/>
    <s v="29-12-2024"/>
    <s v="03-01-2025"/>
    <x v="2"/>
    <s v="CUST-1086"/>
    <s v="Rohan Das"/>
    <x v="2"/>
    <s v="India"/>
    <x v="1"/>
    <s v="Karnataka"/>
    <n v="973602"/>
    <x v="1"/>
    <s v="PROD-2086"/>
    <x v="1"/>
    <x v="1"/>
    <s v="Dell Inspiron"/>
    <n v="15692.73"/>
    <x v="0"/>
    <n v="15692.73"/>
    <e v="#N/A"/>
    <n v="7"/>
    <n v="0.1"/>
    <n v="863.1"/>
    <x v="1"/>
    <x v="1"/>
    <x v="19"/>
  </r>
  <r>
    <n v="87"/>
    <s v="VID100087"/>
    <s v="03-03-2022"/>
    <s v="06-03-2022"/>
    <x v="1"/>
    <s v="CUST-1087"/>
    <s v="Aarav Sharma"/>
    <x v="0"/>
    <s v="India"/>
    <x v="4"/>
    <s v="Maharashtra"/>
    <n v="369739"/>
    <x v="3"/>
    <s v="PROD-2087"/>
    <x v="1"/>
    <x v="1"/>
    <s v="Dell Inspiron"/>
    <n v="58035.01"/>
    <x v="0"/>
    <n v="58035.01"/>
    <e v="#N/A"/>
    <n v="6"/>
    <n v="0.3"/>
    <n v="290.18"/>
    <x v="2"/>
    <x v="5"/>
    <x v="9"/>
  </r>
  <r>
    <n v="88"/>
    <s v="VID100088"/>
    <s v="08-09-2025"/>
    <s v="09-09-2025"/>
    <x v="1"/>
    <s v="CUST-1088"/>
    <s v="Ananya Mishra"/>
    <x v="0"/>
    <s v="India"/>
    <x v="2"/>
    <s v="West Bengal"/>
    <n v="486265"/>
    <x v="2"/>
    <s v="PROD-2088"/>
    <x v="1"/>
    <x v="1"/>
    <s v="Dell Inspiron"/>
    <n v="61225.26"/>
    <x v="0"/>
    <n v="61225.26"/>
    <e v="#N/A"/>
    <n v="2"/>
    <n v="0.3"/>
    <n v="306.13"/>
    <x v="4"/>
    <x v="10"/>
    <x v="3"/>
  </r>
  <r>
    <n v="89"/>
    <s v="VID100089"/>
    <s v="01-07-2021"/>
    <s v="05-07-2021"/>
    <x v="0"/>
    <s v="CUST-1089"/>
    <s v="Vikram Singh"/>
    <x v="0"/>
    <s v="India"/>
    <x v="3"/>
    <s v="Gujarat"/>
    <n v="231921"/>
    <x v="3"/>
    <s v="PROD-2089"/>
    <x v="0"/>
    <x v="0"/>
    <s v="Office Chair"/>
    <n v="13554.8"/>
    <x v="0"/>
    <n v="13554.8"/>
    <e v="#N/A"/>
    <n v="2"/>
    <n v="0"/>
    <n v="1084.3800000000001"/>
    <x v="0"/>
    <x v="6"/>
    <x v="11"/>
  </r>
  <r>
    <n v="90"/>
    <s v="VID100090"/>
    <s v="25-03-2021"/>
    <s v="31-03-2021"/>
    <x v="3"/>
    <s v="CUST-1090"/>
    <s v="Priya Patel"/>
    <x v="0"/>
    <s v="India"/>
    <x v="4"/>
    <s v="Maharashtra"/>
    <n v="611047"/>
    <x v="3"/>
    <s v="PROD-2090"/>
    <x v="2"/>
    <x v="3"/>
    <s v="A4 Paper"/>
    <n v="27508.83"/>
    <x v="0"/>
    <n v="27508.83"/>
    <e v="#N/A"/>
    <n v="7"/>
    <n v="0"/>
    <n v="2200.71"/>
    <x v="0"/>
    <x v="5"/>
    <x v="17"/>
  </r>
  <r>
    <n v="91"/>
    <s v="VID100091"/>
    <s v="30-07-2023"/>
    <s v="31-07-2023"/>
    <x v="1"/>
    <s v="CUST-1091"/>
    <s v="Amit Verma"/>
    <x v="1"/>
    <s v="India"/>
    <x v="2"/>
    <s v="West Bengal"/>
    <n v="621988"/>
    <x v="2"/>
    <s v="PROD-2091"/>
    <x v="0"/>
    <x v="0"/>
    <s v="Office Chair"/>
    <n v="72099.070000000007"/>
    <x v="0"/>
    <n v="72099.070000000007"/>
    <e v="#N/A"/>
    <n v="3"/>
    <n v="0"/>
    <n v="5767.93"/>
    <x v="3"/>
    <x v="6"/>
    <x v="16"/>
  </r>
  <r>
    <n v="92"/>
    <s v="VID100092"/>
    <s v="03-04-2024"/>
    <s v="05-04-2024"/>
    <x v="1"/>
    <s v="CUST-1092"/>
    <s v="Priya Patel"/>
    <x v="0"/>
    <s v="India"/>
    <x v="4"/>
    <s v="Maharashtra"/>
    <n v="781510"/>
    <x v="3"/>
    <s v="PROD-2092"/>
    <x v="1"/>
    <x v="1"/>
    <s v="Dell Inspiron"/>
    <n v="33701.129999999997"/>
    <x v="0"/>
    <n v="33701.129999999997"/>
    <e v="#N/A"/>
    <n v="6"/>
    <n v="0.1"/>
    <n v="1853.56"/>
    <x v="1"/>
    <x v="4"/>
    <x v="9"/>
  </r>
  <r>
    <n v="93"/>
    <s v="VID100093"/>
    <s v="20-10-2025"/>
    <s v="25-10-2025"/>
    <x v="3"/>
    <s v="CUST-1093"/>
    <s v="Diya Nair"/>
    <x v="2"/>
    <s v="India"/>
    <x v="2"/>
    <s v="West Bengal"/>
    <n v="981719"/>
    <x v="2"/>
    <s v="PROD-2093"/>
    <x v="0"/>
    <x v="0"/>
    <s v="Office Chair"/>
    <n v="37501.050000000003"/>
    <x v="0"/>
    <n v="37501.050000000003"/>
    <e v="#N/A"/>
    <n v="4"/>
    <n v="0.2"/>
    <n v="1125.03"/>
    <x v="4"/>
    <x v="7"/>
    <x v="0"/>
  </r>
  <r>
    <n v="94"/>
    <s v="VID100094"/>
    <s v="02-04-2021"/>
    <s v="08-04-2021"/>
    <x v="0"/>
    <s v="CUST-1094"/>
    <s v="Amit Verma"/>
    <x v="0"/>
    <s v="India"/>
    <x v="3"/>
    <s v="Gujarat"/>
    <n v="458960"/>
    <x v="3"/>
    <s v="PROD-2094"/>
    <x v="0"/>
    <x v="0"/>
    <s v="Office Chair"/>
    <n v="31456.59"/>
    <x v="0"/>
    <n v="31456.59"/>
    <e v="#N/A"/>
    <n v="5"/>
    <n v="0.2"/>
    <n v="943.7"/>
    <x v="0"/>
    <x v="4"/>
    <x v="10"/>
  </r>
  <r>
    <n v="95"/>
    <s v="VID100095"/>
    <s v="01-09-2022"/>
    <s v="02-09-2022"/>
    <x v="3"/>
    <s v="CUST-1095"/>
    <s v="Aarav Sharma"/>
    <x v="1"/>
    <s v="India"/>
    <x v="1"/>
    <s v="Karnataka"/>
    <n v="290942"/>
    <x v="1"/>
    <s v="PROD-2095"/>
    <x v="0"/>
    <x v="0"/>
    <s v="Office Chair"/>
    <n v="52142.43"/>
    <x v="0"/>
    <n v="52142.43"/>
    <e v="#N/A"/>
    <n v="1"/>
    <n v="0.1"/>
    <n v="2867.83"/>
    <x v="2"/>
    <x v="10"/>
    <x v="11"/>
  </r>
  <r>
    <n v="96"/>
    <s v="VID100096"/>
    <s v="21-08-2024"/>
    <s v="26-08-2024"/>
    <x v="2"/>
    <s v="CUST-1096"/>
    <s v="Rahul Joshi"/>
    <x v="0"/>
    <s v="India"/>
    <x v="2"/>
    <s v="West Bengal"/>
    <n v="410782"/>
    <x v="2"/>
    <s v="PROD-2096"/>
    <x v="1"/>
    <x v="1"/>
    <s v="Dell Inspiron"/>
    <n v="5865.45"/>
    <x v="0"/>
    <n v="5865.45"/>
    <e v="#N/A"/>
    <n v="2"/>
    <n v="0.2"/>
    <n v="175.96"/>
    <x v="1"/>
    <x v="2"/>
    <x v="26"/>
  </r>
  <r>
    <n v="97"/>
    <s v="VID100097"/>
    <s v="03-03-2024"/>
    <s v="06-03-2024"/>
    <x v="0"/>
    <s v="CUST-1097"/>
    <s v="Ananya Mishra"/>
    <x v="2"/>
    <s v="India"/>
    <x v="1"/>
    <s v="Karnataka"/>
    <n v="937764"/>
    <x v="1"/>
    <s v="PROD-2097"/>
    <x v="1"/>
    <x v="2"/>
    <s v="Samsung Galaxy"/>
    <n v="7511.12"/>
    <x v="0"/>
    <n v="7511.12"/>
    <e v="#N/A"/>
    <n v="3"/>
    <n v="0.1"/>
    <n v="413.11"/>
    <x v="1"/>
    <x v="5"/>
    <x v="9"/>
  </r>
  <r>
    <n v="98"/>
    <s v="VID100098"/>
    <s v="31-12-2022"/>
    <s v="01-01-2023"/>
    <x v="0"/>
    <s v="CUST-1098"/>
    <s v="Ananya Mishra"/>
    <x v="2"/>
    <s v="India"/>
    <x v="4"/>
    <s v="Maharashtra"/>
    <n v="526203"/>
    <x v="3"/>
    <s v="PROD-2098"/>
    <x v="0"/>
    <x v="0"/>
    <s v="Office Chair"/>
    <n v="7880.1"/>
    <x v="0"/>
    <n v="7880.1"/>
    <e v="#N/A"/>
    <n v="2"/>
    <n v="0.1"/>
    <n v="433.41"/>
    <x v="2"/>
    <x v="1"/>
    <x v="4"/>
  </r>
  <r>
    <n v="99"/>
    <s v="VID100099"/>
    <s v="02-04-2022"/>
    <s v="06-04-2022"/>
    <x v="1"/>
    <s v="CUST-1099"/>
    <s v="Diya Nair"/>
    <x v="2"/>
    <s v="India"/>
    <x v="4"/>
    <s v="Maharashtra"/>
    <n v="648230"/>
    <x v="3"/>
    <s v="PROD-2099"/>
    <x v="2"/>
    <x v="3"/>
    <s v="A4 Paper"/>
    <n v="11605.69"/>
    <x v="0"/>
    <n v="11605.69"/>
    <e v="#N/A"/>
    <n v="8"/>
    <n v="0.3"/>
    <n v="58.03"/>
    <x v="2"/>
    <x v="4"/>
    <x v="10"/>
  </r>
  <r>
    <n v="100"/>
    <s v="VID100100"/>
    <s v="10-10-2021"/>
    <s v="14-10-2021"/>
    <x v="0"/>
    <s v="CUST-1100"/>
    <s v="Priya Patel"/>
    <x v="1"/>
    <s v="India"/>
    <x v="2"/>
    <s v="West Bengal"/>
    <n v="675306"/>
    <x v="2"/>
    <s v="PROD-2100"/>
    <x v="1"/>
    <x v="2"/>
    <s v="Samsung Galaxy"/>
    <n v="73857.039999999994"/>
    <x v="0"/>
    <n v="73857.039999999994"/>
    <e v="#N/A"/>
    <n v="9"/>
    <n v="0"/>
    <n v="5908.56"/>
    <x v="0"/>
    <x v="7"/>
    <x v="5"/>
  </r>
  <r>
    <n v="101"/>
    <s v="VID100101"/>
    <s v="15-12-2022"/>
    <s v="21-12-2022"/>
    <x v="1"/>
    <s v="CUST-1101"/>
    <s v="Priya Patel"/>
    <x v="2"/>
    <s v="India"/>
    <x v="4"/>
    <s v="Maharashtra"/>
    <n v="345686"/>
    <x v="3"/>
    <s v="PROD-2101"/>
    <x v="1"/>
    <x v="1"/>
    <s v="Dell Inspiron"/>
    <n v="30654.06"/>
    <x v="0"/>
    <n v="30654.06"/>
    <e v="#N/A"/>
    <n v="7"/>
    <n v="0.1"/>
    <n v="1685.97"/>
    <x v="2"/>
    <x v="1"/>
    <x v="28"/>
  </r>
  <r>
    <n v="102"/>
    <s v="VID100102"/>
    <s v="01-11-2024"/>
    <s v="03-11-2024"/>
    <x v="0"/>
    <s v="CUST-1102"/>
    <s v="Pooja Hegde"/>
    <x v="0"/>
    <s v="India"/>
    <x v="3"/>
    <s v="Gujarat"/>
    <n v="481272"/>
    <x v="3"/>
    <s v="PROD-2102"/>
    <x v="1"/>
    <x v="2"/>
    <s v="Samsung Galaxy"/>
    <n v="31531.62"/>
    <x v="0"/>
    <n v="31531.62"/>
    <e v="#N/A"/>
    <n v="8"/>
    <n v="0"/>
    <n v="2522.5300000000002"/>
    <x v="1"/>
    <x v="9"/>
    <x v="11"/>
  </r>
  <r>
    <n v="103"/>
    <s v="VID100103"/>
    <s v="28-02-2024"/>
    <s v="29-02-2024"/>
    <x v="0"/>
    <s v="CUST-1103"/>
    <s v="Diya Nair"/>
    <x v="1"/>
    <s v="India"/>
    <x v="2"/>
    <s v="West Bengal"/>
    <n v="987062"/>
    <x v="2"/>
    <s v="PROD-2103"/>
    <x v="2"/>
    <x v="3"/>
    <s v="A4 Paper"/>
    <n v="6262.7"/>
    <x v="0"/>
    <n v="6262.7"/>
    <e v="#N/A"/>
    <n v="9"/>
    <n v="0.3"/>
    <n v="31.31"/>
    <x v="1"/>
    <x v="11"/>
    <x v="13"/>
  </r>
  <r>
    <n v="104"/>
    <s v="VID100104"/>
    <s v="01-10-2022"/>
    <s v="06-10-2022"/>
    <x v="0"/>
    <s v="CUST-1104"/>
    <s v="Aarav Sharma"/>
    <x v="1"/>
    <s v="India"/>
    <x v="1"/>
    <s v="Karnataka"/>
    <n v="965541"/>
    <x v="1"/>
    <s v="PROD-2104"/>
    <x v="0"/>
    <x v="0"/>
    <s v="Office Chair"/>
    <n v="59769.94"/>
    <x v="0"/>
    <n v="59769.94"/>
    <e v="#N/A"/>
    <n v="8"/>
    <n v="0"/>
    <n v="4781.6000000000004"/>
    <x v="2"/>
    <x v="7"/>
    <x v="11"/>
  </r>
  <r>
    <n v="105"/>
    <s v="VID100105"/>
    <s v="03-01-2023"/>
    <s v="04-01-2023"/>
    <x v="2"/>
    <s v="CUST-1105"/>
    <s v="Aarav Sharma"/>
    <x v="2"/>
    <s v="India"/>
    <x v="1"/>
    <s v="Karnataka"/>
    <n v="549996"/>
    <x v="1"/>
    <s v="PROD-2105"/>
    <x v="0"/>
    <x v="0"/>
    <s v="Office Chair"/>
    <n v="1202.6500000000001"/>
    <x v="0"/>
    <n v="1202.6500000000001"/>
    <e v="#N/A"/>
    <n v="6"/>
    <n v="0.2"/>
    <n v="36.08"/>
    <x v="3"/>
    <x v="8"/>
    <x v="9"/>
  </r>
  <r>
    <n v="106"/>
    <s v="VID100106"/>
    <s v="07-07-2023"/>
    <s v="09-07-2023"/>
    <x v="3"/>
    <s v="CUST-1106"/>
    <s v="Aarav Sharma"/>
    <x v="0"/>
    <s v="India"/>
    <x v="4"/>
    <s v="Maharashtra"/>
    <n v="578348"/>
    <x v="3"/>
    <s v="PROD-2106"/>
    <x v="0"/>
    <x v="0"/>
    <s v="Office Chair"/>
    <n v="19111.05"/>
    <x v="0"/>
    <n v="19111.05"/>
    <e v="#N/A"/>
    <n v="2"/>
    <n v="0"/>
    <n v="1528.88"/>
    <x v="3"/>
    <x v="6"/>
    <x v="8"/>
  </r>
  <r>
    <n v="107"/>
    <s v="VID100107"/>
    <s v="19-04-2022"/>
    <s v="25-04-2022"/>
    <x v="0"/>
    <s v="CUST-1107"/>
    <s v="Diya Nair"/>
    <x v="1"/>
    <s v="India"/>
    <x v="1"/>
    <s v="Karnataka"/>
    <n v="944994"/>
    <x v="1"/>
    <s v="PROD-2107"/>
    <x v="1"/>
    <x v="2"/>
    <s v="Samsung Galaxy"/>
    <n v="88936.08"/>
    <x v="0"/>
    <n v="88936.08"/>
    <e v="#N/A"/>
    <n v="8"/>
    <n v="0.3"/>
    <n v="444.68"/>
    <x v="2"/>
    <x v="4"/>
    <x v="27"/>
  </r>
  <r>
    <n v="108"/>
    <s v="VID100108"/>
    <s v="18-06-2023"/>
    <s v="22-06-2023"/>
    <x v="0"/>
    <s v="CUST-1108"/>
    <s v="Vikram Singh"/>
    <x v="0"/>
    <s v="India"/>
    <x v="0"/>
    <s v="Delhi"/>
    <n v="424129"/>
    <x v="0"/>
    <s v="PROD-2108"/>
    <x v="0"/>
    <x v="0"/>
    <s v="Office Chair"/>
    <n v="98253.29"/>
    <x v="0"/>
    <n v="98253.29"/>
    <e v="#N/A"/>
    <n v="6"/>
    <n v="0.3"/>
    <n v="491.27"/>
    <x v="3"/>
    <x v="3"/>
    <x v="12"/>
  </r>
  <r>
    <n v="109"/>
    <s v="VID100109"/>
    <s v="16-08-2025"/>
    <s v="22-08-2025"/>
    <x v="0"/>
    <s v="CUST-1109"/>
    <s v="Vikram Singh"/>
    <x v="1"/>
    <s v="India"/>
    <x v="4"/>
    <s v="Maharashtra"/>
    <n v="410384"/>
    <x v="3"/>
    <s v="PROD-2109"/>
    <x v="1"/>
    <x v="1"/>
    <s v="Dell Inspiron"/>
    <n v="10830.68"/>
    <x v="0"/>
    <n v="10830.68"/>
    <e v="#N/A"/>
    <n v="2"/>
    <n v="0.3"/>
    <n v="54.15"/>
    <x v="4"/>
    <x v="2"/>
    <x v="20"/>
  </r>
  <r>
    <n v="110"/>
    <s v="VID100110"/>
    <s v="28-08-2023"/>
    <s v="04-09-2023"/>
    <x v="0"/>
    <s v="CUST-1110"/>
    <s v="Diya Nair"/>
    <x v="2"/>
    <s v="India"/>
    <x v="3"/>
    <s v="Gujarat"/>
    <n v="847868"/>
    <x v="3"/>
    <s v="PROD-2110"/>
    <x v="1"/>
    <x v="2"/>
    <s v="Samsung Galaxy"/>
    <n v="45764.36"/>
    <x v="0"/>
    <n v="45764.36"/>
    <e v="#N/A"/>
    <n v="10"/>
    <n v="0.1"/>
    <n v="2517.04"/>
    <x v="3"/>
    <x v="2"/>
    <x v="13"/>
  </r>
  <r>
    <n v="111"/>
    <s v="VID100111"/>
    <s v="06-08-2022"/>
    <s v="11-08-2022"/>
    <x v="2"/>
    <s v="CUST-1111"/>
    <s v="Aarav Sharma"/>
    <x v="2"/>
    <s v="India"/>
    <x v="1"/>
    <s v="Karnataka"/>
    <n v="673273"/>
    <x v="1"/>
    <s v="PROD-2111"/>
    <x v="1"/>
    <x v="1"/>
    <s v="Dell Inspiron"/>
    <n v="4455.09"/>
    <x v="0"/>
    <n v="4455.09"/>
    <e v="#N/A"/>
    <n v="6"/>
    <n v="0"/>
    <n v="356.41"/>
    <x v="2"/>
    <x v="2"/>
    <x v="15"/>
  </r>
  <r>
    <n v="112"/>
    <s v="VID100112"/>
    <s v="10-11-2025"/>
    <s v="11-11-2025"/>
    <x v="2"/>
    <s v="CUST-1112"/>
    <s v="Pooja Hegde"/>
    <x v="1"/>
    <s v="India"/>
    <x v="2"/>
    <s v="West Bengal"/>
    <n v="450128"/>
    <x v="2"/>
    <s v="PROD-2112"/>
    <x v="0"/>
    <x v="0"/>
    <s v="Office Chair"/>
    <n v="23047.22"/>
    <x v="0"/>
    <n v="23047.22"/>
    <e v="#N/A"/>
    <n v="2"/>
    <n v="0"/>
    <n v="1843.78"/>
    <x v="4"/>
    <x v="9"/>
    <x v="5"/>
  </r>
  <r>
    <n v="113"/>
    <s v="VID100113"/>
    <s v="02-06-2024"/>
    <s v="05-06-2024"/>
    <x v="2"/>
    <s v="CUST-1113"/>
    <s v="Rahul Joshi"/>
    <x v="0"/>
    <s v="India"/>
    <x v="4"/>
    <s v="Maharashtra"/>
    <n v="735639"/>
    <x v="3"/>
    <s v="PROD-2113"/>
    <x v="1"/>
    <x v="2"/>
    <s v="Samsung Galaxy"/>
    <n v="20199.72"/>
    <x v="0"/>
    <n v="20199.72"/>
    <e v="#N/A"/>
    <n v="7"/>
    <n v="0"/>
    <n v="1615.98"/>
    <x v="1"/>
    <x v="3"/>
    <x v="10"/>
  </r>
  <r>
    <n v="114"/>
    <s v="VID100114"/>
    <s v="09-03-2023"/>
    <s v="12-03-2023"/>
    <x v="1"/>
    <s v="CUST-1114"/>
    <s v="Vikram Singh"/>
    <x v="0"/>
    <s v="India"/>
    <x v="2"/>
    <s v="West Bengal"/>
    <n v="791499"/>
    <x v="2"/>
    <s v="PROD-2114"/>
    <x v="1"/>
    <x v="1"/>
    <s v="Dell Inspiron"/>
    <n v="55392.19"/>
    <x v="0"/>
    <n v="55392.19"/>
    <e v="#N/A"/>
    <n v="5"/>
    <n v="0"/>
    <n v="4431.38"/>
    <x v="3"/>
    <x v="5"/>
    <x v="18"/>
  </r>
  <r>
    <n v="115"/>
    <s v="VID100115"/>
    <s v="02-03-2024"/>
    <s v="06-03-2024"/>
    <x v="0"/>
    <s v="CUST-1115"/>
    <s v="Priya Patel"/>
    <x v="0"/>
    <s v="India"/>
    <x v="2"/>
    <s v="West Bengal"/>
    <n v="913459"/>
    <x v="2"/>
    <s v="PROD-2115"/>
    <x v="1"/>
    <x v="2"/>
    <s v="Samsung Galaxy"/>
    <n v="99263.49"/>
    <x v="0"/>
    <n v="99263.49"/>
    <e v="#N/A"/>
    <n v="9"/>
    <n v="0.1"/>
    <n v="5459.49"/>
    <x v="1"/>
    <x v="5"/>
    <x v="10"/>
  </r>
  <r>
    <n v="116"/>
    <s v="VID100116"/>
    <s v="15-09-2024"/>
    <s v="17-09-2024"/>
    <x v="2"/>
    <s v="CUST-1116"/>
    <s v="Pooja Hegde"/>
    <x v="2"/>
    <s v="India"/>
    <x v="3"/>
    <s v="Gujarat"/>
    <n v="659188"/>
    <x v="3"/>
    <s v="PROD-2116"/>
    <x v="0"/>
    <x v="0"/>
    <s v="Office Chair"/>
    <n v="19484.490000000002"/>
    <x v="0"/>
    <n v="19484.490000000002"/>
    <e v="#N/A"/>
    <n v="8"/>
    <n v="0.3"/>
    <n v="97.42"/>
    <x v="1"/>
    <x v="10"/>
    <x v="28"/>
  </r>
  <r>
    <n v="117"/>
    <s v="VID100117"/>
    <s v="01-01-2024"/>
    <s v="07-01-2024"/>
    <x v="1"/>
    <s v="CUST-1117"/>
    <s v="Pooja Hegde"/>
    <x v="2"/>
    <s v="India"/>
    <x v="1"/>
    <s v="Karnataka"/>
    <n v="895848"/>
    <x v="1"/>
    <s v="PROD-2117"/>
    <x v="2"/>
    <x v="3"/>
    <s v="A4 Paper"/>
    <n v="776.18"/>
    <x v="0"/>
    <n v="776.18"/>
    <e v="#N/A"/>
    <n v="8"/>
    <n v="0.1"/>
    <n v="42.69"/>
    <x v="1"/>
    <x v="8"/>
    <x v="11"/>
  </r>
  <r>
    <n v="118"/>
    <s v="VID100118"/>
    <s v="17-06-2022"/>
    <s v="19-06-2022"/>
    <x v="0"/>
    <s v="CUST-1118"/>
    <s v="Rohan Das"/>
    <x v="1"/>
    <s v="India"/>
    <x v="2"/>
    <s v="West Bengal"/>
    <n v="352632"/>
    <x v="2"/>
    <s v="PROD-2118"/>
    <x v="1"/>
    <x v="1"/>
    <s v="Dell Inspiron"/>
    <n v="83882.28"/>
    <x v="0"/>
    <n v="83882.28"/>
    <e v="#N/A"/>
    <n v="10"/>
    <n v="0.3"/>
    <n v="419.41"/>
    <x v="2"/>
    <x v="3"/>
    <x v="29"/>
  </r>
  <r>
    <n v="119"/>
    <s v="VID100119"/>
    <s v="25-10-2021"/>
    <s v="30-10-2021"/>
    <x v="2"/>
    <s v="CUST-1119"/>
    <s v="Amit Verma"/>
    <x v="1"/>
    <s v="India"/>
    <x v="2"/>
    <s v="West Bengal"/>
    <n v="227812"/>
    <x v="2"/>
    <s v="PROD-2119"/>
    <x v="2"/>
    <x v="3"/>
    <s v="A4 Paper"/>
    <n v="9301.27"/>
    <x v="0"/>
    <n v="9301.27"/>
    <e v="#N/A"/>
    <n v="8"/>
    <n v="0.1"/>
    <n v="511.57"/>
    <x v="0"/>
    <x v="7"/>
    <x v="17"/>
  </r>
  <r>
    <n v="120"/>
    <s v="VID100120"/>
    <s v="04-11-2023"/>
    <s v="09-11-2023"/>
    <x v="3"/>
    <s v="CUST-1120"/>
    <s v="Aarav Sharma"/>
    <x v="1"/>
    <s v="India"/>
    <x v="4"/>
    <s v="Maharashtra"/>
    <n v="482787"/>
    <x v="3"/>
    <s v="PROD-2120"/>
    <x v="2"/>
    <x v="3"/>
    <s v="A4 Paper"/>
    <n v="73916.160000000003"/>
    <x v="0"/>
    <n v="73916.160000000003"/>
    <e v="#N/A"/>
    <n v="5"/>
    <n v="0"/>
    <n v="5913.29"/>
    <x v="3"/>
    <x v="9"/>
    <x v="22"/>
  </r>
  <r>
    <n v="121"/>
    <s v="VID100121"/>
    <s v="26-05-2021"/>
    <s v="27-05-2021"/>
    <x v="3"/>
    <s v="CUST-1121"/>
    <s v="Pooja Hegde"/>
    <x v="0"/>
    <s v="India"/>
    <x v="0"/>
    <s v="Delhi"/>
    <n v="818793"/>
    <x v="0"/>
    <s v="PROD-2121"/>
    <x v="2"/>
    <x v="3"/>
    <s v="A4 Paper"/>
    <n v="39703.4"/>
    <x v="0"/>
    <n v="39703.4"/>
    <e v="#N/A"/>
    <n v="8"/>
    <n v="0.1"/>
    <n v="2183.69"/>
    <x v="0"/>
    <x v="0"/>
    <x v="21"/>
  </r>
  <r>
    <n v="122"/>
    <s v="VID100122"/>
    <s v="27-04-2024"/>
    <s v="04-05-2024"/>
    <x v="1"/>
    <s v="CUST-1122"/>
    <s v="Amit Verma"/>
    <x v="0"/>
    <s v="India"/>
    <x v="2"/>
    <s v="West Bengal"/>
    <n v="513534"/>
    <x v="2"/>
    <s v="PROD-2122"/>
    <x v="1"/>
    <x v="2"/>
    <s v="Samsung Galaxy"/>
    <n v="83274.850000000006"/>
    <x v="0"/>
    <n v="83274.850000000006"/>
    <e v="#N/A"/>
    <n v="8"/>
    <n v="0"/>
    <n v="6661.99"/>
    <x v="1"/>
    <x v="4"/>
    <x v="7"/>
  </r>
  <r>
    <n v="123"/>
    <s v="VID100123"/>
    <s v="14-05-2022"/>
    <s v="21-05-2022"/>
    <x v="3"/>
    <s v="CUST-1123"/>
    <s v="Priya Patel"/>
    <x v="2"/>
    <s v="India"/>
    <x v="0"/>
    <s v="Delhi"/>
    <n v="955697"/>
    <x v="0"/>
    <s v="PROD-2123"/>
    <x v="1"/>
    <x v="2"/>
    <s v="Samsung Galaxy"/>
    <n v="44746.01"/>
    <x v="0"/>
    <n v="44746.01"/>
    <e v="#N/A"/>
    <n v="8"/>
    <n v="0.2"/>
    <n v="1342.38"/>
    <x v="2"/>
    <x v="0"/>
    <x v="6"/>
  </r>
  <r>
    <n v="124"/>
    <s v="VID100124"/>
    <s v="23-03-2022"/>
    <s v="30-03-2022"/>
    <x v="1"/>
    <s v="CUST-1124"/>
    <s v="Aarav Sharma"/>
    <x v="0"/>
    <s v="India"/>
    <x v="4"/>
    <s v="Maharashtra"/>
    <n v="363188"/>
    <x v="3"/>
    <s v="PROD-2124"/>
    <x v="2"/>
    <x v="3"/>
    <s v="A4 Paper"/>
    <n v="42650.44"/>
    <x v="0"/>
    <n v="42650.44"/>
    <e v="#N/A"/>
    <n v="3"/>
    <n v="0"/>
    <n v="3412.04"/>
    <x v="2"/>
    <x v="5"/>
    <x v="24"/>
  </r>
  <r>
    <n v="125"/>
    <s v="VID100125"/>
    <s v="14-02-2025"/>
    <s v="19-02-2025"/>
    <x v="1"/>
    <s v="CUST-1125"/>
    <s v="Sneha Reddy"/>
    <x v="1"/>
    <s v="India"/>
    <x v="3"/>
    <s v="Gujarat"/>
    <n v="565009"/>
    <x v="3"/>
    <s v="PROD-2125"/>
    <x v="1"/>
    <x v="1"/>
    <s v="Dell Inspiron"/>
    <n v="57255"/>
    <x v="0"/>
    <n v="57255"/>
    <e v="#N/A"/>
    <n v="2"/>
    <n v="0.1"/>
    <n v="3149.03"/>
    <x v="4"/>
    <x v="11"/>
    <x v="6"/>
  </r>
  <r>
    <n v="126"/>
    <s v="VID100126"/>
    <s v="28-05-2021"/>
    <s v="02-06-2021"/>
    <x v="0"/>
    <s v="CUST-1126"/>
    <s v="Rahul Joshi"/>
    <x v="1"/>
    <s v="India"/>
    <x v="1"/>
    <s v="Karnataka"/>
    <n v="178551"/>
    <x v="1"/>
    <s v="PROD-2126"/>
    <x v="1"/>
    <x v="1"/>
    <s v="Dell Inspiron"/>
    <n v="75303.38"/>
    <x v="0"/>
    <n v="75303.38"/>
    <e v="#N/A"/>
    <n v="5"/>
    <n v="0.3"/>
    <n v="376.52"/>
    <x v="0"/>
    <x v="0"/>
    <x v="13"/>
  </r>
  <r>
    <n v="127"/>
    <s v="VID100127"/>
    <s v="25-02-2022"/>
    <s v="28-02-2022"/>
    <x v="2"/>
    <s v="CUST-1127"/>
    <s v="Diya Nair"/>
    <x v="2"/>
    <s v="India"/>
    <x v="1"/>
    <s v="Karnataka"/>
    <n v="252961"/>
    <x v="1"/>
    <s v="PROD-2127"/>
    <x v="0"/>
    <x v="0"/>
    <s v="Office Chair"/>
    <n v="89284.75"/>
    <x v="0"/>
    <n v="89284.75"/>
    <e v="#N/A"/>
    <n v="8"/>
    <n v="0.3"/>
    <n v="446.42"/>
    <x v="2"/>
    <x v="11"/>
    <x v="17"/>
  </r>
  <r>
    <n v="128"/>
    <s v="VID100128"/>
    <s v="13-11-2023"/>
    <s v="18-11-2023"/>
    <x v="3"/>
    <s v="CUST-1128"/>
    <s v="Sneha Reddy"/>
    <x v="2"/>
    <s v="India"/>
    <x v="3"/>
    <s v="Gujarat"/>
    <n v="497075"/>
    <x v="3"/>
    <s v="PROD-2128"/>
    <x v="0"/>
    <x v="0"/>
    <s v="Office Chair"/>
    <n v="86641"/>
    <x v="0"/>
    <n v="86641"/>
    <e v="#N/A"/>
    <n v="2"/>
    <n v="0.1"/>
    <n v="4765.26"/>
    <x v="3"/>
    <x v="9"/>
    <x v="30"/>
  </r>
  <r>
    <n v="129"/>
    <s v="VID100129"/>
    <s v="12-09-2023"/>
    <s v="14-09-2023"/>
    <x v="2"/>
    <s v="CUST-1129"/>
    <s v="Pooja Hegde"/>
    <x v="2"/>
    <s v="India"/>
    <x v="0"/>
    <s v="Delhi"/>
    <n v="548257"/>
    <x v="0"/>
    <s v="PROD-2129"/>
    <x v="1"/>
    <x v="1"/>
    <s v="Dell Inspiron"/>
    <n v="56114.59"/>
    <x v="0"/>
    <n v="56114.59"/>
    <e v="#N/A"/>
    <n v="1"/>
    <n v="0"/>
    <n v="4489.17"/>
    <x v="3"/>
    <x v="10"/>
    <x v="1"/>
  </r>
  <r>
    <n v="130"/>
    <s v="VID100130"/>
    <s v="27-01-2025"/>
    <s v="31-01-2025"/>
    <x v="2"/>
    <s v="CUST-1130"/>
    <s v="Rohan Das"/>
    <x v="2"/>
    <s v="India"/>
    <x v="3"/>
    <s v="Gujarat"/>
    <n v="209617"/>
    <x v="3"/>
    <s v="PROD-2130"/>
    <x v="1"/>
    <x v="2"/>
    <s v="Samsung Galaxy"/>
    <n v="16985.509999999998"/>
    <x v="0"/>
    <n v="16985.509999999998"/>
    <e v="#N/A"/>
    <n v="5"/>
    <n v="0.2"/>
    <n v="509.57"/>
    <x v="4"/>
    <x v="8"/>
    <x v="7"/>
  </r>
  <r>
    <n v="131"/>
    <s v="VID100131"/>
    <s v="28-04-2023"/>
    <s v="30-04-2023"/>
    <x v="0"/>
    <s v="CUST-1131"/>
    <s v="Diya Nair"/>
    <x v="2"/>
    <s v="India"/>
    <x v="4"/>
    <s v="Maharashtra"/>
    <n v="327074"/>
    <x v="3"/>
    <s v="PROD-2131"/>
    <x v="2"/>
    <x v="3"/>
    <s v="A4 Paper"/>
    <n v="21301.21"/>
    <x v="0"/>
    <n v="21301.21"/>
    <e v="#N/A"/>
    <n v="10"/>
    <n v="0.3"/>
    <n v="106.51"/>
    <x v="3"/>
    <x v="4"/>
    <x v="13"/>
  </r>
  <r>
    <n v="132"/>
    <s v="VID100132"/>
    <s v="04-07-2025"/>
    <s v="05-07-2025"/>
    <x v="3"/>
    <s v="CUST-1132"/>
    <s v="Amit Verma"/>
    <x v="1"/>
    <s v="India"/>
    <x v="1"/>
    <s v="Karnataka"/>
    <n v="453232"/>
    <x v="1"/>
    <s v="PROD-2132"/>
    <x v="0"/>
    <x v="0"/>
    <s v="Office Chair"/>
    <n v="3581.62"/>
    <x v="0"/>
    <n v="3581.62"/>
    <e v="#N/A"/>
    <n v="1"/>
    <n v="0"/>
    <n v="286.52999999999997"/>
    <x v="4"/>
    <x v="6"/>
    <x v="22"/>
  </r>
  <r>
    <n v="133"/>
    <s v="VID100133"/>
    <s v="21-08-2025"/>
    <s v="23-08-2025"/>
    <x v="3"/>
    <s v="CUST-1133"/>
    <s v="Sneha Reddy"/>
    <x v="2"/>
    <s v="India"/>
    <x v="0"/>
    <s v="Delhi"/>
    <n v="643825"/>
    <x v="0"/>
    <s v="PROD-2133"/>
    <x v="2"/>
    <x v="3"/>
    <s v="A4 Paper"/>
    <n v="16112.22"/>
    <x v="0"/>
    <n v="16112.22"/>
    <e v="#N/A"/>
    <n v="4"/>
    <n v="0.3"/>
    <n v="80.56"/>
    <x v="4"/>
    <x v="2"/>
    <x v="26"/>
  </r>
  <r>
    <n v="134"/>
    <s v="VID100134"/>
    <s v="27-11-2025"/>
    <s v="29-11-2025"/>
    <x v="0"/>
    <s v="CUST-1134"/>
    <s v="Priya Patel"/>
    <x v="1"/>
    <s v="India"/>
    <x v="4"/>
    <s v="Maharashtra"/>
    <n v="697226"/>
    <x v="3"/>
    <s v="PROD-2134"/>
    <x v="1"/>
    <x v="1"/>
    <s v="Dell Inspiron"/>
    <n v="4029.64"/>
    <x v="0"/>
    <n v="4029.64"/>
    <e v="#N/A"/>
    <n v="5"/>
    <n v="0"/>
    <n v="322.37"/>
    <x v="4"/>
    <x v="9"/>
    <x v="7"/>
  </r>
  <r>
    <n v="135"/>
    <s v="VID100135"/>
    <s v="28-11-2023"/>
    <s v="29-11-2023"/>
    <x v="3"/>
    <s v="CUST-1135"/>
    <s v="Priya Patel"/>
    <x v="1"/>
    <s v="India"/>
    <x v="3"/>
    <s v="Gujarat"/>
    <n v="464348"/>
    <x v="3"/>
    <s v="PROD-2135"/>
    <x v="1"/>
    <x v="2"/>
    <s v="Samsung Galaxy"/>
    <n v="33169.56"/>
    <x v="0"/>
    <n v="33169.56"/>
    <e v="#N/A"/>
    <n v="6"/>
    <n v="0"/>
    <n v="2653.56"/>
    <x v="3"/>
    <x v="9"/>
    <x v="13"/>
  </r>
  <r>
    <n v="136"/>
    <s v="VID100136"/>
    <s v="04-08-2022"/>
    <s v="10-08-2022"/>
    <x v="1"/>
    <s v="CUST-1136"/>
    <s v="Amit Verma"/>
    <x v="0"/>
    <s v="India"/>
    <x v="0"/>
    <s v="Delhi"/>
    <n v="496598"/>
    <x v="0"/>
    <s v="PROD-2136"/>
    <x v="1"/>
    <x v="2"/>
    <s v="Samsung Galaxy"/>
    <n v="33008.720000000001"/>
    <x v="0"/>
    <n v="33008.720000000001"/>
    <e v="#N/A"/>
    <n v="9"/>
    <n v="0.3"/>
    <n v="165.04"/>
    <x v="2"/>
    <x v="2"/>
    <x v="22"/>
  </r>
  <r>
    <n v="137"/>
    <s v="VID100137"/>
    <s v="16-04-2022"/>
    <s v="21-04-2022"/>
    <x v="1"/>
    <s v="CUST-1137"/>
    <s v="Amit Verma"/>
    <x v="1"/>
    <s v="India"/>
    <x v="0"/>
    <s v="Delhi"/>
    <n v="324166"/>
    <x v="0"/>
    <s v="PROD-2137"/>
    <x v="1"/>
    <x v="1"/>
    <s v="Dell Inspiron"/>
    <n v="6962.19"/>
    <x v="0"/>
    <n v="6962.19"/>
    <e v="#N/A"/>
    <n v="10"/>
    <n v="0.3"/>
    <n v="34.81"/>
    <x v="2"/>
    <x v="4"/>
    <x v="20"/>
  </r>
  <r>
    <n v="138"/>
    <s v="VID100138"/>
    <s v="16-03-2025"/>
    <s v="21-03-2025"/>
    <x v="1"/>
    <s v="CUST-1138"/>
    <s v="Sneha Reddy"/>
    <x v="0"/>
    <s v="India"/>
    <x v="3"/>
    <s v="Gujarat"/>
    <n v="174643"/>
    <x v="3"/>
    <s v="PROD-2138"/>
    <x v="1"/>
    <x v="1"/>
    <s v="Dell Inspiron"/>
    <n v="50545.17"/>
    <x v="0"/>
    <n v="50545.17"/>
    <e v="#N/A"/>
    <n v="6"/>
    <n v="0.3"/>
    <n v="252.73"/>
    <x v="4"/>
    <x v="5"/>
    <x v="20"/>
  </r>
  <r>
    <n v="139"/>
    <s v="VID100139"/>
    <s v="30-07-2022"/>
    <s v="31-07-2022"/>
    <x v="2"/>
    <s v="CUST-1139"/>
    <s v="Rohan Das"/>
    <x v="1"/>
    <s v="India"/>
    <x v="3"/>
    <s v="Gujarat"/>
    <n v="787927"/>
    <x v="3"/>
    <s v="PROD-2139"/>
    <x v="1"/>
    <x v="2"/>
    <s v="Samsung Galaxy"/>
    <n v="5276.46"/>
    <x v="0"/>
    <n v="5276.46"/>
    <e v="#N/A"/>
    <n v="10"/>
    <n v="0.3"/>
    <n v="26.38"/>
    <x v="2"/>
    <x v="6"/>
    <x v="16"/>
  </r>
  <r>
    <n v="140"/>
    <s v="VID100140"/>
    <s v="28-12-2024"/>
    <s v="01-01-2025"/>
    <x v="0"/>
    <s v="CUST-1140"/>
    <s v="Diya Nair"/>
    <x v="0"/>
    <s v="India"/>
    <x v="1"/>
    <s v="Karnataka"/>
    <n v="569646"/>
    <x v="1"/>
    <s v="PROD-2140"/>
    <x v="0"/>
    <x v="0"/>
    <s v="Office Chair"/>
    <n v="39763.51"/>
    <x v="0"/>
    <n v="39763.51"/>
    <e v="#N/A"/>
    <n v="7"/>
    <n v="0.2"/>
    <n v="1192.9100000000001"/>
    <x v="1"/>
    <x v="1"/>
    <x v="13"/>
  </r>
  <r>
    <n v="141"/>
    <s v="VID100141"/>
    <s v="10-07-2025"/>
    <s v="14-07-2025"/>
    <x v="0"/>
    <s v="CUST-1141"/>
    <s v="Rohan Das"/>
    <x v="1"/>
    <s v="India"/>
    <x v="3"/>
    <s v="Gujarat"/>
    <n v="870488"/>
    <x v="3"/>
    <s v="PROD-2141"/>
    <x v="1"/>
    <x v="2"/>
    <s v="Samsung Galaxy"/>
    <n v="41257.68"/>
    <x v="0"/>
    <n v="41257.68"/>
    <e v="#N/A"/>
    <n v="9"/>
    <n v="0.2"/>
    <n v="1237.73"/>
    <x v="4"/>
    <x v="6"/>
    <x v="5"/>
  </r>
  <r>
    <n v="142"/>
    <s v="VID100142"/>
    <s v="21-06-2021"/>
    <s v="23-06-2021"/>
    <x v="0"/>
    <s v="CUST-1142"/>
    <s v="Sneha Reddy"/>
    <x v="0"/>
    <s v="India"/>
    <x v="2"/>
    <s v="West Bengal"/>
    <n v="981939"/>
    <x v="2"/>
    <s v="PROD-2142"/>
    <x v="0"/>
    <x v="0"/>
    <s v="Office Chair"/>
    <n v="82553.009999999995"/>
    <x v="0"/>
    <n v="82553.009999999995"/>
    <e v="#N/A"/>
    <n v="3"/>
    <n v="0.2"/>
    <n v="2476.59"/>
    <x v="0"/>
    <x v="3"/>
    <x v="26"/>
  </r>
  <r>
    <n v="143"/>
    <s v="VID100143"/>
    <s v="08-07-2023"/>
    <s v="09-07-2023"/>
    <x v="2"/>
    <s v="CUST-1143"/>
    <s v="Sneha Reddy"/>
    <x v="1"/>
    <s v="India"/>
    <x v="0"/>
    <s v="Delhi"/>
    <n v="537925"/>
    <x v="0"/>
    <s v="PROD-2143"/>
    <x v="1"/>
    <x v="1"/>
    <s v="Dell Inspiron"/>
    <n v="81833.55"/>
    <x v="0"/>
    <n v="81833.55"/>
    <e v="#N/A"/>
    <n v="6"/>
    <n v="0.1"/>
    <n v="4500.8500000000004"/>
    <x v="3"/>
    <x v="6"/>
    <x v="3"/>
  </r>
  <r>
    <n v="144"/>
    <s v="VID100144"/>
    <s v="28-06-2025"/>
    <s v="29-06-2025"/>
    <x v="0"/>
    <s v="CUST-1144"/>
    <s v="Pooja Hegde"/>
    <x v="0"/>
    <s v="India"/>
    <x v="3"/>
    <s v="Gujarat"/>
    <n v="755058"/>
    <x v="3"/>
    <s v="PROD-2144"/>
    <x v="1"/>
    <x v="2"/>
    <s v="Samsung Galaxy"/>
    <n v="67982.92"/>
    <x v="0"/>
    <n v="67982.92"/>
    <e v="#N/A"/>
    <n v="10"/>
    <n v="0.2"/>
    <n v="2039.49"/>
    <x v="4"/>
    <x v="3"/>
    <x v="13"/>
  </r>
  <r>
    <n v="145"/>
    <s v="VID100145"/>
    <s v="12-10-2025"/>
    <s v="14-10-2025"/>
    <x v="1"/>
    <s v="CUST-1145"/>
    <s v="Diya Nair"/>
    <x v="0"/>
    <s v="India"/>
    <x v="2"/>
    <s v="West Bengal"/>
    <n v="820374"/>
    <x v="2"/>
    <s v="PROD-2145"/>
    <x v="0"/>
    <x v="0"/>
    <s v="Office Chair"/>
    <n v="67881.17"/>
    <x v="0"/>
    <n v="67881.17"/>
    <e v="#N/A"/>
    <n v="2"/>
    <n v="0.1"/>
    <n v="3733.46"/>
    <x v="4"/>
    <x v="7"/>
    <x v="1"/>
  </r>
  <r>
    <n v="146"/>
    <s v="VID100146"/>
    <s v="19-04-2024"/>
    <s v="22-04-2024"/>
    <x v="3"/>
    <s v="CUST-1146"/>
    <s v="Aarav Sharma"/>
    <x v="0"/>
    <s v="India"/>
    <x v="0"/>
    <s v="Delhi"/>
    <n v="182602"/>
    <x v="0"/>
    <s v="PROD-2146"/>
    <x v="2"/>
    <x v="3"/>
    <s v="A4 Paper"/>
    <n v="70026.98"/>
    <x v="0"/>
    <n v="70026.98"/>
    <e v="#N/A"/>
    <n v="5"/>
    <n v="0.3"/>
    <n v="350.13"/>
    <x v="1"/>
    <x v="4"/>
    <x v="27"/>
  </r>
  <r>
    <n v="147"/>
    <s v="VID100147"/>
    <s v="06-06-2022"/>
    <s v="08-06-2022"/>
    <x v="1"/>
    <s v="CUST-1147"/>
    <s v="Sneha Reddy"/>
    <x v="1"/>
    <s v="India"/>
    <x v="4"/>
    <s v="Maharashtra"/>
    <n v="501292"/>
    <x v="3"/>
    <s v="PROD-2147"/>
    <x v="0"/>
    <x v="0"/>
    <s v="Office Chair"/>
    <n v="95790.720000000001"/>
    <x v="0"/>
    <n v="95790.720000000001"/>
    <e v="#N/A"/>
    <n v="10"/>
    <n v="0.3"/>
    <n v="478.95"/>
    <x v="2"/>
    <x v="3"/>
    <x v="15"/>
  </r>
  <r>
    <n v="148"/>
    <s v="VID100148"/>
    <s v="21-03-2021"/>
    <s v="22-03-2021"/>
    <x v="1"/>
    <s v="CUST-1148"/>
    <s v="Ananya Mishra"/>
    <x v="1"/>
    <s v="India"/>
    <x v="3"/>
    <s v="Gujarat"/>
    <n v="264590"/>
    <x v="3"/>
    <s v="PROD-2148"/>
    <x v="0"/>
    <x v="0"/>
    <s v="Office Chair"/>
    <n v="594.20000000000005"/>
    <x v="0"/>
    <n v="594.20000000000005"/>
    <e v="#N/A"/>
    <n v="2"/>
    <n v="0"/>
    <n v="47.54"/>
    <x v="0"/>
    <x v="5"/>
    <x v="26"/>
  </r>
  <r>
    <n v="149"/>
    <s v="VID100149"/>
    <s v="08-11-2021"/>
    <s v="09-11-2021"/>
    <x v="1"/>
    <s v="CUST-1149"/>
    <s v="Aarav Sharma"/>
    <x v="1"/>
    <s v="India"/>
    <x v="1"/>
    <s v="Karnataka"/>
    <n v="724722"/>
    <x v="1"/>
    <s v="PROD-2149"/>
    <x v="1"/>
    <x v="1"/>
    <s v="Dell Inspiron"/>
    <n v="77351.649999999994"/>
    <x v="0"/>
    <n v="77351.649999999994"/>
    <e v="#N/A"/>
    <n v="1"/>
    <n v="0.3"/>
    <n v="386.76"/>
    <x v="0"/>
    <x v="9"/>
    <x v="3"/>
  </r>
  <r>
    <n v="150"/>
    <s v="VID100150"/>
    <s v="07-08-2025"/>
    <s v="09-08-2025"/>
    <x v="3"/>
    <s v="CUST-1150"/>
    <s v="Rahul Joshi"/>
    <x v="2"/>
    <s v="India"/>
    <x v="3"/>
    <s v="Gujarat"/>
    <n v="101874"/>
    <x v="3"/>
    <s v="PROD-2150"/>
    <x v="2"/>
    <x v="3"/>
    <s v="A4 Paper"/>
    <n v="57547.82"/>
    <x v="0"/>
    <n v="57547.82"/>
    <e v="#N/A"/>
    <n v="5"/>
    <n v="0.2"/>
    <n v="1726.43"/>
    <x v="4"/>
    <x v="2"/>
    <x v="8"/>
  </r>
  <r>
    <n v="151"/>
    <s v="VID100151"/>
    <s v="18-10-2023"/>
    <s v="25-10-2023"/>
    <x v="0"/>
    <s v="CUST-1151"/>
    <s v="Rahul Joshi"/>
    <x v="0"/>
    <s v="India"/>
    <x v="0"/>
    <s v="Delhi"/>
    <n v="616249"/>
    <x v="0"/>
    <s v="PROD-2151"/>
    <x v="0"/>
    <x v="0"/>
    <s v="Office Chair"/>
    <n v="20267.599999999999"/>
    <x v="0"/>
    <n v="20267.599999999999"/>
    <e v="#N/A"/>
    <n v="5"/>
    <n v="0.3"/>
    <n v="101.34"/>
    <x v="3"/>
    <x v="7"/>
    <x v="12"/>
  </r>
  <r>
    <n v="152"/>
    <s v="VID100152"/>
    <s v="06-05-2024"/>
    <s v="13-05-2024"/>
    <x v="1"/>
    <s v="CUST-1152"/>
    <s v="Amit Verma"/>
    <x v="1"/>
    <s v="India"/>
    <x v="2"/>
    <s v="West Bengal"/>
    <n v="171371"/>
    <x v="2"/>
    <s v="PROD-2152"/>
    <x v="1"/>
    <x v="2"/>
    <s v="Samsung Galaxy"/>
    <n v="80874.91"/>
    <x v="0"/>
    <n v="80874.91"/>
    <e v="#N/A"/>
    <n v="5"/>
    <n v="0"/>
    <n v="6469.99"/>
    <x v="1"/>
    <x v="0"/>
    <x v="15"/>
  </r>
  <r>
    <n v="153"/>
    <s v="VID100153"/>
    <s v="25-11-2023"/>
    <s v="01-12-2023"/>
    <x v="3"/>
    <s v="CUST-1153"/>
    <s v="Rahul Joshi"/>
    <x v="2"/>
    <s v="India"/>
    <x v="0"/>
    <s v="Delhi"/>
    <n v="401522"/>
    <x v="0"/>
    <s v="PROD-2153"/>
    <x v="1"/>
    <x v="2"/>
    <s v="Samsung Galaxy"/>
    <n v="15218.9"/>
    <x v="0"/>
    <n v="15218.9"/>
    <e v="#N/A"/>
    <n v="5"/>
    <n v="0.2"/>
    <n v="456.57"/>
    <x v="3"/>
    <x v="9"/>
    <x v="17"/>
  </r>
  <r>
    <n v="154"/>
    <s v="VID100154"/>
    <s v="12-11-2025"/>
    <s v="18-11-2025"/>
    <x v="0"/>
    <s v="CUST-1154"/>
    <s v="Vikram Singh"/>
    <x v="2"/>
    <s v="India"/>
    <x v="0"/>
    <s v="Delhi"/>
    <n v="467003"/>
    <x v="0"/>
    <s v="PROD-2154"/>
    <x v="0"/>
    <x v="0"/>
    <s v="Office Chair"/>
    <n v="97685.34"/>
    <x v="0"/>
    <n v="97685.34"/>
    <e v="#N/A"/>
    <n v="3"/>
    <n v="0"/>
    <n v="7814.83"/>
    <x v="4"/>
    <x v="9"/>
    <x v="1"/>
  </r>
  <r>
    <n v="155"/>
    <s v="VID100155"/>
    <s v="31-10-2022"/>
    <s v="02-11-2022"/>
    <x v="2"/>
    <s v="CUST-1155"/>
    <s v="Amit Verma"/>
    <x v="1"/>
    <s v="India"/>
    <x v="1"/>
    <s v="Karnataka"/>
    <n v="603188"/>
    <x v="1"/>
    <s v="PROD-2155"/>
    <x v="0"/>
    <x v="0"/>
    <s v="Office Chair"/>
    <n v="56976.11"/>
    <x v="0"/>
    <n v="56976.11"/>
    <e v="#N/A"/>
    <n v="1"/>
    <n v="0.2"/>
    <n v="1709.28"/>
    <x v="2"/>
    <x v="7"/>
    <x v="4"/>
  </r>
  <r>
    <n v="156"/>
    <s v="VID100156"/>
    <s v="17-09-2024"/>
    <s v="19-09-2024"/>
    <x v="2"/>
    <s v="CUST-1156"/>
    <s v="Rohan Das"/>
    <x v="0"/>
    <s v="India"/>
    <x v="3"/>
    <s v="Gujarat"/>
    <n v="942600"/>
    <x v="3"/>
    <s v="PROD-2156"/>
    <x v="2"/>
    <x v="3"/>
    <s v="A4 Paper"/>
    <n v="48731.87"/>
    <x v="0"/>
    <n v="48731.87"/>
    <e v="#N/A"/>
    <n v="5"/>
    <n v="0.3"/>
    <n v="243.66"/>
    <x v="1"/>
    <x v="10"/>
    <x v="29"/>
  </r>
  <r>
    <n v="157"/>
    <s v="VID100157"/>
    <s v="19-05-2025"/>
    <s v="20-05-2025"/>
    <x v="0"/>
    <s v="CUST-1157"/>
    <s v="Vikram Singh"/>
    <x v="2"/>
    <s v="India"/>
    <x v="0"/>
    <s v="Delhi"/>
    <n v="747254"/>
    <x v="0"/>
    <s v="PROD-2157"/>
    <x v="1"/>
    <x v="1"/>
    <s v="Dell Inspiron"/>
    <n v="16676.75"/>
    <x v="0"/>
    <n v="16676.75"/>
    <e v="#N/A"/>
    <n v="10"/>
    <n v="0.2"/>
    <n v="500.3"/>
    <x v="4"/>
    <x v="0"/>
    <x v="27"/>
  </r>
  <r>
    <n v="158"/>
    <s v="VID100158"/>
    <s v="26-09-2022"/>
    <s v="30-09-2022"/>
    <x v="1"/>
    <s v="CUST-1158"/>
    <s v="Rahul Joshi"/>
    <x v="0"/>
    <s v="India"/>
    <x v="4"/>
    <s v="Maharashtra"/>
    <n v="942389"/>
    <x v="3"/>
    <s v="PROD-2158"/>
    <x v="1"/>
    <x v="2"/>
    <s v="Samsung Galaxy"/>
    <n v="4567.45"/>
    <x v="0"/>
    <n v="4567.45"/>
    <e v="#N/A"/>
    <n v="2"/>
    <n v="0.2"/>
    <n v="137.02000000000001"/>
    <x v="2"/>
    <x v="10"/>
    <x v="21"/>
  </r>
  <r>
    <n v="159"/>
    <s v="VID100159"/>
    <s v="19-12-2023"/>
    <s v="21-12-2023"/>
    <x v="2"/>
    <s v="CUST-1159"/>
    <s v="Amit Verma"/>
    <x v="0"/>
    <s v="India"/>
    <x v="2"/>
    <s v="West Bengal"/>
    <n v="495402"/>
    <x v="2"/>
    <s v="PROD-2159"/>
    <x v="1"/>
    <x v="1"/>
    <s v="Dell Inspiron"/>
    <n v="308.37"/>
    <x v="1"/>
    <e v="#N/A"/>
    <e v="#N/A"/>
    <n v="6"/>
    <n v="0.3"/>
    <n v="1.54"/>
    <x v="3"/>
    <x v="1"/>
    <x v="27"/>
  </r>
  <r>
    <n v="160"/>
    <s v="VID100160"/>
    <s v="25-03-2023"/>
    <s v="30-03-2023"/>
    <x v="2"/>
    <s v="CUST-1160"/>
    <s v="Rohan Das"/>
    <x v="0"/>
    <s v="India"/>
    <x v="0"/>
    <s v="Delhi"/>
    <n v="438748"/>
    <x v="0"/>
    <s v="PROD-2160"/>
    <x v="2"/>
    <x v="3"/>
    <s v="A4 Paper"/>
    <n v="91114.26"/>
    <x v="0"/>
    <n v="91114.26"/>
    <e v="#N/A"/>
    <n v="7"/>
    <n v="0.1"/>
    <n v="5011.28"/>
    <x v="3"/>
    <x v="5"/>
    <x v="17"/>
  </r>
  <r>
    <n v="161"/>
    <s v="VID100161"/>
    <s v="11-02-2024"/>
    <s v="15-02-2024"/>
    <x v="0"/>
    <s v="CUST-1161"/>
    <s v="Rahul Joshi"/>
    <x v="2"/>
    <s v="India"/>
    <x v="0"/>
    <s v="Delhi"/>
    <n v="517246"/>
    <x v="0"/>
    <s v="PROD-2161"/>
    <x v="1"/>
    <x v="2"/>
    <s v="Samsung Galaxy"/>
    <n v="87523.42"/>
    <x v="0"/>
    <n v="87523.42"/>
    <e v="#N/A"/>
    <n v="2"/>
    <n v="0.3"/>
    <n v="437.62"/>
    <x v="1"/>
    <x v="11"/>
    <x v="23"/>
  </r>
  <r>
    <n v="162"/>
    <s v="VID100162"/>
    <s v="05-12-2025"/>
    <s v="12-12-2025"/>
    <x v="2"/>
    <s v="CUST-1162"/>
    <s v="Vikram Singh"/>
    <x v="1"/>
    <s v="India"/>
    <x v="3"/>
    <s v="Gujarat"/>
    <n v="396950"/>
    <x v="3"/>
    <s v="PROD-2162"/>
    <x v="1"/>
    <x v="1"/>
    <s v="Dell Inspiron"/>
    <n v="64207.3"/>
    <x v="0"/>
    <n v="64207.3"/>
    <e v="#N/A"/>
    <n v="2"/>
    <n v="0"/>
    <n v="5136.58"/>
    <x v="4"/>
    <x v="1"/>
    <x v="25"/>
  </r>
  <r>
    <n v="163"/>
    <s v="VID100163"/>
    <s v="19-12-2024"/>
    <s v="24-12-2024"/>
    <x v="0"/>
    <s v="CUST-1163"/>
    <s v="Rohan Das"/>
    <x v="0"/>
    <s v="India"/>
    <x v="2"/>
    <s v="West Bengal"/>
    <n v="203621"/>
    <x v="2"/>
    <s v="PROD-2163"/>
    <x v="2"/>
    <x v="3"/>
    <s v="A4 Paper"/>
    <n v="81373.62"/>
    <x v="0"/>
    <n v="81373.62"/>
    <e v="#N/A"/>
    <n v="1"/>
    <n v="0.2"/>
    <n v="2441.21"/>
    <x v="1"/>
    <x v="1"/>
    <x v="27"/>
  </r>
  <r>
    <n v="164"/>
    <s v="VID100164"/>
    <s v="23-12-2022"/>
    <s v="29-12-2022"/>
    <x v="2"/>
    <s v="CUST-1164"/>
    <s v="Priya Patel"/>
    <x v="1"/>
    <s v="India"/>
    <x v="1"/>
    <s v="Karnataka"/>
    <n v="128643"/>
    <x v="1"/>
    <s v="PROD-2164"/>
    <x v="1"/>
    <x v="2"/>
    <s v="Samsung Galaxy"/>
    <n v="46042.43"/>
    <x v="0"/>
    <n v="46042.43"/>
    <e v="#N/A"/>
    <n v="4"/>
    <n v="0.3"/>
    <n v="230.21"/>
    <x v="2"/>
    <x v="1"/>
    <x v="24"/>
  </r>
  <r>
    <n v="165"/>
    <s v="VID100165"/>
    <s v="25-12-2022"/>
    <s v="27-12-2022"/>
    <x v="1"/>
    <s v="CUST-1165"/>
    <s v="Sneha Reddy"/>
    <x v="0"/>
    <s v="India"/>
    <x v="4"/>
    <s v="Maharashtra"/>
    <n v="392737"/>
    <x v="3"/>
    <s v="PROD-2165"/>
    <x v="2"/>
    <x v="3"/>
    <s v="A4 Paper"/>
    <n v="14322.88"/>
    <x v="0"/>
    <n v="14322.88"/>
    <e v="#N/A"/>
    <n v="10"/>
    <n v="0"/>
    <n v="1145.83"/>
    <x v="2"/>
    <x v="1"/>
    <x v="17"/>
  </r>
  <r>
    <n v="166"/>
    <s v="VID100166"/>
    <s v="08-02-2024"/>
    <s v="09-02-2024"/>
    <x v="2"/>
    <s v="CUST-1166"/>
    <s v="Aarav Sharma"/>
    <x v="0"/>
    <s v="India"/>
    <x v="0"/>
    <s v="Delhi"/>
    <n v="729641"/>
    <x v="0"/>
    <s v="PROD-2166"/>
    <x v="1"/>
    <x v="2"/>
    <s v="Samsung Galaxy"/>
    <n v="21424.17"/>
    <x v="0"/>
    <n v="21424.17"/>
    <e v="#N/A"/>
    <n v="1"/>
    <n v="0.3"/>
    <n v="107.12"/>
    <x v="1"/>
    <x v="11"/>
    <x v="3"/>
  </r>
  <r>
    <n v="167"/>
    <s v="VID100167"/>
    <s v="28-10-2024"/>
    <s v="02-11-2024"/>
    <x v="3"/>
    <s v="CUST-1167"/>
    <s v="Ananya Mishra"/>
    <x v="0"/>
    <s v="India"/>
    <x v="3"/>
    <s v="Gujarat"/>
    <n v="431350"/>
    <x v="3"/>
    <s v="PROD-2167"/>
    <x v="0"/>
    <x v="0"/>
    <s v="Office Chair"/>
    <n v="83147.7"/>
    <x v="0"/>
    <n v="83147.7"/>
    <e v="#N/A"/>
    <n v="7"/>
    <n v="0"/>
    <n v="6651.82"/>
    <x v="1"/>
    <x v="7"/>
    <x v="13"/>
  </r>
  <r>
    <n v="168"/>
    <s v="VID100168"/>
    <s v="17-07-2022"/>
    <s v="20-07-2022"/>
    <x v="2"/>
    <s v="CUST-1168"/>
    <s v="Rohan Das"/>
    <x v="1"/>
    <s v="India"/>
    <x v="3"/>
    <s v="Gujarat"/>
    <n v="901433"/>
    <x v="3"/>
    <s v="PROD-2168"/>
    <x v="0"/>
    <x v="0"/>
    <s v="Office Chair"/>
    <n v="12411.25"/>
    <x v="0"/>
    <n v="12411.25"/>
    <e v="#N/A"/>
    <n v="6"/>
    <n v="0.1"/>
    <n v="682.62"/>
    <x v="2"/>
    <x v="6"/>
    <x v="29"/>
  </r>
  <r>
    <n v="169"/>
    <s v="VID100169"/>
    <s v="28-10-2022"/>
    <s v="03-11-2022"/>
    <x v="2"/>
    <s v="CUST-1169"/>
    <s v="Amit Verma"/>
    <x v="1"/>
    <s v="India"/>
    <x v="3"/>
    <s v="Gujarat"/>
    <n v="853015"/>
    <x v="3"/>
    <s v="PROD-2169"/>
    <x v="2"/>
    <x v="3"/>
    <s v="A4 Paper"/>
    <n v="18672.71"/>
    <x v="0"/>
    <n v="18672.71"/>
    <e v="#N/A"/>
    <n v="7"/>
    <n v="0.3"/>
    <n v="93.36"/>
    <x v="2"/>
    <x v="7"/>
    <x v="13"/>
  </r>
  <r>
    <n v="170"/>
    <s v="VID100170"/>
    <s v="10-10-2023"/>
    <s v="14-10-2023"/>
    <x v="3"/>
    <s v="CUST-1170"/>
    <s v="Rohan Das"/>
    <x v="1"/>
    <s v="India"/>
    <x v="1"/>
    <s v="Karnataka"/>
    <n v="726964"/>
    <x v="1"/>
    <s v="PROD-2170"/>
    <x v="2"/>
    <x v="3"/>
    <s v="A4 Paper"/>
    <n v="9054.23"/>
    <x v="0"/>
    <n v="9054.23"/>
    <e v="#N/A"/>
    <n v="10"/>
    <n v="0"/>
    <n v="724.34"/>
    <x v="3"/>
    <x v="7"/>
    <x v="5"/>
  </r>
  <r>
    <n v="171"/>
    <s v="VID100171"/>
    <s v="07-02-2022"/>
    <s v="09-02-2022"/>
    <x v="2"/>
    <s v="CUST-1171"/>
    <s v="Rahul Joshi"/>
    <x v="2"/>
    <s v="India"/>
    <x v="1"/>
    <s v="Karnataka"/>
    <n v="769181"/>
    <x v="1"/>
    <s v="PROD-2171"/>
    <x v="1"/>
    <x v="1"/>
    <s v="Dell Inspiron"/>
    <n v="44883.76"/>
    <x v="0"/>
    <n v="44883.76"/>
    <e v="#N/A"/>
    <n v="4"/>
    <n v="0.1"/>
    <n v="2468.61"/>
    <x v="2"/>
    <x v="11"/>
    <x v="8"/>
  </r>
  <r>
    <n v="172"/>
    <s v="VID100172"/>
    <s v="19-11-2024"/>
    <s v="21-11-2024"/>
    <x v="0"/>
    <s v="CUST-1172"/>
    <s v="Ananya Mishra"/>
    <x v="0"/>
    <s v="India"/>
    <x v="2"/>
    <s v="West Bengal"/>
    <n v="405910"/>
    <x v="2"/>
    <s v="PROD-2172"/>
    <x v="0"/>
    <x v="0"/>
    <s v="Office Chair"/>
    <n v="85889.2"/>
    <x v="0"/>
    <n v="85889.2"/>
    <e v="#N/A"/>
    <n v="8"/>
    <n v="0.3"/>
    <n v="429.45"/>
    <x v="1"/>
    <x v="9"/>
    <x v="27"/>
  </r>
  <r>
    <n v="173"/>
    <s v="VID100173"/>
    <s v="31-05-2025"/>
    <s v="02-06-2025"/>
    <x v="3"/>
    <s v="CUST-1173"/>
    <s v="Priya Patel"/>
    <x v="2"/>
    <s v="India"/>
    <x v="3"/>
    <s v="Gujarat"/>
    <n v="440737"/>
    <x v="3"/>
    <s v="PROD-2173"/>
    <x v="0"/>
    <x v="0"/>
    <s v="Office Chair"/>
    <n v="99041.39"/>
    <x v="0"/>
    <n v="99041.39"/>
    <e v="#N/A"/>
    <n v="2"/>
    <n v="0.2"/>
    <n v="2971.24"/>
    <x v="4"/>
    <x v="0"/>
    <x v="4"/>
  </r>
  <r>
    <n v="174"/>
    <s v="VID100174"/>
    <s v="30-01-2024"/>
    <s v="02-02-2024"/>
    <x v="0"/>
    <s v="CUST-1174"/>
    <s v="Vikram Singh"/>
    <x v="1"/>
    <s v="India"/>
    <x v="2"/>
    <s v="West Bengal"/>
    <n v="313510"/>
    <x v="2"/>
    <s v="PROD-2174"/>
    <x v="1"/>
    <x v="2"/>
    <s v="Samsung Galaxy"/>
    <n v="60851.5"/>
    <x v="0"/>
    <n v="60851.5"/>
    <e v="#N/A"/>
    <n v="3"/>
    <n v="0.3"/>
    <n v="304.26"/>
    <x v="1"/>
    <x v="8"/>
    <x v="16"/>
  </r>
  <r>
    <n v="175"/>
    <s v="VID100175"/>
    <s v="02-11-2024"/>
    <s v="06-11-2024"/>
    <x v="2"/>
    <s v="CUST-1175"/>
    <s v="Rahul Joshi"/>
    <x v="2"/>
    <s v="India"/>
    <x v="1"/>
    <s v="Karnataka"/>
    <n v="551377"/>
    <x v="1"/>
    <s v="PROD-2175"/>
    <x v="1"/>
    <x v="1"/>
    <s v="Dell Inspiron"/>
    <n v="49150.87"/>
    <x v="0"/>
    <n v="49150.87"/>
    <e v="#N/A"/>
    <n v="6"/>
    <n v="0"/>
    <n v="3932.07"/>
    <x v="1"/>
    <x v="9"/>
    <x v="10"/>
  </r>
  <r>
    <n v="176"/>
    <s v="VID100176"/>
    <s v="06-02-2021"/>
    <s v="07-02-2021"/>
    <x v="1"/>
    <s v="CUST-1176"/>
    <s v="Pooja Hegde"/>
    <x v="0"/>
    <s v="India"/>
    <x v="3"/>
    <s v="Gujarat"/>
    <n v="183367"/>
    <x v="3"/>
    <s v="PROD-2176"/>
    <x v="2"/>
    <x v="3"/>
    <s v="A4 Paper"/>
    <n v="59881.49"/>
    <x v="0"/>
    <n v="59881.49"/>
    <e v="#N/A"/>
    <n v="2"/>
    <n v="0.3"/>
    <n v="299.41000000000003"/>
    <x v="0"/>
    <x v="11"/>
    <x v="15"/>
  </r>
  <r>
    <n v="177"/>
    <s v="VID100177"/>
    <s v="18-11-2022"/>
    <s v="25-11-2022"/>
    <x v="0"/>
    <s v="CUST-1177"/>
    <s v="Sneha Reddy"/>
    <x v="2"/>
    <s v="India"/>
    <x v="4"/>
    <s v="Maharashtra"/>
    <n v="883570"/>
    <x v="3"/>
    <s v="PROD-2177"/>
    <x v="0"/>
    <x v="0"/>
    <s v="Office Chair"/>
    <n v="76995.75"/>
    <x v="0"/>
    <n v="76995.75"/>
    <e v="#N/A"/>
    <n v="9"/>
    <n v="0.2"/>
    <n v="2309.87"/>
    <x v="2"/>
    <x v="9"/>
    <x v="12"/>
  </r>
  <r>
    <n v="178"/>
    <s v="VID100178"/>
    <s v="16-07-2023"/>
    <s v="22-07-2023"/>
    <x v="2"/>
    <s v="CUST-1178"/>
    <s v="Rahul Joshi"/>
    <x v="0"/>
    <s v="India"/>
    <x v="0"/>
    <s v="Delhi"/>
    <n v="567103"/>
    <x v="0"/>
    <s v="PROD-2178"/>
    <x v="2"/>
    <x v="3"/>
    <s v="A4 Paper"/>
    <n v="6389.35"/>
    <x v="0"/>
    <n v="6389.35"/>
    <e v="#N/A"/>
    <n v="2"/>
    <n v="0.3"/>
    <n v="31.95"/>
    <x v="3"/>
    <x v="6"/>
    <x v="20"/>
  </r>
  <r>
    <n v="179"/>
    <s v="VID100179"/>
    <s v="19-01-2025"/>
    <s v="26-01-2025"/>
    <x v="0"/>
    <s v="CUST-1179"/>
    <s v="Rahul Joshi"/>
    <x v="1"/>
    <s v="India"/>
    <x v="3"/>
    <s v="Gujarat"/>
    <n v="623577"/>
    <x v="3"/>
    <s v="PROD-2179"/>
    <x v="0"/>
    <x v="0"/>
    <s v="Office Chair"/>
    <n v="51055.77"/>
    <x v="0"/>
    <n v="51055.77"/>
    <e v="#N/A"/>
    <n v="4"/>
    <n v="0.2"/>
    <n v="1531.67"/>
    <x v="4"/>
    <x v="8"/>
    <x v="27"/>
  </r>
  <r>
    <n v="180"/>
    <s v="VID100180"/>
    <s v="30-08-2025"/>
    <s v="01-09-2025"/>
    <x v="2"/>
    <s v="CUST-1180"/>
    <s v="Aarav Sharma"/>
    <x v="2"/>
    <s v="India"/>
    <x v="0"/>
    <s v="Delhi"/>
    <n v="290744"/>
    <x v="0"/>
    <s v="PROD-2180"/>
    <x v="1"/>
    <x v="1"/>
    <s v="Dell Inspiron"/>
    <n v="26698.6"/>
    <x v="0"/>
    <n v="26698.6"/>
    <e v="#N/A"/>
    <n v="1"/>
    <n v="0.2"/>
    <n v="800.96"/>
    <x v="4"/>
    <x v="2"/>
    <x v="16"/>
  </r>
  <r>
    <n v="181"/>
    <s v="VID100181"/>
    <s v="25-10-2022"/>
    <s v="28-10-2022"/>
    <x v="1"/>
    <s v="CUST-1181"/>
    <s v="Ananya Mishra"/>
    <x v="1"/>
    <s v="India"/>
    <x v="0"/>
    <s v="Delhi"/>
    <n v="971678"/>
    <x v="0"/>
    <s v="PROD-2181"/>
    <x v="0"/>
    <x v="0"/>
    <s v="Office Chair"/>
    <n v="21291.78"/>
    <x v="0"/>
    <n v="21291.78"/>
    <e v="#N/A"/>
    <n v="8"/>
    <n v="0.2"/>
    <n v="638.75"/>
    <x v="2"/>
    <x v="7"/>
    <x v="17"/>
  </r>
  <r>
    <n v="182"/>
    <s v="VID100182"/>
    <s v="08-09-2024"/>
    <s v="11-09-2024"/>
    <x v="0"/>
    <s v="CUST-1182"/>
    <s v="Diya Nair"/>
    <x v="2"/>
    <s v="India"/>
    <x v="3"/>
    <s v="Gujarat"/>
    <n v="677181"/>
    <x v="3"/>
    <s v="PROD-2182"/>
    <x v="0"/>
    <x v="0"/>
    <s v="Office Chair"/>
    <n v="57829.65"/>
    <x v="0"/>
    <n v="57829.65"/>
    <e v="#N/A"/>
    <n v="4"/>
    <n v="0.2"/>
    <n v="1734.89"/>
    <x v="1"/>
    <x v="10"/>
    <x v="3"/>
  </r>
  <r>
    <n v="183"/>
    <s v="VID100183"/>
    <s v="01-08-2024"/>
    <s v="06-08-2024"/>
    <x v="0"/>
    <s v="CUST-1183"/>
    <s v="Priya Patel"/>
    <x v="0"/>
    <s v="India"/>
    <x v="3"/>
    <s v="Gujarat"/>
    <n v="798463"/>
    <x v="3"/>
    <s v="PROD-2183"/>
    <x v="1"/>
    <x v="2"/>
    <s v="Samsung Galaxy"/>
    <n v="47414.52"/>
    <x v="0"/>
    <n v="47414.52"/>
    <e v="#N/A"/>
    <n v="5"/>
    <n v="0.2"/>
    <n v="1422.44"/>
    <x v="1"/>
    <x v="2"/>
    <x v="11"/>
  </r>
  <r>
    <n v="184"/>
    <s v="VID100184"/>
    <s v="28-12-2025"/>
    <s v="31-12-2025"/>
    <x v="2"/>
    <s v="CUST-1184"/>
    <s v="Diya Nair"/>
    <x v="1"/>
    <s v="India"/>
    <x v="4"/>
    <s v="Maharashtra"/>
    <n v="705145"/>
    <x v="3"/>
    <s v="PROD-2184"/>
    <x v="1"/>
    <x v="2"/>
    <s v="Samsung Galaxy"/>
    <n v="97339.76"/>
    <x v="0"/>
    <n v="97339.76"/>
    <e v="#N/A"/>
    <n v="9"/>
    <n v="0"/>
    <n v="7787.18"/>
    <x v="4"/>
    <x v="1"/>
    <x v="13"/>
  </r>
  <r>
    <n v="185"/>
    <s v="VID100185"/>
    <s v="18-09-2025"/>
    <s v="23-09-2025"/>
    <x v="0"/>
    <s v="CUST-1185"/>
    <s v="Vikram Singh"/>
    <x v="0"/>
    <s v="India"/>
    <x v="1"/>
    <s v="Karnataka"/>
    <n v="804944"/>
    <x v="1"/>
    <s v="PROD-2185"/>
    <x v="0"/>
    <x v="0"/>
    <s v="Office Chair"/>
    <n v="2237.2600000000002"/>
    <x v="0"/>
    <n v="2237.2600000000002"/>
    <e v="#N/A"/>
    <n v="2"/>
    <n v="0.1"/>
    <n v="123.05"/>
    <x v="4"/>
    <x v="10"/>
    <x v="12"/>
  </r>
  <r>
    <n v="186"/>
    <s v="VID100186"/>
    <s v="13-07-2025"/>
    <s v="20-07-2025"/>
    <x v="1"/>
    <s v="CUST-1186"/>
    <s v="Sneha Reddy"/>
    <x v="0"/>
    <s v="India"/>
    <x v="0"/>
    <s v="Delhi"/>
    <n v="483448"/>
    <x v="0"/>
    <s v="PROD-2186"/>
    <x v="2"/>
    <x v="3"/>
    <s v="A4 Paper"/>
    <n v="93435.68"/>
    <x v="0"/>
    <n v="93435.68"/>
    <e v="#N/A"/>
    <n v="5"/>
    <n v="0.3"/>
    <n v="467.18"/>
    <x v="4"/>
    <x v="6"/>
    <x v="30"/>
  </r>
  <r>
    <n v="187"/>
    <s v="VID100187"/>
    <s v="09-06-2023"/>
    <s v="11-06-2023"/>
    <x v="3"/>
    <s v="CUST-1187"/>
    <s v="Priya Patel"/>
    <x v="2"/>
    <s v="India"/>
    <x v="1"/>
    <s v="Karnataka"/>
    <n v="133536"/>
    <x v="1"/>
    <s v="PROD-2187"/>
    <x v="2"/>
    <x v="3"/>
    <s v="A4 Paper"/>
    <n v="24435.67"/>
    <x v="0"/>
    <n v="24435.67"/>
    <e v="#N/A"/>
    <n v="2"/>
    <n v="0.2"/>
    <n v="733.07"/>
    <x v="3"/>
    <x v="3"/>
    <x v="18"/>
  </r>
  <r>
    <n v="188"/>
    <s v="VID100188"/>
    <s v="12-11-2024"/>
    <s v="19-11-2024"/>
    <x v="1"/>
    <s v="CUST-1188"/>
    <s v="Aarav Sharma"/>
    <x v="1"/>
    <s v="India"/>
    <x v="0"/>
    <s v="Delhi"/>
    <n v="292428"/>
    <x v="0"/>
    <s v="PROD-2188"/>
    <x v="1"/>
    <x v="1"/>
    <s v="Dell Inspiron"/>
    <n v="51611.73"/>
    <x v="0"/>
    <n v="51611.73"/>
    <e v="#N/A"/>
    <n v="8"/>
    <n v="0.2"/>
    <n v="1548.35"/>
    <x v="1"/>
    <x v="9"/>
    <x v="1"/>
  </r>
  <r>
    <n v="189"/>
    <s v="VID100189"/>
    <s v="23-10-2021"/>
    <s v="29-10-2021"/>
    <x v="0"/>
    <s v="CUST-1189"/>
    <s v="Vikram Singh"/>
    <x v="2"/>
    <s v="India"/>
    <x v="2"/>
    <s v="West Bengal"/>
    <n v="913289"/>
    <x v="2"/>
    <s v="PROD-2189"/>
    <x v="2"/>
    <x v="3"/>
    <s v="A4 Paper"/>
    <n v="31135.94"/>
    <x v="0"/>
    <n v="31135.94"/>
    <e v="#N/A"/>
    <n v="5"/>
    <n v="0.1"/>
    <n v="1712.48"/>
    <x v="0"/>
    <x v="7"/>
    <x v="24"/>
  </r>
  <r>
    <n v="190"/>
    <s v="VID100190"/>
    <s v="19-12-2022"/>
    <s v="20-12-2022"/>
    <x v="1"/>
    <s v="CUST-1190"/>
    <s v="Rahul Joshi"/>
    <x v="1"/>
    <s v="India"/>
    <x v="1"/>
    <s v="Karnataka"/>
    <n v="382533"/>
    <x v="1"/>
    <s v="PROD-2190"/>
    <x v="0"/>
    <x v="0"/>
    <s v="Office Chair"/>
    <n v="44583.35"/>
    <x v="0"/>
    <n v="44583.35"/>
    <e v="#N/A"/>
    <n v="10"/>
    <n v="0.1"/>
    <n v="2452.08"/>
    <x v="2"/>
    <x v="1"/>
    <x v="27"/>
  </r>
  <r>
    <n v="191"/>
    <s v="VID100191"/>
    <s v="17-08-2025"/>
    <s v="18-08-2025"/>
    <x v="0"/>
    <s v="CUST-1191"/>
    <s v="Rahul Joshi"/>
    <x v="0"/>
    <s v="India"/>
    <x v="0"/>
    <s v="Delhi"/>
    <n v="458702"/>
    <x v="0"/>
    <s v="PROD-2191"/>
    <x v="1"/>
    <x v="1"/>
    <s v="Dell Inspiron"/>
    <n v="6096.08"/>
    <x v="0"/>
    <n v="6096.08"/>
    <e v="#N/A"/>
    <n v="8"/>
    <n v="0.3"/>
    <n v="30.48"/>
    <x v="4"/>
    <x v="2"/>
    <x v="29"/>
  </r>
  <r>
    <n v="192"/>
    <s v="VID100192"/>
    <s v="26-11-2022"/>
    <s v="03-12-2022"/>
    <x v="3"/>
    <s v="CUST-1192"/>
    <s v="Sneha Reddy"/>
    <x v="0"/>
    <s v="India"/>
    <x v="0"/>
    <s v="Delhi"/>
    <n v="755939"/>
    <x v="0"/>
    <s v="PROD-2192"/>
    <x v="0"/>
    <x v="0"/>
    <s v="Office Chair"/>
    <n v="40444.68"/>
    <x v="0"/>
    <n v="40444.68"/>
    <e v="#N/A"/>
    <n v="8"/>
    <n v="0.2"/>
    <n v="1213.3399999999999"/>
    <x v="2"/>
    <x v="9"/>
    <x v="21"/>
  </r>
  <r>
    <n v="193"/>
    <s v="VID100193"/>
    <s v="14-12-2021"/>
    <s v="16-12-2021"/>
    <x v="1"/>
    <s v="CUST-1193"/>
    <s v="Priya Patel"/>
    <x v="0"/>
    <s v="India"/>
    <x v="2"/>
    <s v="West Bengal"/>
    <n v="322366"/>
    <x v="2"/>
    <s v="PROD-2193"/>
    <x v="1"/>
    <x v="1"/>
    <s v="Dell Inspiron"/>
    <n v="74436.09"/>
    <x v="0"/>
    <n v="74436.09"/>
    <e v="#N/A"/>
    <n v="4"/>
    <n v="0.3"/>
    <n v="372.18"/>
    <x v="0"/>
    <x v="1"/>
    <x v="6"/>
  </r>
  <r>
    <n v="194"/>
    <s v="VID100194"/>
    <s v="12-12-2025"/>
    <s v="15-12-2025"/>
    <x v="2"/>
    <s v="CUST-1194"/>
    <s v="Vikram Singh"/>
    <x v="1"/>
    <s v="India"/>
    <x v="2"/>
    <s v="West Bengal"/>
    <n v="978038"/>
    <x v="2"/>
    <s v="PROD-2194"/>
    <x v="2"/>
    <x v="3"/>
    <s v="A4 Paper"/>
    <n v="37094.730000000003"/>
    <x v="0"/>
    <n v="37094.730000000003"/>
    <e v="#N/A"/>
    <n v="2"/>
    <n v="0.2"/>
    <n v="1112.8399999999999"/>
    <x v="4"/>
    <x v="1"/>
    <x v="1"/>
  </r>
  <r>
    <n v="195"/>
    <s v="VID100195"/>
    <s v="07-10-2025"/>
    <s v="08-10-2025"/>
    <x v="1"/>
    <s v="CUST-1195"/>
    <s v="Aarav Sharma"/>
    <x v="2"/>
    <s v="India"/>
    <x v="0"/>
    <s v="Delhi"/>
    <n v="104267"/>
    <x v="0"/>
    <s v="PROD-2195"/>
    <x v="1"/>
    <x v="2"/>
    <s v="Samsung Galaxy"/>
    <n v="47746.16"/>
    <x v="0"/>
    <n v="47746.16"/>
    <e v="#N/A"/>
    <n v="2"/>
    <n v="0.3"/>
    <n v="238.73"/>
    <x v="4"/>
    <x v="7"/>
    <x v="8"/>
  </r>
  <r>
    <n v="196"/>
    <s v="VID100196"/>
    <s v="04-11-2023"/>
    <s v="07-11-2023"/>
    <x v="1"/>
    <s v="CUST-1196"/>
    <s v="Aarav Sharma"/>
    <x v="1"/>
    <s v="India"/>
    <x v="1"/>
    <s v="Karnataka"/>
    <n v="355291"/>
    <x v="1"/>
    <s v="PROD-2196"/>
    <x v="1"/>
    <x v="1"/>
    <s v="Dell Inspiron"/>
    <n v="80120.61"/>
    <x v="0"/>
    <n v="80120.61"/>
    <e v="#N/A"/>
    <n v="1"/>
    <n v="0.3"/>
    <n v="400.6"/>
    <x v="3"/>
    <x v="9"/>
    <x v="22"/>
  </r>
  <r>
    <n v="197"/>
    <s v="VID100197"/>
    <s v="28-08-2025"/>
    <s v="31-08-2025"/>
    <x v="3"/>
    <s v="CUST-1197"/>
    <s v="Diya Nair"/>
    <x v="0"/>
    <s v="India"/>
    <x v="3"/>
    <s v="Gujarat"/>
    <n v="465456"/>
    <x v="3"/>
    <s v="PROD-2197"/>
    <x v="1"/>
    <x v="1"/>
    <s v="Dell Inspiron"/>
    <n v="69871.34"/>
    <x v="0"/>
    <n v="69871.34"/>
    <e v="#N/A"/>
    <n v="7"/>
    <n v="0.2"/>
    <n v="2096.14"/>
    <x v="4"/>
    <x v="2"/>
    <x v="13"/>
  </r>
  <r>
    <n v="198"/>
    <s v="VID100198"/>
    <s v="27-09-2025"/>
    <s v="03-10-2025"/>
    <x v="1"/>
    <s v="CUST-1198"/>
    <s v="Aarav Sharma"/>
    <x v="2"/>
    <s v="India"/>
    <x v="4"/>
    <s v="Maharashtra"/>
    <n v="127218"/>
    <x v="3"/>
    <s v="PROD-2198"/>
    <x v="1"/>
    <x v="1"/>
    <s v="Dell Inspiron"/>
    <n v="4679.46"/>
    <x v="0"/>
    <n v="4679.46"/>
    <e v="#N/A"/>
    <n v="1"/>
    <n v="0.2"/>
    <n v="140.38"/>
    <x v="4"/>
    <x v="10"/>
    <x v="7"/>
  </r>
  <r>
    <n v="199"/>
    <s v="VID100199"/>
    <s v="23-06-2022"/>
    <s v="27-06-2022"/>
    <x v="0"/>
    <s v="CUST-1199"/>
    <s v="Sneha Reddy"/>
    <x v="1"/>
    <s v="India"/>
    <x v="0"/>
    <s v="Delhi"/>
    <n v="477221"/>
    <x v="0"/>
    <s v="PROD-2199"/>
    <x v="1"/>
    <x v="2"/>
    <s v="Samsung Galaxy"/>
    <n v="5325.11"/>
    <x v="0"/>
    <n v="5325.11"/>
    <e v="#N/A"/>
    <n v="4"/>
    <n v="0"/>
    <n v="426.01"/>
    <x v="2"/>
    <x v="3"/>
    <x v="24"/>
  </r>
  <r>
    <n v="200"/>
    <s v="VID100200"/>
    <s v="29-08-2021"/>
    <s v="04-09-2021"/>
    <x v="0"/>
    <s v="CUST-1200"/>
    <s v="Ananya Mishra"/>
    <x v="2"/>
    <s v="India"/>
    <x v="2"/>
    <s v="West Bengal"/>
    <n v="646040"/>
    <x v="2"/>
    <s v="PROD-2200"/>
    <x v="2"/>
    <x v="3"/>
    <s v="A4 Paper"/>
    <n v="96665.49"/>
    <x v="0"/>
    <n v="96665.49"/>
    <e v="#N/A"/>
    <n v="10"/>
    <n v="0.3"/>
    <n v="483.33"/>
    <x v="0"/>
    <x v="2"/>
    <x v="19"/>
  </r>
  <r>
    <n v="201"/>
    <s v="VID100201"/>
    <s v="22-06-2025"/>
    <s v="23-06-2025"/>
    <x v="1"/>
    <s v="CUST-1201"/>
    <s v="Rohan Das"/>
    <x v="1"/>
    <s v="India"/>
    <x v="1"/>
    <s v="Karnataka"/>
    <n v="769652"/>
    <x v="1"/>
    <s v="PROD-2201"/>
    <x v="0"/>
    <x v="0"/>
    <s v="Office Chair"/>
    <n v="61900.44"/>
    <x v="0"/>
    <n v="61900.44"/>
    <e v="#N/A"/>
    <n v="7"/>
    <n v="0.3"/>
    <n v="309.5"/>
    <x v="4"/>
    <x v="3"/>
    <x v="2"/>
  </r>
  <r>
    <n v="202"/>
    <s v="VID100202"/>
    <s v="25-07-2024"/>
    <s v="01-08-2024"/>
    <x v="0"/>
    <s v="CUST-1202"/>
    <s v="Amit Verma"/>
    <x v="1"/>
    <s v="India"/>
    <x v="3"/>
    <s v="Gujarat"/>
    <n v="192478"/>
    <x v="3"/>
    <s v="PROD-2202"/>
    <x v="2"/>
    <x v="3"/>
    <s v="A4 Paper"/>
    <n v="21065.11"/>
    <x v="0"/>
    <n v="21065.11"/>
    <e v="#N/A"/>
    <n v="10"/>
    <n v="0.1"/>
    <n v="1158.58"/>
    <x v="1"/>
    <x v="6"/>
    <x v="17"/>
  </r>
  <r>
    <n v="203"/>
    <s v="VID100203"/>
    <s v="01-04-2022"/>
    <s v="05-04-2022"/>
    <x v="2"/>
    <s v="CUST-1203"/>
    <s v="Rahul Joshi"/>
    <x v="1"/>
    <s v="India"/>
    <x v="1"/>
    <s v="Karnataka"/>
    <n v="571909"/>
    <x v="1"/>
    <s v="PROD-2203"/>
    <x v="1"/>
    <x v="1"/>
    <s v="Dell Inspiron"/>
    <n v="59049.55"/>
    <x v="0"/>
    <n v="59049.55"/>
    <e v="#N/A"/>
    <n v="7"/>
    <n v="0"/>
    <n v="4723.96"/>
    <x v="2"/>
    <x v="4"/>
    <x v="11"/>
  </r>
  <r>
    <n v="204"/>
    <s v="VID100204"/>
    <s v="28-12-2025"/>
    <s v="04-01-2026"/>
    <x v="2"/>
    <s v="CUST-1204"/>
    <s v="Rohan Das"/>
    <x v="0"/>
    <s v="India"/>
    <x v="4"/>
    <s v="Maharashtra"/>
    <n v="638157"/>
    <x v="3"/>
    <s v="PROD-2204"/>
    <x v="1"/>
    <x v="2"/>
    <s v="Samsung Galaxy"/>
    <n v="15568.03"/>
    <x v="0"/>
    <n v="15568.03"/>
    <e v="#N/A"/>
    <n v="10"/>
    <n v="0.2"/>
    <n v="467.04"/>
    <x v="4"/>
    <x v="1"/>
    <x v="13"/>
  </r>
  <r>
    <n v="205"/>
    <s v="VID100205"/>
    <s v="02-05-2022"/>
    <s v="03-05-2022"/>
    <x v="1"/>
    <s v="CUST-1205"/>
    <s v="Sneha Reddy"/>
    <x v="1"/>
    <s v="India"/>
    <x v="4"/>
    <s v="Maharashtra"/>
    <n v="599783"/>
    <x v="3"/>
    <s v="PROD-2205"/>
    <x v="2"/>
    <x v="3"/>
    <s v="A4 Paper"/>
    <n v="80701.37"/>
    <x v="0"/>
    <n v="80701.37"/>
    <e v="#N/A"/>
    <n v="1"/>
    <n v="0"/>
    <n v="6456.11"/>
    <x v="2"/>
    <x v="0"/>
    <x v="10"/>
  </r>
  <r>
    <n v="206"/>
    <s v="VID100206"/>
    <s v="21-08-2025"/>
    <s v="28-08-2025"/>
    <x v="0"/>
    <s v="CUST-1206"/>
    <s v="Sneha Reddy"/>
    <x v="0"/>
    <s v="India"/>
    <x v="4"/>
    <s v="Maharashtra"/>
    <n v="505448"/>
    <x v="3"/>
    <s v="PROD-2206"/>
    <x v="0"/>
    <x v="0"/>
    <s v="Office Chair"/>
    <n v="54770.77"/>
    <x v="0"/>
    <n v="54770.77"/>
    <e v="#N/A"/>
    <n v="6"/>
    <n v="0.3"/>
    <n v="273.85000000000002"/>
    <x v="4"/>
    <x v="2"/>
    <x v="26"/>
  </r>
  <r>
    <n v="207"/>
    <s v="VID100207"/>
    <s v="29-06-2023"/>
    <s v="04-07-2023"/>
    <x v="3"/>
    <s v="CUST-1207"/>
    <s v="Rahul Joshi"/>
    <x v="0"/>
    <s v="India"/>
    <x v="1"/>
    <s v="Karnataka"/>
    <n v="598055"/>
    <x v="1"/>
    <s v="PROD-2207"/>
    <x v="1"/>
    <x v="1"/>
    <s v="Dell Inspiron"/>
    <n v="44723.7"/>
    <x v="0"/>
    <n v="44723.7"/>
    <e v="#N/A"/>
    <n v="6"/>
    <n v="0.3"/>
    <n v="223.62"/>
    <x v="3"/>
    <x v="3"/>
    <x v="19"/>
  </r>
  <r>
    <n v="208"/>
    <s v="VID100208"/>
    <s v="12-05-2021"/>
    <s v="15-05-2021"/>
    <x v="0"/>
    <s v="CUST-1208"/>
    <s v="Aarav Sharma"/>
    <x v="0"/>
    <s v="India"/>
    <x v="3"/>
    <s v="Gujarat"/>
    <n v="259865"/>
    <x v="3"/>
    <s v="PROD-2208"/>
    <x v="1"/>
    <x v="1"/>
    <s v="Dell Inspiron"/>
    <n v="31931.21"/>
    <x v="0"/>
    <n v="31931.21"/>
    <e v="#N/A"/>
    <n v="4"/>
    <n v="0.3"/>
    <n v="159.66"/>
    <x v="0"/>
    <x v="0"/>
    <x v="1"/>
  </r>
  <r>
    <n v="209"/>
    <s v="VID100209"/>
    <s v="02-07-2025"/>
    <s v="05-07-2025"/>
    <x v="2"/>
    <s v="CUST-1209"/>
    <s v="Rohan Das"/>
    <x v="2"/>
    <s v="India"/>
    <x v="1"/>
    <s v="Karnataka"/>
    <n v="498794"/>
    <x v="1"/>
    <s v="PROD-2209"/>
    <x v="2"/>
    <x v="3"/>
    <s v="A4 Paper"/>
    <n v="52141.61"/>
    <x v="0"/>
    <n v="52141.61"/>
    <e v="#N/A"/>
    <n v="6"/>
    <n v="0.2"/>
    <n v="1564.25"/>
    <x v="4"/>
    <x v="6"/>
    <x v="10"/>
  </r>
  <r>
    <n v="210"/>
    <s v="VID100210"/>
    <s v="20-12-2021"/>
    <s v="26-12-2021"/>
    <x v="1"/>
    <s v="CUST-1210"/>
    <s v="Ananya Mishra"/>
    <x v="1"/>
    <s v="India"/>
    <x v="0"/>
    <s v="Delhi"/>
    <n v="998331"/>
    <x v="0"/>
    <s v="PROD-2210"/>
    <x v="0"/>
    <x v="0"/>
    <s v="Office Chair"/>
    <n v="64726.66"/>
    <x v="0"/>
    <n v="64726.66"/>
    <e v="#N/A"/>
    <n v="4"/>
    <n v="0.2"/>
    <n v="1941.8"/>
    <x v="0"/>
    <x v="1"/>
    <x v="0"/>
  </r>
  <r>
    <n v="211"/>
    <s v="VID100211"/>
    <s v="22-12-2022"/>
    <s v="24-12-2022"/>
    <x v="1"/>
    <s v="CUST-1211"/>
    <s v="Rahul Joshi"/>
    <x v="2"/>
    <s v="India"/>
    <x v="3"/>
    <s v="Gujarat"/>
    <n v="146820"/>
    <x v="3"/>
    <s v="PROD-2211"/>
    <x v="0"/>
    <x v="0"/>
    <s v="Office Chair"/>
    <n v="50750.37"/>
    <x v="0"/>
    <n v="50750.37"/>
    <e v="#N/A"/>
    <n v="9"/>
    <n v="0.3"/>
    <n v="253.75"/>
    <x v="2"/>
    <x v="1"/>
    <x v="2"/>
  </r>
  <r>
    <n v="212"/>
    <s v="VID100212"/>
    <s v="26-03-2023"/>
    <s v="27-03-2023"/>
    <x v="1"/>
    <s v="CUST-1212"/>
    <s v="Vikram Singh"/>
    <x v="2"/>
    <s v="India"/>
    <x v="2"/>
    <s v="West Bengal"/>
    <n v="364801"/>
    <x v="2"/>
    <s v="PROD-2212"/>
    <x v="1"/>
    <x v="1"/>
    <s v="Dell Inspiron"/>
    <n v="23428.240000000002"/>
    <x v="0"/>
    <n v="23428.240000000002"/>
    <e v="#N/A"/>
    <n v="2"/>
    <n v="0.1"/>
    <n v="1288.55"/>
    <x v="3"/>
    <x v="5"/>
    <x v="21"/>
  </r>
  <r>
    <n v="213"/>
    <s v="VID100213"/>
    <s v="31-03-2024"/>
    <s v="06-04-2024"/>
    <x v="0"/>
    <s v="CUST-1213"/>
    <s v="Sneha Reddy"/>
    <x v="1"/>
    <s v="India"/>
    <x v="4"/>
    <s v="Maharashtra"/>
    <n v="186312"/>
    <x v="3"/>
    <s v="PROD-2213"/>
    <x v="2"/>
    <x v="3"/>
    <s v="A4 Paper"/>
    <n v="83112.679999999993"/>
    <x v="0"/>
    <n v="83112.679999999993"/>
    <e v="#N/A"/>
    <n v="5"/>
    <n v="0.3"/>
    <n v="415.56"/>
    <x v="1"/>
    <x v="5"/>
    <x v="4"/>
  </r>
  <r>
    <n v="214"/>
    <s v="VID100214"/>
    <s v="24-05-2023"/>
    <s v="26-05-2023"/>
    <x v="1"/>
    <s v="CUST-1214"/>
    <s v="Rahul Joshi"/>
    <x v="0"/>
    <s v="India"/>
    <x v="3"/>
    <s v="Gujarat"/>
    <n v="229384"/>
    <x v="3"/>
    <s v="PROD-2214"/>
    <x v="0"/>
    <x v="0"/>
    <s v="Office Chair"/>
    <n v="33864.14"/>
    <x v="0"/>
    <n v="33864.14"/>
    <e v="#N/A"/>
    <n v="6"/>
    <n v="0"/>
    <n v="2709.13"/>
    <x v="3"/>
    <x v="0"/>
    <x v="14"/>
  </r>
  <r>
    <n v="215"/>
    <s v="VID100215"/>
    <s v="01-05-2022"/>
    <s v="04-05-2022"/>
    <x v="2"/>
    <s v="CUST-1215"/>
    <s v="Rohan Das"/>
    <x v="1"/>
    <s v="India"/>
    <x v="0"/>
    <s v="Delhi"/>
    <n v="714017"/>
    <x v="0"/>
    <s v="PROD-2215"/>
    <x v="1"/>
    <x v="2"/>
    <s v="Samsung Galaxy"/>
    <n v="58403.01"/>
    <x v="0"/>
    <n v="58403.01"/>
    <e v="#N/A"/>
    <n v="2"/>
    <n v="0"/>
    <n v="4672.24"/>
    <x v="2"/>
    <x v="0"/>
    <x v="11"/>
  </r>
  <r>
    <n v="216"/>
    <s v="VID100216"/>
    <s v="25-07-2024"/>
    <s v="29-07-2024"/>
    <x v="1"/>
    <s v="CUST-1216"/>
    <s v="Rohan Das"/>
    <x v="2"/>
    <s v="India"/>
    <x v="4"/>
    <s v="Maharashtra"/>
    <n v="594653"/>
    <x v="3"/>
    <s v="PROD-2216"/>
    <x v="0"/>
    <x v="0"/>
    <s v="Office Chair"/>
    <n v="96092.79"/>
    <x v="0"/>
    <n v="96092.79"/>
    <e v="#N/A"/>
    <n v="9"/>
    <n v="0.1"/>
    <n v="5285.1"/>
    <x v="1"/>
    <x v="6"/>
    <x v="17"/>
  </r>
  <r>
    <n v="217"/>
    <s v="VID100217"/>
    <s v="06-12-2023"/>
    <s v="13-12-2023"/>
    <x v="3"/>
    <s v="CUST-1217"/>
    <s v="Aarav Sharma"/>
    <x v="1"/>
    <s v="India"/>
    <x v="2"/>
    <s v="West Bengal"/>
    <n v="279711"/>
    <x v="2"/>
    <s v="PROD-2217"/>
    <x v="0"/>
    <x v="0"/>
    <s v="Office Chair"/>
    <n v="40316.19"/>
    <x v="0"/>
    <n v="40316.19"/>
    <e v="#N/A"/>
    <n v="1"/>
    <n v="0.2"/>
    <n v="1209.49"/>
    <x v="3"/>
    <x v="1"/>
    <x v="15"/>
  </r>
  <r>
    <n v="218"/>
    <s v="VID100218"/>
    <s v="04-02-2022"/>
    <s v="05-02-2022"/>
    <x v="0"/>
    <s v="CUST-1218"/>
    <s v="Rahul Joshi"/>
    <x v="1"/>
    <s v="India"/>
    <x v="4"/>
    <s v="Maharashtra"/>
    <n v="733574"/>
    <x v="3"/>
    <s v="PROD-2218"/>
    <x v="1"/>
    <x v="1"/>
    <s v="Dell Inspiron"/>
    <n v="20075.650000000001"/>
    <x v="0"/>
    <n v="20075.650000000001"/>
    <e v="#N/A"/>
    <n v="2"/>
    <n v="0.3"/>
    <n v="100.38"/>
    <x v="2"/>
    <x v="11"/>
    <x v="22"/>
  </r>
  <r>
    <n v="219"/>
    <s v="VID100219"/>
    <s v="01-04-2022"/>
    <s v="06-04-2022"/>
    <x v="1"/>
    <s v="CUST-1219"/>
    <s v="Diya Nair"/>
    <x v="2"/>
    <s v="India"/>
    <x v="4"/>
    <s v="Maharashtra"/>
    <n v="693757"/>
    <x v="3"/>
    <s v="PROD-2219"/>
    <x v="1"/>
    <x v="1"/>
    <s v="Dell Inspiron"/>
    <n v="83541.97"/>
    <x v="0"/>
    <n v="83541.97"/>
    <e v="#N/A"/>
    <n v="10"/>
    <n v="0"/>
    <n v="6683.36"/>
    <x v="2"/>
    <x v="4"/>
    <x v="11"/>
  </r>
  <r>
    <n v="220"/>
    <s v="VID100220"/>
    <s v="15-02-2025"/>
    <s v="21-02-2025"/>
    <x v="3"/>
    <s v="CUST-1220"/>
    <s v="Amit Verma"/>
    <x v="0"/>
    <s v="India"/>
    <x v="2"/>
    <s v="West Bengal"/>
    <n v="626768"/>
    <x v="2"/>
    <s v="PROD-2220"/>
    <x v="1"/>
    <x v="2"/>
    <s v="Samsung Galaxy"/>
    <n v="76981.320000000007"/>
    <x v="0"/>
    <n v="76981.320000000007"/>
    <e v="#N/A"/>
    <n v="10"/>
    <n v="0.3"/>
    <n v="384.91"/>
    <x v="4"/>
    <x v="11"/>
    <x v="28"/>
  </r>
  <r>
    <n v="221"/>
    <s v="VID100221"/>
    <s v="09-04-2024"/>
    <s v="14-04-2024"/>
    <x v="0"/>
    <s v="CUST-1221"/>
    <s v="Pooja Hegde"/>
    <x v="1"/>
    <s v="India"/>
    <x v="2"/>
    <s v="West Bengal"/>
    <n v="369372"/>
    <x v="2"/>
    <s v="PROD-2221"/>
    <x v="1"/>
    <x v="2"/>
    <s v="Samsung Galaxy"/>
    <n v="45550.9"/>
    <x v="0"/>
    <n v="45550.9"/>
    <e v="#N/A"/>
    <n v="1"/>
    <n v="0"/>
    <n v="3644.07"/>
    <x v="1"/>
    <x v="4"/>
    <x v="18"/>
  </r>
  <r>
    <n v="222"/>
    <s v="VID100222"/>
    <s v="20-05-2024"/>
    <s v="27-05-2024"/>
    <x v="3"/>
    <s v="CUST-1222"/>
    <s v="Priya Patel"/>
    <x v="0"/>
    <s v="India"/>
    <x v="2"/>
    <s v="West Bengal"/>
    <n v="178754"/>
    <x v="2"/>
    <s v="PROD-2222"/>
    <x v="2"/>
    <x v="3"/>
    <s v="A4 Paper"/>
    <n v="73749.399999999994"/>
    <x v="0"/>
    <n v="73749.399999999994"/>
    <e v="#N/A"/>
    <n v="1"/>
    <n v="0"/>
    <n v="5899.95"/>
    <x v="1"/>
    <x v="0"/>
    <x v="0"/>
  </r>
  <r>
    <n v="223"/>
    <s v="VID100223"/>
    <s v="25-11-2022"/>
    <s v="29-11-2022"/>
    <x v="0"/>
    <s v="CUST-1223"/>
    <s v="Aarav Sharma"/>
    <x v="0"/>
    <s v="India"/>
    <x v="1"/>
    <s v="Karnataka"/>
    <n v="385122"/>
    <x v="1"/>
    <s v="PROD-2223"/>
    <x v="0"/>
    <x v="0"/>
    <s v="Office Chair"/>
    <n v="11168.36"/>
    <x v="0"/>
    <n v="11168.36"/>
    <e v="#N/A"/>
    <n v="1"/>
    <n v="0"/>
    <n v="893.47"/>
    <x v="2"/>
    <x v="9"/>
    <x v="17"/>
  </r>
  <r>
    <n v="224"/>
    <s v="VID100224"/>
    <s v="23-06-2025"/>
    <s v="29-06-2025"/>
    <x v="0"/>
    <s v="CUST-1224"/>
    <s v="Priya Patel"/>
    <x v="2"/>
    <s v="India"/>
    <x v="2"/>
    <s v="West Bengal"/>
    <n v="605162"/>
    <x v="2"/>
    <s v="PROD-2224"/>
    <x v="0"/>
    <x v="0"/>
    <s v="Office Chair"/>
    <n v="8123.16"/>
    <x v="0"/>
    <n v="8123.16"/>
    <e v="#N/A"/>
    <n v="10"/>
    <n v="0.1"/>
    <n v="446.77"/>
    <x v="4"/>
    <x v="3"/>
    <x v="24"/>
  </r>
  <r>
    <n v="225"/>
    <s v="VID100225"/>
    <s v="02-05-2025"/>
    <s v="03-05-2025"/>
    <x v="1"/>
    <s v="CUST-1225"/>
    <s v="Sneha Reddy"/>
    <x v="2"/>
    <s v="India"/>
    <x v="0"/>
    <s v="Delhi"/>
    <n v="587895"/>
    <x v="0"/>
    <s v="PROD-2225"/>
    <x v="2"/>
    <x v="3"/>
    <s v="A4 Paper"/>
    <n v="89708.84"/>
    <x v="0"/>
    <n v="89708.84"/>
    <e v="#N/A"/>
    <n v="10"/>
    <n v="0.1"/>
    <n v="4933.99"/>
    <x v="4"/>
    <x v="0"/>
    <x v="10"/>
  </r>
  <r>
    <n v="226"/>
    <s v="VID100226"/>
    <s v="08-11-2022"/>
    <s v="13-11-2022"/>
    <x v="2"/>
    <s v="CUST-1226"/>
    <s v="Diya Nair"/>
    <x v="1"/>
    <s v="India"/>
    <x v="3"/>
    <s v="Gujarat"/>
    <n v="582981"/>
    <x v="3"/>
    <s v="PROD-2226"/>
    <x v="0"/>
    <x v="0"/>
    <s v="Office Chair"/>
    <n v="67161.919999999998"/>
    <x v="0"/>
    <n v="67161.919999999998"/>
    <e v="#N/A"/>
    <n v="10"/>
    <n v="0.3"/>
    <n v="335.81"/>
    <x v="2"/>
    <x v="9"/>
    <x v="3"/>
  </r>
  <r>
    <n v="227"/>
    <s v="VID100227"/>
    <s v="12-06-2021"/>
    <s v="15-06-2021"/>
    <x v="1"/>
    <s v="CUST-1227"/>
    <s v="Rohan Das"/>
    <x v="0"/>
    <s v="India"/>
    <x v="0"/>
    <s v="Delhi"/>
    <n v="874882"/>
    <x v="0"/>
    <s v="PROD-2227"/>
    <x v="2"/>
    <x v="3"/>
    <s v="A4 Paper"/>
    <n v="20510.13"/>
    <x v="0"/>
    <n v="20510.13"/>
    <e v="#N/A"/>
    <n v="7"/>
    <n v="0.2"/>
    <n v="615.29999999999995"/>
    <x v="0"/>
    <x v="3"/>
    <x v="1"/>
  </r>
  <r>
    <n v="228"/>
    <s v="VID100228"/>
    <s v="27-04-2021"/>
    <s v="02-05-2021"/>
    <x v="0"/>
    <s v="CUST-1228"/>
    <s v="Aarav Sharma"/>
    <x v="0"/>
    <s v="India"/>
    <x v="1"/>
    <s v="Karnataka"/>
    <n v="944745"/>
    <x v="1"/>
    <s v="PROD-2228"/>
    <x v="1"/>
    <x v="1"/>
    <s v="Dell Inspiron"/>
    <n v="9961.7800000000007"/>
    <x v="0"/>
    <n v="9961.7800000000007"/>
    <e v="#N/A"/>
    <n v="5"/>
    <n v="0"/>
    <n v="796.94"/>
    <x v="0"/>
    <x v="4"/>
    <x v="7"/>
  </r>
  <r>
    <n v="229"/>
    <s v="VID100229"/>
    <s v="07-05-2025"/>
    <s v="11-05-2025"/>
    <x v="0"/>
    <s v="CUST-1229"/>
    <s v="Aarav Sharma"/>
    <x v="1"/>
    <s v="India"/>
    <x v="2"/>
    <s v="West Bengal"/>
    <n v="605583"/>
    <x v="2"/>
    <s v="PROD-2229"/>
    <x v="1"/>
    <x v="1"/>
    <s v="Dell Inspiron"/>
    <n v="11623.96"/>
    <x v="0"/>
    <n v="11623.96"/>
    <e v="#N/A"/>
    <n v="10"/>
    <n v="0"/>
    <n v="929.92"/>
    <x v="4"/>
    <x v="0"/>
    <x v="8"/>
  </r>
  <r>
    <n v="230"/>
    <s v="VID100230"/>
    <s v="04-09-2022"/>
    <s v="06-09-2022"/>
    <x v="2"/>
    <s v="CUST-1230"/>
    <s v="Rohan Das"/>
    <x v="1"/>
    <s v="India"/>
    <x v="1"/>
    <s v="Karnataka"/>
    <n v="737704"/>
    <x v="1"/>
    <s v="PROD-2230"/>
    <x v="1"/>
    <x v="1"/>
    <s v="Dell Inspiron"/>
    <n v="29676.720000000001"/>
    <x v="0"/>
    <n v="29676.720000000001"/>
    <e v="#N/A"/>
    <n v="6"/>
    <n v="0.1"/>
    <n v="1632.22"/>
    <x v="2"/>
    <x v="10"/>
    <x v="22"/>
  </r>
  <r>
    <n v="231"/>
    <s v="VID100231"/>
    <s v="17-02-2021"/>
    <s v="24-02-2021"/>
    <x v="2"/>
    <s v="CUST-1231"/>
    <s v="Rahul Joshi"/>
    <x v="0"/>
    <s v="India"/>
    <x v="1"/>
    <s v="Karnataka"/>
    <n v="643011"/>
    <x v="1"/>
    <s v="PROD-2231"/>
    <x v="1"/>
    <x v="2"/>
    <s v="Samsung Galaxy"/>
    <n v="26351.48"/>
    <x v="0"/>
    <n v="26351.48"/>
    <e v="#N/A"/>
    <n v="7"/>
    <n v="0.3"/>
    <n v="131.76"/>
    <x v="0"/>
    <x v="11"/>
    <x v="29"/>
  </r>
  <r>
    <n v="232"/>
    <s v="VID100232"/>
    <s v="18-03-2024"/>
    <s v="23-03-2024"/>
    <x v="0"/>
    <s v="CUST-1232"/>
    <s v="Diya Nair"/>
    <x v="0"/>
    <s v="India"/>
    <x v="2"/>
    <s v="West Bengal"/>
    <n v="394698"/>
    <x v="2"/>
    <s v="PROD-2232"/>
    <x v="0"/>
    <x v="0"/>
    <s v="Office Chair"/>
    <n v="13129.21"/>
    <x v="0"/>
    <n v="13129.21"/>
    <e v="#N/A"/>
    <n v="6"/>
    <n v="0.1"/>
    <n v="722.11"/>
    <x v="1"/>
    <x v="5"/>
    <x v="12"/>
  </r>
  <r>
    <n v="233"/>
    <s v="VID100233"/>
    <s v="14-02-2024"/>
    <s v="21-02-2024"/>
    <x v="0"/>
    <s v="CUST-1233"/>
    <s v="Diya Nair"/>
    <x v="2"/>
    <s v="India"/>
    <x v="2"/>
    <s v="West Bengal"/>
    <n v="627611"/>
    <x v="2"/>
    <s v="PROD-2233"/>
    <x v="2"/>
    <x v="3"/>
    <s v="A4 Paper"/>
    <n v="31550.12"/>
    <x v="0"/>
    <n v="31550.12"/>
    <e v="#N/A"/>
    <n v="10"/>
    <n v="0.3"/>
    <n v="157.75"/>
    <x v="1"/>
    <x v="11"/>
    <x v="6"/>
  </r>
  <r>
    <n v="234"/>
    <s v="VID100234"/>
    <s v="24-09-2023"/>
    <s v="28-09-2023"/>
    <x v="0"/>
    <s v="CUST-1234"/>
    <s v="Ananya Mishra"/>
    <x v="2"/>
    <s v="India"/>
    <x v="2"/>
    <s v="West Bengal"/>
    <n v="993312"/>
    <x v="2"/>
    <s v="PROD-2234"/>
    <x v="1"/>
    <x v="1"/>
    <s v="Dell Inspiron"/>
    <n v="61954.46"/>
    <x v="0"/>
    <n v="61954.46"/>
    <e v="#N/A"/>
    <n v="3"/>
    <n v="0.2"/>
    <n v="1858.63"/>
    <x v="3"/>
    <x v="10"/>
    <x v="14"/>
  </r>
  <r>
    <n v="235"/>
    <s v="VID100235"/>
    <s v="31-10-2024"/>
    <s v="03-11-2024"/>
    <x v="2"/>
    <s v="CUST-1235"/>
    <s v="Pooja Hegde"/>
    <x v="0"/>
    <s v="India"/>
    <x v="0"/>
    <s v="Delhi"/>
    <n v="300603"/>
    <x v="0"/>
    <s v="PROD-2235"/>
    <x v="1"/>
    <x v="1"/>
    <s v="Dell Inspiron"/>
    <n v="24359.15"/>
    <x v="0"/>
    <n v="24359.15"/>
    <e v="#N/A"/>
    <n v="3"/>
    <n v="0"/>
    <n v="1948.73"/>
    <x v="1"/>
    <x v="7"/>
    <x v="4"/>
  </r>
  <r>
    <n v="236"/>
    <s v="VID100236"/>
    <s v="10-02-2024"/>
    <s v="15-02-2024"/>
    <x v="2"/>
    <s v="CUST-1236"/>
    <s v="Aarav Sharma"/>
    <x v="2"/>
    <s v="India"/>
    <x v="3"/>
    <s v="Gujarat"/>
    <n v="607297"/>
    <x v="3"/>
    <s v="PROD-2236"/>
    <x v="1"/>
    <x v="1"/>
    <s v="Dell Inspiron"/>
    <n v="27628.78"/>
    <x v="0"/>
    <n v="27628.78"/>
    <e v="#N/A"/>
    <n v="7"/>
    <n v="0.1"/>
    <n v="1519.58"/>
    <x v="1"/>
    <x v="11"/>
    <x v="5"/>
  </r>
  <r>
    <n v="237"/>
    <s v="VID100237"/>
    <s v="19-04-2024"/>
    <s v="25-04-2024"/>
    <x v="1"/>
    <s v="CUST-1237"/>
    <s v="Priya Patel"/>
    <x v="0"/>
    <s v="India"/>
    <x v="0"/>
    <s v="Delhi"/>
    <n v="150523"/>
    <x v="0"/>
    <s v="PROD-2237"/>
    <x v="1"/>
    <x v="2"/>
    <s v="Samsung Galaxy"/>
    <n v="39596.33"/>
    <x v="0"/>
    <n v="39596.33"/>
    <e v="#N/A"/>
    <n v="10"/>
    <n v="0.2"/>
    <n v="1187.8900000000001"/>
    <x v="1"/>
    <x v="4"/>
    <x v="27"/>
  </r>
  <r>
    <n v="238"/>
    <s v="VID100238"/>
    <s v="07-05-2021"/>
    <s v="14-05-2021"/>
    <x v="2"/>
    <s v="CUST-1238"/>
    <s v="Rohan Das"/>
    <x v="1"/>
    <s v="India"/>
    <x v="3"/>
    <s v="Gujarat"/>
    <n v="987154"/>
    <x v="3"/>
    <s v="PROD-2238"/>
    <x v="1"/>
    <x v="2"/>
    <s v="Samsung Galaxy"/>
    <n v="96404.79"/>
    <x v="0"/>
    <n v="96404.79"/>
    <e v="#N/A"/>
    <n v="10"/>
    <n v="0.2"/>
    <n v="2892.14"/>
    <x v="0"/>
    <x v="0"/>
    <x v="8"/>
  </r>
  <r>
    <n v="239"/>
    <s v="VID100239"/>
    <s v="09-06-2023"/>
    <s v="10-06-2023"/>
    <x v="2"/>
    <s v="CUST-1239"/>
    <s v="Pooja Hegde"/>
    <x v="2"/>
    <s v="India"/>
    <x v="1"/>
    <s v="Karnataka"/>
    <n v="113670"/>
    <x v="1"/>
    <s v="PROD-2239"/>
    <x v="1"/>
    <x v="1"/>
    <s v="Dell Inspiron"/>
    <n v="85333.9"/>
    <x v="0"/>
    <n v="85333.9"/>
    <e v="#N/A"/>
    <n v="3"/>
    <n v="0"/>
    <n v="6826.71"/>
    <x v="3"/>
    <x v="3"/>
    <x v="18"/>
  </r>
  <r>
    <n v="240"/>
    <s v="VID100240"/>
    <s v="06-03-2025"/>
    <s v="12-03-2025"/>
    <x v="0"/>
    <s v="CUST-1240"/>
    <s v="Sneha Reddy"/>
    <x v="2"/>
    <s v="India"/>
    <x v="3"/>
    <s v="Gujarat"/>
    <n v="998936"/>
    <x v="3"/>
    <s v="PROD-2240"/>
    <x v="0"/>
    <x v="0"/>
    <s v="Office Chair"/>
    <n v="91639.44"/>
    <x v="0"/>
    <n v="91639.44"/>
    <e v="#N/A"/>
    <n v="1"/>
    <n v="0.3"/>
    <n v="458.2"/>
    <x v="4"/>
    <x v="5"/>
    <x v="15"/>
  </r>
  <r>
    <n v="241"/>
    <s v="VID100241"/>
    <s v="17-01-2021"/>
    <s v="18-01-2021"/>
    <x v="2"/>
    <s v="CUST-1241"/>
    <s v="Aarav Sharma"/>
    <x v="0"/>
    <s v="India"/>
    <x v="2"/>
    <s v="West Bengal"/>
    <n v="904160"/>
    <x v="2"/>
    <s v="PROD-2241"/>
    <x v="0"/>
    <x v="0"/>
    <s v="Office Chair"/>
    <n v="684.93"/>
    <x v="0"/>
    <n v="684.93"/>
    <e v="#N/A"/>
    <n v="8"/>
    <n v="0.3"/>
    <n v="3.42"/>
    <x v="0"/>
    <x v="8"/>
    <x v="29"/>
  </r>
  <r>
    <n v="242"/>
    <s v="VID100242"/>
    <s v="14-08-2025"/>
    <s v="19-08-2025"/>
    <x v="2"/>
    <s v="CUST-1242"/>
    <s v="Rohan Das"/>
    <x v="1"/>
    <s v="India"/>
    <x v="4"/>
    <s v="Maharashtra"/>
    <n v="275626"/>
    <x v="3"/>
    <s v="PROD-2242"/>
    <x v="1"/>
    <x v="2"/>
    <s v="Samsung Galaxy"/>
    <n v="19484.7"/>
    <x v="0"/>
    <n v="19484.7"/>
    <e v="#N/A"/>
    <n v="7"/>
    <n v="0"/>
    <n v="1558.78"/>
    <x v="4"/>
    <x v="2"/>
    <x v="6"/>
  </r>
  <r>
    <n v="243"/>
    <s v="VID100243"/>
    <s v="04-04-2025"/>
    <s v="09-04-2025"/>
    <x v="1"/>
    <s v="CUST-1243"/>
    <s v="Aarav Sharma"/>
    <x v="2"/>
    <s v="India"/>
    <x v="2"/>
    <s v="West Bengal"/>
    <n v="213052"/>
    <x v="2"/>
    <s v="PROD-2243"/>
    <x v="1"/>
    <x v="1"/>
    <s v="Dell Inspiron"/>
    <n v="73933.259999999995"/>
    <x v="0"/>
    <n v="73933.259999999995"/>
    <e v="#N/A"/>
    <n v="5"/>
    <n v="0.3"/>
    <n v="369.67"/>
    <x v="4"/>
    <x v="4"/>
    <x v="22"/>
  </r>
  <r>
    <n v="244"/>
    <s v="VID100244"/>
    <s v="13-09-2021"/>
    <s v="15-09-2021"/>
    <x v="2"/>
    <s v="CUST-1244"/>
    <s v="Pooja Hegde"/>
    <x v="2"/>
    <s v="India"/>
    <x v="3"/>
    <s v="Gujarat"/>
    <n v="961112"/>
    <x v="3"/>
    <s v="PROD-2244"/>
    <x v="1"/>
    <x v="1"/>
    <s v="Dell Inspiron"/>
    <n v="70775.58"/>
    <x v="0"/>
    <n v="70775.58"/>
    <e v="#N/A"/>
    <n v="5"/>
    <n v="0"/>
    <n v="5662.05"/>
    <x v="0"/>
    <x v="10"/>
    <x v="30"/>
  </r>
  <r>
    <n v="245"/>
    <s v="VID100245"/>
    <s v="27-10-2025"/>
    <s v="30-10-2025"/>
    <x v="3"/>
    <s v="CUST-1245"/>
    <s v="Amit Verma"/>
    <x v="2"/>
    <s v="India"/>
    <x v="4"/>
    <s v="Maharashtra"/>
    <n v="890887"/>
    <x v="3"/>
    <s v="PROD-2245"/>
    <x v="1"/>
    <x v="2"/>
    <s v="Samsung Galaxy"/>
    <n v="81847.98"/>
    <x v="0"/>
    <n v="81847.98"/>
    <e v="#N/A"/>
    <n v="6"/>
    <n v="0"/>
    <n v="6547.84"/>
    <x v="4"/>
    <x v="7"/>
    <x v="7"/>
  </r>
  <r>
    <n v="246"/>
    <s v="VID100246"/>
    <s v="11-06-2021"/>
    <s v="13-06-2021"/>
    <x v="2"/>
    <s v="CUST-1246"/>
    <s v="Rohan Das"/>
    <x v="0"/>
    <s v="India"/>
    <x v="1"/>
    <s v="Karnataka"/>
    <n v="894883"/>
    <x v="1"/>
    <s v="PROD-2246"/>
    <x v="1"/>
    <x v="2"/>
    <s v="Samsung Galaxy"/>
    <n v="26098.43"/>
    <x v="0"/>
    <n v="26098.43"/>
    <e v="#N/A"/>
    <n v="5"/>
    <n v="0.3"/>
    <n v="130.49"/>
    <x v="0"/>
    <x v="3"/>
    <x v="23"/>
  </r>
  <r>
    <n v="247"/>
    <s v="VID100247"/>
    <s v="02-08-2025"/>
    <s v="08-08-2025"/>
    <x v="1"/>
    <s v="CUST-1247"/>
    <s v="Amit Verma"/>
    <x v="2"/>
    <s v="India"/>
    <x v="4"/>
    <s v="Maharashtra"/>
    <n v="979800"/>
    <x v="3"/>
    <s v="PROD-2247"/>
    <x v="0"/>
    <x v="0"/>
    <s v="Office Chair"/>
    <n v="41377.910000000003"/>
    <x v="0"/>
    <n v="41377.910000000003"/>
    <e v="#N/A"/>
    <n v="4"/>
    <n v="0.2"/>
    <n v="1241.3399999999999"/>
    <x v="4"/>
    <x v="2"/>
    <x v="10"/>
  </r>
  <r>
    <n v="248"/>
    <s v="VID100248"/>
    <s v="10-09-2024"/>
    <s v="13-09-2024"/>
    <x v="0"/>
    <s v="CUST-1248"/>
    <s v="Pooja Hegde"/>
    <x v="1"/>
    <s v="India"/>
    <x v="0"/>
    <s v="Delhi"/>
    <n v="160997"/>
    <x v="0"/>
    <s v="PROD-2248"/>
    <x v="1"/>
    <x v="1"/>
    <s v="Dell Inspiron"/>
    <n v="13286.11"/>
    <x v="0"/>
    <n v="13286.11"/>
    <e v="#N/A"/>
    <n v="2"/>
    <n v="0.1"/>
    <n v="730.74"/>
    <x v="1"/>
    <x v="10"/>
    <x v="5"/>
  </r>
  <r>
    <n v="249"/>
    <s v="VID100249"/>
    <s v="09-06-2024"/>
    <s v="12-06-2024"/>
    <x v="1"/>
    <s v="CUST-1249"/>
    <s v="Priya Patel"/>
    <x v="1"/>
    <s v="India"/>
    <x v="4"/>
    <s v="Maharashtra"/>
    <n v="865984"/>
    <x v="3"/>
    <s v="PROD-2249"/>
    <x v="0"/>
    <x v="0"/>
    <s v="Office Chair"/>
    <n v="43423.7"/>
    <x v="0"/>
    <n v="43423.7"/>
    <e v="#N/A"/>
    <n v="1"/>
    <n v="0.2"/>
    <n v="1302.71"/>
    <x v="1"/>
    <x v="3"/>
    <x v="18"/>
  </r>
  <r>
    <n v="250"/>
    <s v="VID100250"/>
    <s v="23-02-2022"/>
    <s v="24-02-2022"/>
    <x v="1"/>
    <s v="CUST-1250"/>
    <s v="Sneha Reddy"/>
    <x v="1"/>
    <s v="India"/>
    <x v="3"/>
    <s v="Gujarat"/>
    <n v="140188"/>
    <x v="3"/>
    <s v="PROD-2250"/>
    <x v="1"/>
    <x v="2"/>
    <s v="Samsung Galaxy"/>
    <n v="9763.9599999999991"/>
    <x v="0"/>
    <n v="9763.9599999999991"/>
    <e v="#N/A"/>
    <n v="6"/>
    <n v="0"/>
    <n v="781.12"/>
    <x v="2"/>
    <x v="11"/>
    <x v="24"/>
  </r>
  <r>
    <n v="251"/>
    <s v="VID100251"/>
    <s v="07-04-2024"/>
    <s v="09-04-2024"/>
    <x v="0"/>
    <s v="CUST-1251"/>
    <s v="Ananya Mishra"/>
    <x v="1"/>
    <s v="India"/>
    <x v="2"/>
    <s v="West Bengal"/>
    <n v="182847"/>
    <x v="2"/>
    <s v="PROD-2251"/>
    <x v="1"/>
    <x v="2"/>
    <s v="Samsung Galaxy"/>
    <n v="94742.73"/>
    <x v="0"/>
    <n v="94742.73"/>
    <e v="#N/A"/>
    <n v="8"/>
    <n v="0"/>
    <n v="7579.42"/>
    <x v="1"/>
    <x v="4"/>
    <x v="8"/>
  </r>
  <r>
    <n v="252"/>
    <s v="VID100252"/>
    <s v="20-05-2023"/>
    <s v="23-05-2023"/>
    <x v="3"/>
    <s v="CUST-1252"/>
    <s v="Vikram Singh"/>
    <x v="1"/>
    <s v="India"/>
    <x v="3"/>
    <s v="Gujarat"/>
    <n v="974117"/>
    <x v="3"/>
    <s v="PROD-2252"/>
    <x v="0"/>
    <x v="0"/>
    <s v="Office Chair"/>
    <n v="21698.3"/>
    <x v="0"/>
    <n v="21698.3"/>
    <e v="#N/A"/>
    <n v="8"/>
    <n v="0.1"/>
    <n v="1193.4100000000001"/>
    <x v="3"/>
    <x v="0"/>
    <x v="0"/>
  </r>
  <r>
    <n v="253"/>
    <s v="VID100253"/>
    <s v="09-02-2021"/>
    <s v="13-02-2021"/>
    <x v="2"/>
    <s v="CUST-1253"/>
    <s v="Vikram Singh"/>
    <x v="1"/>
    <s v="India"/>
    <x v="0"/>
    <s v="Delhi"/>
    <n v="679836"/>
    <x v="0"/>
    <s v="PROD-2253"/>
    <x v="0"/>
    <x v="0"/>
    <s v="Office Chair"/>
    <n v="18033.38"/>
    <x v="0"/>
    <n v="18033.38"/>
    <e v="#N/A"/>
    <n v="3"/>
    <n v="0"/>
    <n v="1442.67"/>
    <x v="0"/>
    <x v="11"/>
    <x v="18"/>
  </r>
  <r>
    <n v="254"/>
    <s v="VID100254"/>
    <s v="01-05-2023"/>
    <s v="03-05-2023"/>
    <x v="0"/>
    <s v="CUST-1254"/>
    <s v="Pooja Hegde"/>
    <x v="2"/>
    <s v="India"/>
    <x v="1"/>
    <s v="Karnataka"/>
    <n v="328620"/>
    <x v="1"/>
    <s v="PROD-2254"/>
    <x v="1"/>
    <x v="2"/>
    <s v="Samsung Galaxy"/>
    <n v="4182.72"/>
    <x v="0"/>
    <n v="4182.72"/>
    <e v="#N/A"/>
    <n v="6"/>
    <n v="0.1"/>
    <n v="230.05"/>
    <x v="3"/>
    <x v="0"/>
    <x v="11"/>
  </r>
  <r>
    <n v="255"/>
    <s v="VID100255"/>
    <s v="27-03-2022"/>
    <s v="02-04-2022"/>
    <x v="0"/>
    <s v="CUST-1255"/>
    <s v="Rahul Joshi"/>
    <x v="1"/>
    <s v="India"/>
    <x v="0"/>
    <s v="Delhi"/>
    <n v="796422"/>
    <x v="0"/>
    <s v="PROD-2255"/>
    <x v="1"/>
    <x v="1"/>
    <s v="Dell Inspiron"/>
    <n v="63409.82"/>
    <x v="0"/>
    <n v="63409.82"/>
    <e v="#N/A"/>
    <n v="3"/>
    <n v="0.1"/>
    <n v="3487.54"/>
    <x v="2"/>
    <x v="5"/>
    <x v="7"/>
  </r>
  <r>
    <n v="256"/>
    <s v="VID100256"/>
    <s v="01-05-2024"/>
    <s v="08-05-2024"/>
    <x v="3"/>
    <s v="CUST-1256"/>
    <s v="Aarav Sharma"/>
    <x v="0"/>
    <s v="India"/>
    <x v="2"/>
    <s v="West Bengal"/>
    <n v="431871"/>
    <x v="2"/>
    <s v="PROD-2256"/>
    <x v="1"/>
    <x v="2"/>
    <s v="Samsung Galaxy"/>
    <n v="94587.83"/>
    <x v="0"/>
    <n v="94587.83"/>
    <e v="#N/A"/>
    <n v="2"/>
    <n v="0.1"/>
    <n v="5202.33"/>
    <x v="1"/>
    <x v="0"/>
    <x v="11"/>
  </r>
  <r>
    <n v="257"/>
    <s v="VID100257"/>
    <s v="08-04-2024"/>
    <s v="11-04-2024"/>
    <x v="0"/>
    <s v="CUST-1257"/>
    <s v="Aarav Sharma"/>
    <x v="2"/>
    <s v="India"/>
    <x v="0"/>
    <s v="Delhi"/>
    <n v="876739"/>
    <x v="0"/>
    <s v="PROD-2257"/>
    <x v="1"/>
    <x v="1"/>
    <s v="Dell Inspiron"/>
    <n v="40250.42"/>
    <x v="0"/>
    <n v="40250.42"/>
    <e v="#N/A"/>
    <n v="4"/>
    <n v="0.3"/>
    <n v="201.25"/>
    <x v="1"/>
    <x v="4"/>
    <x v="3"/>
  </r>
  <r>
    <n v="258"/>
    <s v="VID100258"/>
    <s v="26-03-2024"/>
    <s v="01-04-2024"/>
    <x v="1"/>
    <s v="CUST-1258"/>
    <s v="Diya Nair"/>
    <x v="2"/>
    <s v="India"/>
    <x v="4"/>
    <s v="Maharashtra"/>
    <n v="858721"/>
    <x v="3"/>
    <s v="PROD-2258"/>
    <x v="1"/>
    <x v="1"/>
    <s v="Dell Inspiron"/>
    <n v="94443.47"/>
    <x v="0"/>
    <n v="94443.47"/>
    <e v="#N/A"/>
    <n v="8"/>
    <n v="0.1"/>
    <n v="5194.3900000000003"/>
    <x v="1"/>
    <x v="5"/>
    <x v="21"/>
  </r>
  <r>
    <n v="259"/>
    <s v="VID100259"/>
    <s v="02-07-2021"/>
    <s v="07-07-2021"/>
    <x v="3"/>
    <s v="CUST-1259"/>
    <s v="Amit Verma"/>
    <x v="0"/>
    <s v="India"/>
    <x v="0"/>
    <s v="Delhi"/>
    <n v="243255"/>
    <x v="0"/>
    <s v="PROD-2259"/>
    <x v="1"/>
    <x v="1"/>
    <s v="Dell Inspiron"/>
    <n v="10430.17"/>
    <x v="0"/>
    <n v="10430.17"/>
    <e v="#N/A"/>
    <n v="9"/>
    <n v="0.1"/>
    <n v="573.66"/>
    <x v="0"/>
    <x v="6"/>
    <x v="10"/>
  </r>
  <r>
    <n v="260"/>
    <s v="VID100260"/>
    <s v="01-02-2022"/>
    <s v="04-02-2022"/>
    <x v="1"/>
    <s v="CUST-1260"/>
    <s v="Rahul Joshi"/>
    <x v="2"/>
    <s v="India"/>
    <x v="2"/>
    <s v="West Bengal"/>
    <n v="977657"/>
    <x v="2"/>
    <s v="PROD-2260"/>
    <x v="2"/>
    <x v="3"/>
    <s v="A4 Paper"/>
    <n v="78241.600000000006"/>
    <x v="0"/>
    <n v="78241.600000000006"/>
    <e v="#N/A"/>
    <n v="4"/>
    <n v="0.1"/>
    <n v="4303.29"/>
    <x v="2"/>
    <x v="11"/>
    <x v="11"/>
  </r>
  <r>
    <n v="261"/>
    <s v="VID100261"/>
    <s v="02-03-2025"/>
    <s v="09-03-2025"/>
    <x v="0"/>
    <s v="CUST-1261"/>
    <s v="Aarav Sharma"/>
    <x v="2"/>
    <s v="India"/>
    <x v="2"/>
    <s v="West Bengal"/>
    <n v="293017"/>
    <x v="2"/>
    <s v="PROD-2261"/>
    <x v="0"/>
    <x v="0"/>
    <s v="Office Chair"/>
    <n v="67513.73"/>
    <x v="0"/>
    <n v="67513.73"/>
    <e v="#N/A"/>
    <n v="8"/>
    <n v="0.3"/>
    <n v="337.57"/>
    <x v="4"/>
    <x v="5"/>
    <x v="10"/>
  </r>
  <r>
    <n v="262"/>
    <s v="VID100262"/>
    <s v="27-11-2022"/>
    <s v="01-12-2022"/>
    <x v="1"/>
    <s v="CUST-1262"/>
    <s v="Diya Nair"/>
    <x v="2"/>
    <s v="India"/>
    <x v="3"/>
    <s v="Gujarat"/>
    <n v="113229"/>
    <x v="3"/>
    <s v="PROD-2262"/>
    <x v="1"/>
    <x v="2"/>
    <s v="Samsung Galaxy"/>
    <n v="21658.52"/>
    <x v="0"/>
    <n v="21658.52"/>
    <e v="#N/A"/>
    <n v="9"/>
    <n v="0.3"/>
    <n v="108.29"/>
    <x v="2"/>
    <x v="9"/>
    <x v="7"/>
  </r>
  <r>
    <n v="263"/>
    <s v="VID100263"/>
    <s v="06-02-2024"/>
    <s v="12-02-2024"/>
    <x v="3"/>
    <s v="CUST-1263"/>
    <s v="Vikram Singh"/>
    <x v="2"/>
    <s v="India"/>
    <x v="1"/>
    <s v="Karnataka"/>
    <n v="252956"/>
    <x v="1"/>
    <s v="PROD-2263"/>
    <x v="0"/>
    <x v="0"/>
    <s v="Office Chair"/>
    <n v="38164.660000000003"/>
    <x v="0"/>
    <n v="38164.660000000003"/>
    <e v="#N/A"/>
    <n v="7"/>
    <n v="0.2"/>
    <n v="1144.94"/>
    <x v="1"/>
    <x v="11"/>
    <x v="15"/>
  </r>
  <r>
    <n v="264"/>
    <s v="VID100264"/>
    <s v="10-09-2021"/>
    <s v="11-09-2021"/>
    <x v="1"/>
    <s v="CUST-1264"/>
    <s v="Diya Nair"/>
    <x v="1"/>
    <s v="India"/>
    <x v="1"/>
    <s v="Karnataka"/>
    <n v="487401"/>
    <x v="1"/>
    <s v="PROD-2264"/>
    <x v="0"/>
    <x v="0"/>
    <s v="Office Chair"/>
    <n v="7231.77"/>
    <x v="0"/>
    <n v="7231.77"/>
    <e v="#N/A"/>
    <n v="9"/>
    <n v="0.3"/>
    <n v="36.159999999999997"/>
    <x v="0"/>
    <x v="10"/>
    <x v="5"/>
  </r>
  <r>
    <n v="265"/>
    <s v="VID100265"/>
    <s v="07-03-2024"/>
    <s v="12-03-2024"/>
    <x v="2"/>
    <s v="CUST-1265"/>
    <s v="Amit Verma"/>
    <x v="2"/>
    <s v="India"/>
    <x v="1"/>
    <s v="Karnataka"/>
    <n v="390075"/>
    <x v="1"/>
    <s v="PROD-2265"/>
    <x v="0"/>
    <x v="0"/>
    <s v="Office Chair"/>
    <n v="67099.839999999997"/>
    <x v="0"/>
    <n v="67099.839999999997"/>
    <e v="#N/A"/>
    <n v="2"/>
    <n v="0.1"/>
    <n v="3690.49"/>
    <x v="1"/>
    <x v="5"/>
    <x v="8"/>
  </r>
  <r>
    <n v="266"/>
    <s v="VID100266"/>
    <s v="31-12-2022"/>
    <s v="04-01-2023"/>
    <x v="0"/>
    <s v="CUST-1266"/>
    <s v="Aarav Sharma"/>
    <x v="2"/>
    <s v="India"/>
    <x v="3"/>
    <s v="Gujarat"/>
    <n v="616989"/>
    <x v="3"/>
    <s v="PROD-2266"/>
    <x v="1"/>
    <x v="1"/>
    <s v="Dell Inspiron"/>
    <n v="16979.900000000001"/>
    <x v="0"/>
    <n v="16979.900000000001"/>
    <e v="#N/A"/>
    <n v="7"/>
    <n v="0.3"/>
    <n v="84.9"/>
    <x v="2"/>
    <x v="1"/>
    <x v="4"/>
  </r>
  <r>
    <n v="267"/>
    <s v="VID100267"/>
    <s v="11-01-2025"/>
    <s v="18-01-2025"/>
    <x v="3"/>
    <s v="CUST-1267"/>
    <s v="Ananya Mishra"/>
    <x v="2"/>
    <s v="India"/>
    <x v="1"/>
    <s v="Karnataka"/>
    <n v="452578"/>
    <x v="1"/>
    <s v="PROD-2267"/>
    <x v="1"/>
    <x v="1"/>
    <s v="Dell Inspiron"/>
    <n v="92809.64"/>
    <x v="0"/>
    <n v="92809.64"/>
    <e v="#N/A"/>
    <n v="6"/>
    <n v="0.2"/>
    <n v="2784.29"/>
    <x v="4"/>
    <x v="8"/>
    <x v="23"/>
  </r>
  <r>
    <n v="268"/>
    <s v="VID100268"/>
    <s v="07-04-2021"/>
    <s v="09-04-2021"/>
    <x v="2"/>
    <s v="CUST-1268"/>
    <s v="Vikram Singh"/>
    <x v="1"/>
    <s v="India"/>
    <x v="3"/>
    <s v="Gujarat"/>
    <n v="756840"/>
    <x v="3"/>
    <s v="PROD-2268"/>
    <x v="1"/>
    <x v="2"/>
    <s v="Samsung Galaxy"/>
    <n v="82922.990000000005"/>
    <x v="0"/>
    <n v="82922.990000000005"/>
    <e v="#N/A"/>
    <n v="2"/>
    <n v="0.3"/>
    <n v="414.61"/>
    <x v="0"/>
    <x v="4"/>
    <x v="8"/>
  </r>
  <r>
    <n v="269"/>
    <s v="VID100269"/>
    <s v="11-04-2021"/>
    <s v="16-04-2021"/>
    <x v="2"/>
    <s v="CUST-1269"/>
    <s v="Aarav Sharma"/>
    <x v="2"/>
    <s v="India"/>
    <x v="2"/>
    <s v="West Bengal"/>
    <n v="972687"/>
    <x v="2"/>
    <s v="PROD-2269"/>
    <x v="1"/>
    <x v="1"/>
    <s v="Dell Inspiron"/>
    <n v="70432.52"/>
    <x v="0"/>
    <n v="70432.52"/>
    <e v="#N/A"/>
    <n v="6"/>
    <n v="0.1"/>
    <n v="3873.79"/>
    <x v="0"/>
    <x v="4"/>
    <x v="23"/>
  </r>
  <r>
    <n v="270"/>
    <s v="VID100270"/>
    <s v="12-07-2021"/>
    <s v="16-07-2021"/>
    <x v="2"/>
    <s v="CUST-1270"/>
    <s v="Ananya Mishra"/>
    <x v="2"/>
    <s v="India"/>
    <x v="4"/>
    <s v="Maharashtra"/>
    <n v="156825"/>
    <x v="3"/>
    <s v="PROD-2270"/>
    <x v="1"/>
    <x v="1"/>
    <s v="Dell Inspiron"/>
    <n v="77499.570000000007"/>
    <x v="0"/>
    <n v="77499.570000000007"/>
    <e v="#N/A"/>
    <n v="5"/>
    <n v="0.2"/>
    <n v="2324.9899999999998"/>
    <x v="0"/>
    <x v="6"/>
    <x v="1"/>
  </r>
  <r>
    <n v="271"/>
    <s v="VID100271"/>
    <s v="27-03-2023"/>
    <s v="28-03-2023"/>
    <x v="1"/>
    <s v="CUST-1271"/>
    <s v="Ananya Mishra"/>
    <x v="0"/>
    <s v="India"/>
    <x v="1"/>
    <s v="Karnataka"/>
    <n v="292866"/>
    <x v="1"/>
    <s v="PROD-2271"/>
    <x v="1"/>
    <x v="1"/>
    <s v="Dell Inspiron"/>
    <n v="67979.58"/>
    <x v="0"/>
    <n v="67979.58"/>
    <e v="#N/A"/>
    <n v="8"/>
    <n v="0.3"/>
    <n v="339.9"/>
    <x v="3"/>
    <x v="5"/>
    <x v="7"/>
  </r>
  <r>
    <n v="272"/>
    <s v="VID100272"/>
    <s v="12-02-2025"/>
    <s v="13-02-2025"/>
    <x v="0"/>
    <s v="CUST-1272"/>
    <s v="Vikram Singh"/>
    <x v="1"/>
    <s v="India"/>
    <x v="2"/>
    <s v="West Bengal"/>
    <n v="967503"/>
    <x v="2"/>
    <s v="PROD-2272"/>
    <x v="1"/>
    <x v="1"/>
    <s v="Dell Inspiron"/>
    <n v="18685.14"/>
    <x v="0"/>
    <n v="18685.14"/>
    <e v="#N/A"/>
    <n v="6"/>
    <n v="0"/>
    <n v="1494.81"/>
    <x v="4"/>
    <x v="11"/>
    <x v="1"/>
  </r>
  <r>
    <n v="273"/>
    <s v="VID100273"/>
    <s v="14-02-2025"/>
    <s v="19-02-2025"/>
    <x v="1"/>
    <s v="CUST-1273"/>
    <s v="Priya Patel"/>
    <x v="2"/>
    <s v="India"/>
    <x v="0"/>
    <s v="Delhi"/>
    <n v="877506"/>
    <x v="0"/>
    <s v="PROD-2273"/>
    <x v="1"/>
    <x v="1"/>
    <s v="Dell Inspiron"/>
    <n v="40833.29"/>
    <x v="0"/>
    <n v="40833.29"/>
    <e v="#N/A"/>
    <n v="1"/>
    <n v="0"/>
    <n v="3266.66"/>
    <x v="4"/>
    <x v="11"/>
    <x v="6"/>
  </r>
  <r>
    <n v="274"/>
    <s v="VID100274"/>
    <s v="16-08-2024"/>
    <s v="18-08-2024"/>
    <x v="1"/>
    <s v="CUST-1274"/>
    <s v="Priya Patel"/>
    <x v="2"/>
    <s v="India"/>
    <x v="2"/>
    <s v="West Bengal"/>
    <n v="936988"/>
    <x v="2"/>
    <s v="PROD-2274"/>
    <x v="2"/>
    <x v="3"/>
    <s v="A4 Paper"/>
    <n v="23830.55"/>
    <x v="0"/>
    <n v="23830.55"/>
    <e v="#N/A"/>
    <n v="7"/>
    <n v="0.2"/>
    <n v="714.92"/>
    <x v="1"/>
    <x v="2"/>
    <x v="20"/>
  </r>
  <r>
    <n v="275"/>
    <s v="VID100275"/>
    <s v="06-05-2022"/>
    <s v="12-05-2022"/>
    <x v="1"/>
    <s v="CUST-1275"/>
    <s v="Rohan Das"/>
    <x v="0"/>
    <s v="India"/>
    <x v="1"/>
    <s v="Karnataka"/>
    <n v="995210"/>
    <x v="1"/>
    <s v="PROD-2275"/>
    <x v="0"/>
    <x v="0"/>
    <s v="Office Chair"/>
    <n v="60216.94"/>
    <x v="0"/>
    <n v="60216.94"/>
    <e v="#N/A"/>
    <n v="1"/>
    <n v="0.1"/>
    <n v="3311.93"/>
    <x v="2"/>
    <x v="0"/>
    <x v="15"/>
  </r>
  <r>
    <n v="276"/>
    <s v="VID100276"/>
    <s v="06-06-2024"/>
    <s v="07-06-2024"/>
    <x v="0"/>
    <s v="CUST-1276"/>
    <s v="Vikram Singh"/>
    <x v="2"/>
    <s v="India"/>
    <x v="4"/>
    <s v="Maharashtra"/>
    <n v="988530"/>
    <x v="3"/>
    <s v="PROD-2276"/>
    <x v="0"/>
    <x v="0"/>
    <s v="Office Chair"/>
    <n v="30556.45"/>
    <x v="0"/>
    <n v="30556.45"/>
    <e v="#N/A"/>
    <n v="3"/>
    <n v="0.1"/>
    <n v="1680.6"/>
    <x v="1"/>
    <x v="3"/>
    <x v="15"/>
  </r>
  <r>
    <n v="277"/>
    <s v="VID100277"/>
    <s v="04-07-2021"/>
    <s v="08-07-2021"/>
    <x v="0"/>
    <s v="CUST-1277"/>
    <s v="Ananya Mishra"/>
    <x v="2"/>
    <s v="India"/>
    <x v="2"/>
    <s v="West Bengal"/>
    <n v="381279"/>
    <x v="2"/>
    <s v="PROD-2277"/>
    <x v="2"/>
    <x v="3"/>
    <s v="A4 Paper"/>
    <n v="49795.13"/>
    <x v="0"/>
    <n v="49795.13"/>
    <e v="#N/A"/>
    <n v="7"/>
    <n v="0.3"/>
    <n v="248.98"/>
    <x v="0"/>
    <x v="6"/>
    <x v="22"/>
  </r>
  <r>
    <n v="278"/>
    <s v="VID100278"/>
    <s v="22-07-2023"/>
    <s v="27-07-2023"/>
    <x v="3"/>
    <s v="CUST-1278"/>
    <s v="Rohan Das"/>
    <x v="2"/>
    <s v="India"/>
    <x v="2"/>
    <s v="West Bengal"/>
    <n v="393813"/>
    <x v="2"/>
    <s v="PROD-2278"/>
    <x v="0"/>
    <x v="0"/>
    <s v="Office Chair"/>
    <n v="7878.82"/>
    <x v="0"/>
    <n v="7878.82"/>
    <e v="#N/A"/>
    <n v="7"/>
    <n v="0"/>
    <n v="630.30999999999995"/>
    <x v="3"/>
    <x v="6"/>
    <x v="2"/>
  </r>
  <r>
    <n v="279"/>
    <s v="VID100279"/>
    <s v="11-04-2022"/>
    <s v="16-04-2022"/>
    <x v="2"/>
    <s v="CUST-1279"/>
    <s v="Aarav Sharma"/>
    <x v="2"/>
    <s v="India"/>
    <x v="2"/>
    <s v="West Bengal"/>
    <n v="253452"/>
    <x v="2"/>
    <s v="PROD-2279"/>
    <x v="1"/>
    <x v="1"/>
    <s v="Dell Inspiron"/>
    <n v="58270.06"/>
    <x v="0"/>
    <n v="58270.06"/>
    <e v="#N/A"/>
    <n v="2"/>
    <n v="0.2"/>
    <n v="1748.1"/>
    <x v="2"/>
    <x v="4"/>
    <x v="23"/>
  </r>
  <r>
    <n v="280"/>
    <s v="VID100280"/>
    <s v="24-03-2024"/>
    <s v="28-03-2024"/>
    <x v="2"/>
    <s v="CUST-1280"/>
    <s v="Diya Nair"/>
    <x v="0"/>
    <s v="India"/>
    <x v="4"/>
    <s v="Maharashtra"/>
    <n v="685978"/>
    <x v="3"/>
    <s v="PROD-2280"/>
    <x v="1"/>
    <x v="2"/>
    <s v="Samsung Galaxy"/>
    <n v="37941.97"/>
    <x v="0"/>
    <n v="37941.97"/>
    <e v="#N/A"/>
    <n v="5"/>
    <n v="0.1"/>
    <n v="2086.81"/>
    <x v="1"/>
    <x v="5"/>
    <x v="14"/>
  </r>
  <r>
    <n v="281"/>
    <s v="VID100281"/>
    <s v="29-01-2023"/>
    <s v="30-01-2023"/>
    <x v="3"/>
    <s v="CUST-1281"/>
    <s v="Ananya Mishra"/>
    <x v="1"/>
    <s v="India"/>
    <x v="2"/>
    <s v="West Bengal"/>
    <n v="820407"/>
    <x v="2"/>
    <s v="PROD-2281"/>
    <x v="2"/>
    <x v="3"/>
    <s v="A4 Paper"/>
    <n v="54256.71"/>
    <x v="0"/>
    <n v="54256.71"/>
    <e v="#N/A"/>
    <n v="10"/>
    <n v="0.1"/>
    <n v="2984.12"/>
    <x v="3"/>
    <x v="8"/>
    <x v="19"/>
  </r>
  <r>
    <n v="282"/>
    <s v="VID100282"/>
    <s v="02-12-2021"/>
    <s v="09-12-2021"/>
    <x v="0"/>
    <s v="CUST-1282"/>
    <s v="Amit Verma"/>
    <x v="2"/>
    <s v="India"/>
    <x v="1"/>
    <s v="Karnataka"/>
    <n v="778236"/>
    <x v="1"/>
    <s v="PROD-2282"/>
    <x v="0"/>
    <x v="0"/>
    <s v="Office Chair"/>
    <n v="37082.93"/>
    <x v="0"/>
    <n v="37082.93"/>
    <e v="#N/A"/>
    <n v="9"/>
    <n v="0.1"/>
    <n v="2039.56"/>
    <x v="0"/>
    <x v="1"/>
    <x v="10"/>
  </r>
  <r>
    <n v="283"/>
    <s v="VID100283"/>
    <s v="16-02-2023"/>
    <s v="19-02-2023"/>
    <x v="1"/>
    <s v="CUST-1283"/>
    <s v="Amit Verma"/>
    <x v="2"/>
    <s v="India"/>
    <x v="1"/>
    <s v="Karnataka"/>
    <n v="118931"/>
    <x v="1"/>
    <s v="PROD-2283"/>
    <x v="1"/>
    <x v="2"/>
    <s v="Samsung Galaxy"/>
    <n v="4363.16"/>
    <x v="0"/>
    <n v="4363.16"/>
    <e v="#N/A"/>
    <n v="4"/>
    <n v="0.1"/>
    <n v="239.97"/>
    <x v="3"/>
    <x v="11"/>
    <x v="20"/>
  </r>
  <r>
    <n v="284"/>
    <s v="VID100284"/>
    <s v="17-06-2022"/>
    <s v="20-06-2022"/>
    <x v="0"/>
    <s v="CUST-1284"/>
    <s v="Vikram Singh"/>
    <x v="0"/>
    <s v="India"/>
    <x v="3"/>
    <s v="Gujarat"/>
    <n v="981436"/>
    <x v="3"/>
    <s v="PROD-2284"/>
    <x v="0"/>
    <x v="0"/>
    <s v="Office Chair"/>
    <n v="4553.55"/>
    <x v="0"/>
    <n v="4553.55"/>
    <e v="#N/A"/>
    <n v="8"/>
    <n v="0.3"/>
    <n v="22.77"/>
    <x v="2"/>
    <x v="3"/>
    <x v="29"/>
  </r>
  <r>
    <n v="285"/>
    <s v="VID100285"/>
    <s v="02-12-2024"/>
    <s v="08-12-2024"/>
    <x v="2"/>
    <s v="CUST-1285"/>
    <s v="Ananya Mishra"/>
    <x v="2"/>
    <s v="India"/>
    <x v="2"/>
    <s v="West Bengal"/>
    <n v="328225"/>
    <x v="2"/>
    <s v="PROD-2285"/>
    <x v="1"/>
    <x v="1"/>
    <s v="Dell Inspiron"/>
    <n v="93322.37"/>
    <x v="0"/>
    <n v="93322.37"/>
    <e v="#N/A"/>
    <n v="3"/>
    <n v="0.3"/>
    <n v="466.61"/>
    <x v="1"/>
    <x v="1"/>
    <x v="10"/>
  </r>
  <r>
    <n v="286"/>
    <s v="VID100286"/>
    <s v="02-12-2024"/>
    <s v="07-12-2024"/>
    <x v="3"/>
    <s v="CUST-1286"/>
    <s v="Rahul Joshi"/>
    <x v="1"/>
    <s v="India"/>
    <x v="3"/>
    <s v="Gujarat"/>
    <n v="114959"/>
    <x v="3"/>
    <s v="PROD-2286"/>
    <x v="1"/>
    <x v="1"/>
    <s v="Dell Inspiron"/>
    <n v="86444.9"/>
    <x v="0"/>
    <n v="86444.9"/>
    <e v="#N/A"/>
    <n v="7"/>
    <n v="0.1"/>
    <n v="4754.47"/>
    <x v="1"/>
    <x v="1"/>
    <x v="10"/>
  </r>
  <r>
    <n v="287"/>
    <s v="VID100287"/>
    <s v="10-07-2021"/>
    <s v="17-07-2021"/>
    <x v="3"/>
    <s v="CUST-1287"/>
    <s v="Pooja Hegde"/>
    <x v="1"/>
    <s v="India"/>
    <x v="4"/>
    <s v="Maharashtra"/>
    <n v="459998"/>
    <x v="3"/>
    <s v="PROD-2287"/>
    <x v="0"/>
    <x v="0"/>
    <s v="Office Chair"/>
    <n v="56191.7"/>
    <x v="0"/>
    <n v="56191.7"/>
    <e v="#N/A"/>
    <n v="10"/>
    <n v="0"/>
    <n v="4495.34"/>
    <x v="0"/>
    <x v="6"/>
    <x v="5"/>
  </r>
  <r>
    <n v="288"/>
    <s v="VID100288"/>
    <s v="13-07-2021"/>
    <s v="14-07-2021"/>
    <x v="0"/>
    <s v="CUST-1288"/>
    <s v="Vikram Singh"/>
    <x v="0"/>
    <s v="India"/>
    <x v="0"/>
    <s v="Delhi"/>
    <n v="912938"/>
    <x v="0"/>
    <s v="PROD-2288"/>
    <x v="2"/>
    <x v="3"/>
    <s v="A4 Paper"/>
    <n v="26849.77"/>
    <x v="0"/>
    <n v="26849.77"/>
    <e v="#N/A"/>
    <n v="7"/>
    <n v="0.3"/>
    <n v="134.25"/>
    <x v="0"/>
    <x v="6"/>
    <x v="30"/>
  </r>
  <r>
    <n v="289"/>
    <s v="VID100289"/>
    <s v="23-08-2024"/>
    <s v="28-08-2024"/>
    <x v="1"/>
    <s v="CUST-1289"/>
    <s v="Pooja Hegde"/>
    <x v="1"/>
    <s v="India"/>
    <x v="0"/>
    <s v="Delhi"/>
    <n v="327013"/>
    <x v="0"/>
    <s v="PROD-2289"/>
    <x v="0"/>
    <x v="0"/>
    <s v="Office Chair"/>
    <n v="98088.71"/>
    <x v="0"/>
    <n v="98088.71"/>
    <e v="#N/A"/>
    <n v="2"/>
    <n v="0.1"/>
    <n v="5394.88"/>
    <x v="1"/>
    <x v="2"/>
    <x v="24"/>
  </r>
  <r>
    <n v="290"/>
    <s v="VID100290"/>
    <s v="21-06-2021"/>
    <s v="25-06-2021"/>
    <x v="3"/>
    <s v="CUST-1290"/>
    <s v="Amit Verma"/>
    <x v="1"/>
    <s v="India"/>
    <x v="1"/>
    <s v="Karnataka"/>
    <n v="788926"/>
    <x v="1"/>
    <s v="PROD-2290"/>
    <x v="2"/>
    <x v="3"/>
    <s v="A4 Paper"/>
    <n v="63568.86"/>
    <x v="0"/>
    <n v="63568.86"/>
    <e v="#N/A"/>
    <n v="4"/>
    <n v="0.2"/>
    <n v="1907.07"/>
    <x v="0"/>
    <x v="3"/>
    <x v="26"/>
  </r>
  <r>
    <n v="291"/>
    <s v="VID100291"/>
    <s v="02-08-2021"/>
    <s v="07-08-2021"/>
    <x v="0"/>
    <s v="CUST-1291"/>
    <s v="Sneha Reddy"/>
    <x v="0"/>
    <s v="India"/>
    <x v="4"/>
    <s v="Maharashtra"/>
    <n v="325439"/>
    <x v="3"/>
    <s v="PROD-2291"/>
    <x v="1"/>
    <x v="1"/>
    <s v="Dell Inspiron"/>
    <n v="11829.07"/>
    <x v="0"/>
    <n v="11829.07"/>
    <e v="#N/A"/>
    <n v="9"/>
    <n v="0.3"/>
    <n v="59.15"/>
    <x v="0"/>
    <x v="2"/>
    <x v="10"/>
  </r>
  <r>
    <n v="292"/>
    <s v="VID100292"/>
    <s v="08-06-2023"/>
    <s v="15-06-2023"/>
    <x v="2"/>
    <s v="CUST-1292"/>
    <s v="Diya Nair"/>
    <x v="2"/>
    <s v="India"/>
    <x v="2"/>
    <s v="West Bengal"/>
    <n v="110605"/>
    <x v="2"/>
    <s v="PROD-2292"/>
    <x v="1"/>
    <x v="2"/>
    <s v="Samsung Galaxy"/>
    <n v="36245.07"/>
    <x v="0"/>
    <n v="36245.07"/>
    <e v="#N/A"/>
    <n v="7"/>
    <n v="0.2"/>
    <n v="1087.3499999999999"/>
    <x v="3"/>
    <x v="3"/>
    <x v="3"/>
  </r>
  <r>
    <n v="293"/>
    <s v="VID100293"/>
    <s v="28-10-2025"/>
    <s v="02-11-2025"/>
    <x v="1"/>
    <s v="CUST-1293"/>
    <s v="Sneha Reddy"/>
    <x v="1"/>
    <s v="India"/>
    <x v="4"/>
    <s v="Maharashtra"/>
    <n v="427858"/>
    <x v="3"/>
    <s v="PROD-2293"/>
    <x v="1"/>
    <x v="2"/>
    <s v="Samsung Galaxy"/>
    <n v="93323.12"/>
    <x v="0"/>
    <n v="93323.12"/>
    <e v="#N/A"/>
    <n v="4"/>
    <n v="0.1"/>
    <n v="5132.7700000000004"/>
    <x v="4"/>
    <x v="7"/>
    <x v="13"/>
  </r>
  <r>
    <n v="294"/>
    <s v="VID100294"/>
    <s v="27-07-2025"/>
    <s v="30-07-2025"/>
    <x v="1"/>
    <s v="CUST-1294"/>
    <s v="Ananya Mishra"/>
    <x v="1"/>
    <s v="India"/>
    <x v="4"/>
    <s v="Maharashtra"/>
    <n v="107540"/>
    <x v="3"/>
    <s v="PROD-2294"/>
    <x v="1"/>
    <x v="1"/>
    <s v="Dell Inspiron"/>
    <n v="48537.1"/>
    <x v="0"/>
    <n v="48537.1"/>
    <e v="#N/A"/>
    <n v="6"/>
    <n v="0.1"/>
    <n v="2669.54"/>
    <x v="4"/>
    <x v="6"/>
    <x v="7"/>
  </r>
  <r>
    <n v="295"/>
    <s v="VID100295"/>
    <s v="25-05-2023"/>
    <s v="01-06-2023"/>
    <x v="0"/>
    <s v="CUST-1295"/>
    <s v="Pooja Hegde"/>
    <x v="2"/>
    <s v="India"/>
    <x v="2"/>
    <s v="West Bengal"/>
    <n v="510997"/>
    <x v="2"/>
    <s v="PROD-2295"/>
    <x v="1"/>
    <x v="1"/>
    <s v="Dell Inspiron"/>
    <n v="63316.19"/>
    <x v="0"/>
    <n v="63316.19"/>
    <e v="#N/A"/>
    <n v="1"/>
    <n v="0"/>
    <n v="5065.3"/>
    <x v="3"/>
    <x v="0"/>
    <x v="17"/>
  </r>
  <r>
    <n v="296"/>
    <s v="VID100296"/>
    <s v="03-04-2024"/>
    <s v="06-04-2024"/>
    <x v="1"/>
    <s v="CUST-1296"/>
    <s v="Ananya Mishra"/>
    <x v="2"/>
    <s v="India"/>
    <x v="2"/>
    <s v="West Bengal"/>
    <n v="588535"/>
    <x v="2"/>
    <s v="PROD-2296"/>
    <x v="1"/>
    <x v="2"/>
    <s v="Samsung Galaxy"/>
    <n v="14802.12"/>
    <x v="0"/>
    <n v="14802.12"/>
    <e v="#N/A"/>
    <n v="6"/>
    <n v="0.1"/>
    <n v="814.12"/>
    <x v="1"/>
    <x v="4"/>
    <x v="9"/>
  </r>
  <r>
    <n v="297"/>
    <s v="VID100297"/>
    <s v="11-05-2021"/>
    <s v="15-05-2021"/>
    <x v="1"/>
    <s v="CUST-1297"/>
    <s v="Aarav Sharma"/>
    <x v="1"/>
    <s v="India"/>
    <x v="0"/>
    <s v="Delhi"/>
    <n v="549337"/>
    <x v="0"/>
    <s v="PROD-2297"/>
    <x v="1"/>
    <x v="1"/>
    <s v="Dell Inspiron"/>
    <n v="19095.16"/>
    <x v="0"/>
    <n v="19095.16"/>
    <e v="#N/A"/>
    <n v="4"/>
    <n v="0.1"/>
    <n v="1050.23"/>
    <x v="0"/>
    <x v="0"/>
    <x v="23"/>
  </r>
  <r>
    <n v="298"/>
    <s v="VID100298"/>
    <s v="02-06-2021"/>
    <s v="08-06-2021"/>
    <x v="0"/>
    <s v="CUST-1298"/>
    <s v="Aarav Sharma"/>
    <x v="2"/>
    <s v="India"/>
    <x v="0"/>
    <s v="Delhi"/>
    <n v="923057"/>
    <x v="0"/>
    <s v="PROD-2298"/>
    <x v="0"/>
    <x v="0"/>
    <s v="Office Chair"/>
    <n v="18305.810000000001"/>
    <x v="0"/>
    <n v="18305.810000000001"/>
    <e v="#N/A"/>
    <n v="9"/>
    <n v="0.2"/>
    <n v="549.16999999999996"/>
    <x v="0"/>
    <x v="3"/>
    <x v="10"/>
  </r>
  <r>
    <n v="299"/>
    <s v="VID100299"/>
    <s v="25-07-2024"/>
    <s v="01-08-2024"/>
    <x v="0"/>
    <s v="CUST-1299"/>
    <s v="Pooja Hegde"/>
    <x v="2"/>
    <s v="India"/>
    <x v="2"/>
    <s v="West Bengal"/>
    <n v="833849"/>
    <x v="2"/>
    <s v="PROD-2299"/>
    <x v="1"/>
    <x v="1"/>
    <s v="Dell Inspiron"/>
    <n v="76583.91"/>
    <x v="0"/>
    <n v="76583.91"/>
    <e v="#N/A"/>
    <n v="6"/>
    <n v="0.3"/>
    <n v="382.92"/>
    <x v="1"/>
    <x v="6"/>
    <x v="17"/>
  </r>
  <r>
    <n v="300"/>
    <s v="VID100300"/>
    <s v="10-12-2024"/>
    <s v="11-12-2024"/>
    <x v="3"/>
    <s v="CUST-1300"/>
    <s v="Diya Nair"/>
    <x v="0"/>
    <s v="India"/>
    <x v="2"/>
    <s v="West Bengal"/>
    <n v="660248"/>
    <x v="2"/>
    <s v="PROD-2300"/>
    <x v="0"/>
    <x v="0"/>
    <s v="Office Chair"/>
    <n v="614.05999999999995"/>
    <x v="0"/>
    <n v="614.05999999999995"/>
    <e v="#N/A"/>
    <n v="4"/>
    <n v="0.2"/>
    <n v="18.420000000000002"/>
    <x v="1"/>
    <x v="1"/>
    <x v="5"/>
  </r>
  <r>
    <n v="301"/>
    <s v="VID100301"/>
    <s v="16-08-2022"/>
    <s v="19-08-2022"/>
    <x v="3"/>
    <s v="CUST-1301"/>
    <s v="Ananya Mishra"/>
    <x v="2"/>
    <s v="India"/>
    <x v="3"/>
    <s v="Gujarat"/>
    <n v="903588"/>
    <x v="3"/>
    <s v="PROD-2301"/>
    <x v="0"/>
    <x v="0"/>
    <s v="Office Chair"/>
    <n v="98158.36"/>
    <x v="0"/>
    <n v="98158.36"/>
    <e v="#N/A"/>
    <n v="2"/>
    <n v="0.1"/>
    <n v="5398.71"/>
    <x v="2"/>
    <x v="2"/>
    <x v="20"/>
  </r>
  <r>
    <n v="302"/>
    <s v="VID100302"/>
    <s v="30-06-2024"/>
    <s v="06-07-2024"/>
    <x v="0"/>
    <s v="CUST-1302"/>
    <s v="Priya Patel"/>
    <x v="2"/>
    <s v="India"/>
    <x v="3"/>
    <s v="Gujarat"/>
    <n v="738630"/>
    <x v="3"/>
    <s v="PROD-2302"/>
    <x v="0"/>
    <x v="0"/>
    <s v="Office Chair"/>
    <n v="2295.02"/>
    <x v="0"/>
    <n v="2295.02"/>
    <e v="#N/A"/>
    <n v="3"/>
    <n v="0"/>
    <n v="183.6"/>
    <x v="1"/>
    <x v="3"/>
    <x v="16"/>
  </r>
  <r>
    <n v="303"/>
    <s v="VID100303"/>
    <s v="26-09-2024"/>
    <s v="29-09-2024"/>
    <x v="1"/>
    <s v="CUST-1303"/>
    <s v="Pooja Hegde"/>
    <x v="1"/>
    <s v="India"/>
    <x v="2"/>
    <s v="West Bengal"/>
    <n v="310671"/>
    <x v="2"/>
    <s v="PROD-2303"/>
    <x v="0"/>
    <x v="0"/>
    <s v="Office Chair"/>
    <n v="65871.070000000007"/>
    <x v="0"/>
    <n v="65871.070000000007"/>
    <e v="#N/A"/>
    <n v="3"/>
    <n v="0.2"/>
    <n v="1976.13"/>
    <x v="1"/>
    <x v="10"/>
    <x v="21"/>
  </r>
  <r>
    <n v="304"/>
    <s v="VID100304"/>
    <s v="08-11-2021"/>
    <s v="14-11-2021"/>
    <x v="2"/>
    <s v="CUST-1304"/>
    <s v="Amit Verma"/>
    <x v="0"/>
    <s v="India"/>
    <x v="2"/>
    <s v="West Bengal"/>
    <n v="920824"/>
    <x v="2"/>
    <s v="PROD-2304"/>
    <x v="1"/>
    <x v="1"/>
    <s v="Dell Inspiron"/>
    <n v="50984.47"/>
    <x v="0"/>
    <n v="50984.47"/>
    <e v="#N/A"/>
    <n v="7"/>
    <n v="0"/>
    <n v="4078.76"/>
    <x v="0"/>
    <x v="9"/>
    <x v="3"/>
  </r>
  <r>
    <n v="305"/>
    <s v="VID100305"/>
    <s v="16-10-2023"/>
    <s v="22-10-2023"/>
    <x v="1"/>
    <s v="CUST-1305"/>
    <s v="Amit Verma"/>
    <x v="2"/>
    <s v="India"/>
    <x v="3"/>
    <s v="Gujarat"/>
    <n v="701429"/>
    <x v="3"/>
    <s v="PROD-2305"/>
    <x v="0"/>
    <x v="0"/>
    <s v="Office Chair"/>
    <n v="13749.88"/>
    <x v="0"/>
    <n v="13749.88"/>
    <e v="#N/A"/>
    <n v="9"/>
    <n v="0.2"/>
    <n v="412.5"/>
    <x v="3"/>
    <x v="7"/>
    <x v="20"/>
  </r>
  <r>
    <n v="306"/>
    <s v="VID100306"/>
    <s v="27-08-2022"/>
    <s v="03-09-2022"/>
    <x v="2"/>
    <s v="CUST-1306"/>
    <s v="Rahul Joshi"/>
    <x v="2"/>
    <s v="India"/>
    <x v="2"/>
    <s v="West Bengal"/>
    <n v="697096"/>
    <x v="2"/>
    <s v="PROD-2306"/>
    <x v="1"/>
    <x v="2"/>
    <s v="Samsung Galaxy"/>
    <n v="99579.99"/>
    <x v="0"/>
    <n v="99579.99"/>
    <e v="#N/A"/>
    <n v="2"/>
    <n v="0.1"/>
    <n v="5476.9"/>
    <x v="2"/>
    <x v="2"/>
    <x v="7"/>
  </r>
  <r>
    <n v="307"/>
    <s v="VID100307"/>
    <s v="09-10-2021"/>
    <s v="16-10-2021"/>
    <x v="2"/>
    <s v="CUST-1307"/>
    <s v="Rohan Das"/>
    <x v="0"/>
    <s v="India"/>
    <x v="4"/>
    <s v="Maharashtra"/>
    <n v="331522"/>
    <x v="3"/>
    <s v="PROD-2307"/>
    <x v="1"/>
    <x v="1"/>
    <s v="Dell Inspiron"/>
    <n v="701.36"/>
    <x v="0"/>
    <n v="701.36"/>
    <e v="#N/A"/>
    <n v="3"/>
    <n v="0.1"/>
    <n v="38.57"/>
    <x v="0"/>
    <x v="7"/>
    <x v="18"/>
  </r>
  <r>
    <n v="308"/>
    <s v="VID100308"/>
    <s v="09-10-2021"/>
    <s v="15-10-2021"/>
    <x v="1"/>
    <s v="CUST-1308"/>
    <s v="Amit Verma"/>
    <x v="0"/>
    <s v="India"/>
    <x v="4"/>
    <s v="Maharashtra"/>
    <n v="617437"/>
    <x v="3"/>
    <s v="PROD-2308"/>
    <x v="0"/>
    <x v="0"/>
    <s v="Office Chair"/>
    <n v="8390.73"/>
    <x v="0"/>
    <n v="8390.73"/>
    <e v="#N/A"/>
    <n v="7"/>
    <n v="0.1"/>
    <n v="461.49"/>
    <x v="0"/>
    <x v="7"/>
    <x v="18"/>
  </r>
  <r>
    <n v="309"/>
    <s v="VID100309"/>
    <s v="09-02-2024"/>
    <s v="13-02-2024"/>
    <x v="3"/>
    <s v="CUST-1309"/>
    <s v="Rohan Das"/>
    <x v="0"/>
    <s v="India"/>
    <x v="4"/>
    <s v="Maharashtra"/>
    <n v="714378"/>
    <x v="3"/>
    <s v="PROD-2309"/>
    <x v="2"/>
    <x v="3"/>
    <s v="A4 Paper"/>
    <n v="19614.46"/>
    <x v="0"/>
    <n v="19614.46"/>
    <e v="#N/A"/>
    <n v="1"/>
    <n v="0.1"/>
    <n v="1078.8"/>
    <x v="1"/>
    <x v="11"/>
    <x v="18"/>
  </r>
  <r>
    <n v="310"/>
    <s v="VID100310"/>
    <s v="05-08-2023"/>
    <s v="07-08-2023"/>
    <x v="1"/>
    <s v="CUST-1310"/>
    <s v="Vikram Singh"/>
    <x v="0"/>
    <s v="India"/>
    <x v="3"/>
    <s v="Gujarat"/>
    <n v="203861"/>
    <x v="3"/>
    <s v="PROD-2310"/>
    <x v="1"/>
    <x v="2"/>
    <s v="Samsung Galaxy"/>
    <n v="409.32"/>
    <x v="0"/>
    <n v="409.32"/>
    <e v="#N/A"/>
    <n v="10"/>
    <n v="0.2"/>
    <n v="12.28"/>
    <x v="3"/>
    <x v="2"/>
    <x v="25"/>
  </r>
  <r>
    <n v="311"/>
    <s v="VID100311"/>
    <s v="03-05-2022"/>
    <s v="07-05-2022"/>
    <x v="2"/>
    <s v="CUST-1311"/>
    <s v="Vikram Singh"/>
    <x v="0"/>
    <s v="India"/>
    <x v="2"/>
    <s v="West Bengal"/>
    <n v="233458"/>
    <x v="2"/>
    <s v="PROD-2311"/>
    <x v="2"/>
    <x v="3"/>
    <s v="A4 Paper"/>
    <n v="41452.78"/>
    <x v="0"/>
    <n v="41452.78"/>
    <e v="#N/A"/>
    <n v="1"/>
    <n v="0.3"/>
    <n v="207.26"/>
    <x v="2"/>
    <x v="0"/>
    <x v="9"/>
  </r>
  <r>
    <n v="312"/>
    <s v="VID100312"/>
    <s v="14-10-2024"/>
    <s v="19-10-2024"/>
    <x v="3"/>
    <s v="CUST-1312"/>
    <s v="Vikram Singh"/>
    <x v="1"/>
    <s v="India"/>
    <x v="0"/>
    <s v="Delhi"/>
    <n v="740561"/>
    <x v="0"/>
    <s v="PROD-2312"/>
    <x v="0"/>
    <x v="0"/>
    <s v="Office Chair"/>
    <n v="83056.52"/>
    <x v="0"/>
    <n v="83056.52"/>
    <e v="#N/A"/>
    <n v="9"/>
    <n v="0.2"/>
    <n v="2491.6999999999998"/>
    <x v="1"/>
    <x v="7"/>
    <x v="6"/>
  </r>
  <r>
    <n v="313"/>
    <s v="VID100313"/>
    <s v="21-01-2021"/>
    <s v="24-01-2021"/>
    <x v="1"/>
    <s v="CUST-1313"/>
    <s v="Rahul Joshi"/>
    <x v="2"/>
    <s v="India"/>
    <x v="2"/>
    <s v="West Bengal"/>
    <n v="357895"/>
    <x v="2"/>
    <s v="PROD-2313"/>
    <x v="1"/>
    <x v="2"/>
    <s v="Samsung Galaxy"/>
    <n v="56680.27"/>
    <x v="0"/>
    <n v="56680.27"/>
    <e v="#N/A"/>
    <n v="9"/>
    <n v="0.3"/>
    <n v="283.39999999999998"/>
    <x v="0"/>
    <x v="8"/>
    <x v="26"/>
  </r>
  <r>
    <n v="314"/>
    <s v="VID100314"/>
    <s v="05-04-2022"/>
    <s v="10-04-2022"/>
    <x v="2"/>
    <s v="CUST-1314"/>
    <s v="Aarav Sharma"/>
    <x v="2"/>
    <s v="India"/>
    <x v="4"/>
    <s v="Maharashtra"/>
    <n v="634799"/>
    <x v="3"/>
    <s v="PROD-2314"/>
    <x v="1"/>
    <x v="1"/>
    <s v="Dell Inspiron"/>
    <n v="5910"/>
    <x v="0"/>
    <n v="5910"/>
    <e v="#N/A"/>
    <n v="7"/>
    <n v="0.3"/>
    <n v="29.55"/>
    <x v="2"/>
    <x v="4"/>
    <x v="25"/>
  </r>
  <r>
    <n v="315"/>
    <s v="VID100315"/>
    <s v="05-12-2021"/>
    <s v="08-12-2021"/>
    <x v="0"/>
    <s v="CUST-1315"/>
    <s v="Ananya Mishra"/>
    <x v="1"/>
    <s v="India"/>
    <x v="1"/>
    <s v="Karnataka"/>
    <n v="706377"/>
    <x v="1"/>
    <s v="PROD-2315"/>
    <x v="1"/>
    <x v="2"/>
    <s v="Samsung Galaxy"/>
    <n v="69239.8"/>
    <x v="0"/>
    <n v="69239.8"/>
    <e v="#N/A"/>
    <n v="6"/>
    <n v="0"/>
    <n v="5539.18"/>
    <x v="0"/>
    <x v="1"/>
    <x v="25"/>
  </r>
  <r>
    <n v="316"/>
    <s v="VID100316"/>
    <s v="21-08-2025"/>
    <s v="28-08-2025"/>
    <x v="0"/>
    <s v="CUST-1316"/>
    <s v="Diya Nair"/>
    <x v="1"/>
    <s v="India"/>
    <x v="3"/>
    <s v="Gujarat"/>
    <n v="683993"/>
    <x v="3"/>
    <s v="PROD-2316"/>
    <x v="0"/>
    <x v="0"/>
    <s v="Office Chair"/>
    <n v="4935.59"/>
    <x v="0"/>
    <n v="4935.59"/>
    <e v="#N/A"/>
    <n v="4"/>
    <n v="0.1"/>
    <n v="271.45999999999998"/>
    <x v="4"/>
    <x v="2"/>
    <x v="26"/>
  </r>
  <r>
    <n v="317"/>
    <s v="VID100317"/>
    <s v="23-01-2023"/>
    <s v="25-01-2023"/>
    <x v="1"/>
    <s v="CUST-1317"/>
    <s v="Pooja Hegde"/>
    <x v="2"/>
    <s v="India"/>
    <x v="0"/>
    <s v="Delhi"/>
    <n v="621571"/>
    <x v="0"/>
    <s v="PROD-2317"/>
    <x v="1"/>
    <x v="2"/>
    <s v="Samsung Galaxy"/>
    <n v="69621.820000000007"/>
    <x v="0"/>
    <n v="69621.820000000007"/>
    <e v="#N/A"/>
    <n v="3"/>
    <n v="0"/>
    <n v="5569.75"/>
    <x v="3"/>
    <x v="8"/>
    <x v="24"/>
  </r>
  <r>
    <n v="318"/>
    <s v="VID100318"/>
    <s v="18-01-2021"/>
    <s v="19-01-2021"/>
    <x v="3"/>
    <s v="CUST-1318"/>
    <s v="Pooja Hegde"/>
    <x v="0"/>
    <s v="India"/>
    <x v="4"/>
    <s v="Maharashtra"/>
    <n v="771280"/>
    <x v="3"/>
    <s v="PROD-2318"/>
    <x v="2"/>
    <x v="3"/>
    <s v="A4 Paper"/>
    <n v="92114.63"/>
    <x v="0"/>
    <n v="92114.63"/>
    <e v="#N/A"/>
    <n v="5"/>
    <n v="0.3"/>
    <n v="460.57"/>
    <x v="0"/>
    <x v="8"/>
    <x v="12"/>
  </r>
  <r>
    <n v="319"/>
    <s v="VID100319"/>
    <s v="27-07-2024"/>
    <s v="03-08-2024"/>
    <x v="2"/>
    <s v="CUST-1319"/>
    <s v="Vikram Singh"/>
    <x v="0"/>
    <s v="India"/>
    <x v="2"/>
    <s v="West Bengal"/>
    <n v="641781"/>
    <x v="2"/>
    <s v="PROD-2319"/>
    <x v="1"/>
    <x v="1"/>
    <s v="Dell Inspiron"/>
    <n v="71209.22"/>
    <x v="0"/>
    <n v="71209.22"/>
    <e v="#N/A"/>
    <n v="8"/>
    <n v="0.3"/>
    <n v="356.05"/>
    <x v="1"/>
    <x v="6"/>
    <x v="7"/>
  </r>
  <r>
    <n v="320"/>
    <s v="VID100320"/>
    <s v="28-08-2022"/>
    <s v="03-09-2022"/>
    <x v="1"/>
    <s v="CUST-1320"/>
    <s v="Sneha Reddy"/>
    <x v="2"/>
    <s v="India"/>
    <x v="3"/>
    <s v="Gujarat"/>
    <n v="910019"/>
    <x v="3"/>
    <s v="PROD-2320"/>
    <x v="2"/>
    <x v="3"/>
    <s v="A4 Paper"/>
    <n v="59778.26"/>
    <x v="0"/>
    <n v="59778.26"/>
    <e v="#N/A"/>
    <n v="9"/>
    <n v="0.2"/>
    <n v="1793.35"/>
    <x v="2"/>
    <x v="2"/>
    <x v="13"/>
  </r>
  <r>
    <n v="321"/>
    <s v="VID100321"/>
    <s v="15-01-2021"/>
    <s v="22-01-2021"/>
    <x v="0"/>
    <s v="CUST-1321"/>
    <s v="Aarav Sharma"/>
    <x v="1"/>
    <s v="India"/>
    <x v="2"/>
    <s v="West Bengal"/>
    <n v="240795"/>
    <x v="2"/>
    <s v="PROD-2321"/>
    <x v="1"/>
    <x v="2"/>
    <s v="Samsung Galaxy"/>
    <n v="14667.34"/>
    <x v="0"/>
    <n v="14667.34"/>
    <e v="#N/A"/>
    <n v="4"/>
    <n v="0"/>
    <n v="1173.3900000000001"/>
    <x v="0"/>
    <x v="8"/>
    <x v="28"/>
  </r>
  <r>
    <n v="322"/>
    <s v="VID100322"/>
    <s v="07-01-2021"/>
    <s v="12-01-2021"/>
    <x v="3"/>
    <s v="CUST-1322"/>
    <s v="Pooja Hegde"/>
    <x v="1"/>
    <s v="India"/>
    <x v="0"/>
    <s v="Delhi"/>
    <n v="434509"/>
    <x v="0"/>
    <s v="PROD-2322"/>
    <x v="2"/>
    <x v="3"/>
    <s v="A4 Paper"/>
    <n v="12794.24"/>
    <x v="0"/>
    <n v="12794.24"/>
    <e v="#N/A"/>
    <n v="6"/>
    <n v="0.3"/>
    <n v="63.97"/>
    <x v="0"/>
    <x v="8"/>
    <x v="8"/>
  </r>
  <r>
    <n v="323"/>
    <s v="VID100323"/>
    <s v="18-03-2021"/>
    <s v="21-03-2021"/>
    <x v="2"/>
    <s v="CUST-1323"/>
    <s v="Rahul Joshi"/>
    <x v="1"/>
    <s v="India"/>
    <x v="0"/>
    <s v="Delhi"/>
    <n v="939125"/>
    <x v="0"/>
    <s v="PROD-2323"/>
    <x v="2"/>
    <x v="3"/>
    <s v="A4 Paper"/>
    <n v="72423.05"/>
    <x v="0"/>
    <n v="72423.05"/>
    <e v="#N/A"/>
    <n v="4"/>
    <n v="0.1"/>
    <n v="3983.27"/>
    <x v="0"/>
    <x v="5"/>
    <x v="12"/>
  </r>
  <r>
    <n v="324"/>
    <s v="VID100324"/>
    <s v="03-07-2024"/>
    <s v="06-07-2024"/>
    <x v="0"/>
    <s v="CUST-1324"/>
    <s v="Vikram Singh"/>
    <x v="2"/>
    <s v="India"/>
    <x v="0"/>
    <s v="Delhi"/>
    <n v="999046"/>
    <x v="0"/>
    <s v="PROD-2324"/>
    <x v="2"/>
    <x v="3"/>
    <s v="A4 Paper"/>
    <n v="54633.54"/>
    <x v="0"/>
    <n v="54633.54"/>
    <e v="#N/A"/>
    <n v="2"/>
    <n v="0.1"/>
    <n v="3004.84"/>
    <x v="1"/>
    <x v="6"/>
    <x v="9"/>
  </r>
  <r>
    <n v="325"/>
    <s v="VID100325"/>
    <s v="10-04-2025"/>
    <s v="16-04-2025"/>
    <x v="3"/>
    <s v="CUST-1325"/>
    <s v="Pooja Hegde"/>
    <x v="1"/>
    <s v="India"/>
    <x v="1"/>
    <s v="Karnataka"/>
    <n v="186068"/>
    <x v="1"/>
    <s v="PROD-2325"/>
    <x v="2"/>
    <x v="3"/>
    <s v="A4 Paper"/>
    <n v="50471.42"/>
    <x v="0"/>
    <n v="50471.42"/>
    <e v="#N/A"/>
    <n v="4"/>
    <n v="0"/>
    <n v="4037.71"/>
    <x v="4"/>
    <x v="4"/>
    <x v="5"/>
  </r>
  <r>
    <n v="326"/>
    <s v="VID100326"/>
    <s v="29-05-2021"/>
    <s v="05-06-2021"/>
    <x v="0"/>
    <s v="CUST-1326"/>
    <s v="Sneha Reddy"/>
    <x v="1"/>
    <s v="India"/>
    <x v="3"/>
    <s v="Gujarat"/>
    <n v="234638"/>
    <x v="3"/>
    <s v="PROD-2326"/>
    <x v="1"/>
    <x v="1"/>
    <s v="Dell Inspiron"/>
    <n v="22152.83"/>
    <x v="0"/>
    <n v="22152.83"/>
    <e v="#N/A"/>
    <n v="2"/>
    <n v="0"/>
    <n v="1772.23"/>
    <x v="0"/>
    <x v="0"/>
    <x v="19"/>
  </r>
  <r>
    <n v="327"/>
    <s v="VID100327"/>
    <s v="20-04-2021"/>
    <s v="23-04-2021"/>
    <x v="2"/>
    <s v="CUST-1327"/>
    <s v="Rahul Joshi"/>
    <x v="1"/>
    <s v="India"/>
    <x v="4"/>
    <s v="Maharashtra"/>
    <n v="717530"/>
    <x v="3"/>
    <s v="PROD-2327"/>
    <x v="2"/>
    <x v="3"/>
    <s v="A4 Paper"/>
    <n v="9617.56"/>
    <x v="0"/>
    <n v="9617.56"/>
    <e v="#N/A"/>
    <n v="4"/>
    <n v="0.1"/>
    <n v="528.97"/>
    <x v="0"/>
    <x v="4"/>
    <x v="0"/>
  </r>
  <r>
    <n v="328"/>
    <s v="VID100328"/>
    <s v="19-12-2021"/>
    <s v="22-12-2021"/>
    <x v="0"/>
    <s v="CUST-1328"/>
    <s v="Vikram Singh"/>
    <x v="2"/>
    <s v="India"/>
    <x v="4"/>
    <s v="Maharashtra"/>
    <n v="135205"/>
    <x v="3"/>
    <s v="PROD-2328"/>
    <x v="1"/>
    <x v="1"/>
    <s v="Dell Inspiron"/>
    <n v="64152.9"/>
    <x v="0"/>
    <n v="64152.9"/>
    <e v="#N/A"/>
    <n v="9"/>
    <n v="0"/>
    <n v="5132.2299999999996"/>
    <x v="0"/>
    <x v="1"/>
    <x v="27"/>
  </r>
  <r>
    <n v="329"/>
    <s v="VID100329"/>
    <s v="29-06-2021"/>
    <s v="06-07-2021"/>
    <x v="3"/>
    <s v="CUST-1329"/>
    <s v="Vikram Singh"/>
    <x v="2"/>
    <s v="India"/>
    <x v="0"/>
    <s v="Delhi"/>
    <n v="794745"/>
    <x v="0"/>
    <s v="PROD-2329"/>
    <x v="1"/>
    <x v="2"/>
    <s v="Samsung Galaxy"/>
    <n v="67594.36"/>
    <x v="0"/>
    <n v="67594.36"/>
    <e v="#N/A"/>
    <n v="6"/>
    <n v="0.2"/>
    <n v="2027.83"/>
    <x v="0"/>
    <x v="3"/>
    <x v="19"/>
  </r>
  <r>
    <n v="330"/>
    <s v="VID100330"/>
    <s v="26-04-2022"/>
    <s v="27-04-2022"/>
    <x v="0"/>
    <s v="CUST-1330"/>
    <s v="Aarav Sharma"/>
    <x v="0"/>
    <s v="India"/>
    <x v="0"/>
    <s v="Delhi"/>
    <n v="105464"/>
    <x v="0"/>
    <s v="PROD-2330"/>
    <x v="2"/>
    <x v="3"/>
    <s v="A4 Paper"/>
    <n v="54153.89"/>
    <x v="0"/>
    <n v="54153.89"/>
    <e v="#N/A"/>
    <n v="5"/>
    <n v="0.1"/>
    <n v="2978.46"/>
    <x v="2"/>
    <x v="4"/>
    <x v="21"/>
  </r>
  <r>
    <n v="331"/>
    <s v="VID100331"/>
    <s v="19-06-2024"/>
    <s v="24-06-2024"/>
    <x v="2"/>
    <s v="CUST-1331"/>
    <s v="Rohan Das"/>
    <x v="0"/>
    <s v="India"/>
    <x v="4"/>
    <s v="Maharashtra"/>
    <n v="959544"/>
    <x v="3"/>
    <s v="PROD-2331"/>
    <x v="1"/>
    <x v="2"/>
    <s v="Samsung Galaxy"/>
    <n v="3051.17"/>
    <x v="0"/>
    <n v="3051.17"/>
    <e v="#N/A"/>
    <n v="6"/>
    <n v="0"/>
    <n v="244.09"/>
    <x v="1"/>
    <x v="3"/>
    <x v="27"/>
  </r>
  <r>
    <n v="332"/>
    <s v="VID100332"/>
    <s v="26-04-2022"/>
    <s v="30-04-2022"/>
    <x v="2"/>
    <s v="CUST-1332"/>
    <s v="Ananya Mishra"/>
    <x v="0"/>
    <s v="India"/>
    <x v="1"/>
    <s v="Karnataka"/>
    <n v="434842"/>
    <x v="1"/>
    <s v="PROD-2332"/>
    <x v="2"/>
    <x v="3"/>
    <s v="A4 Paper"/>
    <n v="46257.279999999999"/>
    <x v="0"/>
    <n v="46257.279999999999"/>
    <e v="#N/A"/>
    <n v="2"/>
    <n v="0.2"/>
    <n v="1387.72"/>
    <x v="2"/>
    <x v="4"/>
    <x v="21"/>
  </r>
  <r>
    <n v="333"/>
    <s v="VID100333"/>
    <s v="03-04-2023"/>
    <s v="04-04-2023"/>
    <x v="3"/>
    <s v="CUST-1333"/>
    <s v="Amit Verma"/>
    <x v="1"/>
    <s v="India"/>
    <x v="0"/>
    <s v="Delhi"/>
    <n v="887066"/>
    <x v="0"/>
    <s v="PROD-2333"/>
    <x v="0"/>
    <x v="0"/>
    <s v="Office Chair"/>
    <n v="77734.52"/>
    <x v="0"/>
    <n v="77734.52"/>
    <e v="#N/A"/>
    <n v="8"/>
    <n v="0.3"/>
    <n v="388.67"/>
    <x v="3"/>
    <x v="4"/>
    <x v="9"/>
  </r>
  <r>
    <n v="334"/>
    <s v="VID100334"/>
    <s v="15-12-2025"/>
    <s v="22-12-2025"/>
    <x v="3"/>
    <s v="CUST-1334"/>
    <s v="Vikram Singh"/>
    <x v="0"/>
    <s v="India"/>
    <x v="4"/>
    <s v="Maharashtra"/>
    <n v="465218"/>
    <x v="3"/>
    <s v="PROD-2334"/>
    <x v="1"/>
    <x v="1"/>
    <s v="Dell Inspiron"/>
    <n v="5979.36"/>
    <x v="0"/>
    <n v="5979.36"/>
    <e v="#N/A"/>
    <n v="10"/>
    <n v="0"/>
    <n v="478.35"/>
    <x v="4"/>
    <x v="1"/>
    <x v="28"/>
  </r>
  <r>
    <n v="335"/>
    <s v="VID100335"/>
    <s v="05-12-2024"/>
    <s v="12-12-2024"/>
    <x v="3"/>
    <s v="CUST-1335"/>
    <s v="Diya Nair"/>
    <x v="1"/>
    <s v="India"/>
    <x v="0"/>
    <s v="Delhi"/>
    <n v="231307"/>
    <x v="0"/>
    <s v="PROD-2335"/>
    <x v="0"/>
    <x v="0"/>
    <s v="Office Chair"/>
    <n v="12009.14"/>
    <x v="0"/>
    <n v="12009.14"/>
    <e v="#N/A"/>
    <n v="9"/>
    <n v="0.2"/>
    <n v="360.27"/>
    <x v="1"/>
    <x v="1"/>
    <x v="25"/>
  </r>
  <r>
    <n v="336"/>
    <s v="VID100336"/>
    <s v="14-06-2023"/>
    <s v="21-06-2023"/>
    <x v="0"/>
    <s v="CUST-1336"/>
    <s v="Sneha Reddy"/>
    <x v="1"/>
    <s v="India"/>
    <x v="0"/>
    <s v="Delhi"/>
    <n v="602722"/>
    <x v="0"/>
    <s v="PROD-2336"/>
    <x v="1"/>
    <x v="1"/>
    <s v="Dell Inspiron"/>
    <n v="90502.42"/>
    <x v="0"/>
    <n v="90502.42"/>
    <e v="#N/A"/>
    <n v="4"/>
    <n v="0.2"/>
    <n v="2715.07"/>
    <x v="3"/>
    <x v="3"/>
    <x v="6"/>
  </r>
  <r>
    <n v="337"/>
    <s v="VID100337"/>
    <s v="31-03-2025"/>
    <s v="01-04-2025"/>
    <x v="2"/>
    <s v="CUST-1337"/>
    <s v="Amit Verma"/>
    <x v="2"/>
    <s v="India"/>
    <x v="1"/>
    <s v="Karnataka"/>
    <n v="509269"/>
    <x v="1"/>
    <s v="PROD-2337"/>
    <x v="1"/>
    <x v="1"/>
    <s v="Dell Inspiron"/>
    <n v="14418.8"/>
    <x v="0"/>
    <n v="14418.8"/>
    <e v="#N/A"/>
    <n v="7"/>
    <n v="0.2"/>
    <n v="432.56"/>
    <x v="4"/>
    <x v="5"/>
    <x v="4"/>
  </r>
  <r>
    <n v="338"/>
    <s v="VID100338"/>
    <s v="14-12-2022"/>
    <s v="19-12-2022"/>
    <x v="1"/>
    <s v="CUST-1338"/>
    <s v="Rahul Joshi"/>
    <x v="2"/>
    <s v="India"/>
    <x v="1"/>
    <s v="Karnataka"/>
    <n v="550576"/>
    <x v="1"/>
    <s v="PROD-2338"/>
    <x v="2"/>
    <x v="3"/>
    <s v="A4 Paper"/>
    <n v="44215.86"/>
    <x v="0"/>
    <n v="44215.86"/>
    <e v="#N/A"/>
    <n v="8"/>
    <n v="0.1"/>
    <n v="2431.87"/>
    <x v="2"/>
    <x v="1"/>
    <x v="6"/>
  </r>
  <r>
    <n v="339"/>
    <s v="VID100339"/>
    <s v="07-12-2024"/>
    <s v="12-12-2024"/>
    <x v="1"/>
    <s v="CUST-1339"/>
    <s v="Diya Nair"/>
    <x v="0"/>
    <s v="India"/>
    <x v="2"/>
    <s v="West Bengal"/>
    <n v="706861"/>
    <x v="2"/>
    <s v="PROD-2339"/>
    <x v="2"/>
    <x v="3"/>
    <s v="A4 Paper"/>
    <n v="24879.98"/>
    <x v="0"/>
    <n v="24879.98"/>
    <e v="#N/A"/>
    <n v="7"/>
    <n v="0.2"/>
    <n v="746.4"/>
    <x v="1"/>
    <x v="1"/>
    <x v="8"/>
  </r>
  <r>
    <n v="340"/>
    <s v="VID100340"/>
    <s v="15-11-2021"/>
    <s v="22-11-2021"/>
    <x v="1"/>
    <s v="CUST-1340"/>
    <s v="Vikram Singh"/>
    <x v="0"/>
    <s v="India"/>
    <x v="4"/>
    <s v="Maharashtra"/>
    <n v="444284"/>
    <x v="3"/>
    <s v="PROD-2340"/>
    <x v="2"/>
    <x v="3"/>
    <s v="A4 Paper"/>
    <n v="88538.12"/>
    <x v="0"/>
    <n v="88538.12"/>
    <e v="#N/A"/>
    <n v="8"/>
    <n v="0.1"/>
    <n v="4869.6000000000004"/>
    <x v="0"/>
    <x v="9"/>
    <x v="28"/>
  </r>
  <r>
    <n v="341"/>
    <s v="VID100341"/>
    <s v="30-01-2022"/>
    <s v="04-02-2022"/>
    <x v="1"/>
    <s v="CUST-1341"/>
    <s v="Vikram Singh"/>
    <x v="1"/>
    <s v="India"/>
    <x v="1"/>
    <s v="Karnataka"/>
    <n v="287235"/>
    <x v="1"/>
    <s v="PROD-2341"/>
    <x v="0"/>
    <x v="0"/>
    <s v="Office Chair"/>
    <n v="67989.45"/>
    <x v="0"/>
    <n v="67989.45"/>
    <e v="#N/A"/>
    <n v="9"/>
    <n v="0"/>
    <n v="5439.16"/>
    <x v="2"/>
    <x v="8"/>
    <x v="16"/>
  </r>
  <r>
    <n v="342"/>
    <s v="VID100342"/>
    <s v="05-05-2025"/>
    <s v="08-05-2025"/>
    <x v="0"/>
    <s v="CUST-1342"/>
    <s v="Rohan Das"/>
    <x v="1"/>
    <s v="India"/>
    <x v="0"/>
    <s v="Delhi"/>
    <n v="582808"/>
    <x v="0"/>
    <s v="PROD-2342"/>
    <x v="2"/>
    <x v="3"/>
    <s v="A4 Paper"/>
    <n v="28061.82"/>
    <x v="0"/>
    <n v="28061.82"/>
    <e v="#N/A"/>
    <n v="8"/>
    <n v="0.3"/>
    <n v="140.31"/>
    <x v="4"/>
    <x v="0"/>
    <x v="25"/>
  </r>
  <r>
    <n v="343"/>
    <s v="VID100343"/>
    <s v="08-04-2023"/>
    <s v="12-04-2023"/>
    <x v="0"/>
    <s v="CUST-1343"/>
    <s v="Pooja Hegde"/>
    <x v="0"/>
    <s v="India"/>
    <x v="0"/>
    <s v="Delhi"/>
    <n v="887745"/>
    <x v="0"/>
    <s v="PROD-2343"/>
    <x v="1"/>
    <x v="2"/>
    <s v="Samsung Galaxy"/>
    <n v="87472"/>
    <x v="0"/>
    <n v="87472"/>
    <e v="#N/A"/>
    <n v="7"/>
    <n v="0.1"/>
    <n v="4810.96"/>
    <x v="3"/>
    <x v="4"/>
    <x v="3"/>
  </r>
  <r>
    <n v="344"/>
    <s v="VID100344"/>
    <s v="25-05-2022"/>
    <s v="31-05-2022"/>
    <x v="1"/>
    <s v="CUST-1344"/>
    <s v="Pooja Hegde"/>
    <x v="2"/>
    <s v="India"/>
    <x v="1"/>
    <s v="Karnataka"/>
    <n v="334769"/>
    <x v="1"/>
    <s v="PROD-2344"/>
    <x v="1"/>
    <x v="1"/>
    <s v="Dell Inspiron"/>
    <n v="78821.98"/>
    <x v="0"/>
    <n v="78821.98"/>
    <e v="#N/A"/>
    <n v="10"/>
    <n v="0.2"/>
    <n v="2364.66"/>
    <x v="2"/>
    <x v="0"/>
    <x v="17"/>
  </r>
  <r>
    <n v="345"/>
    <s v="VID100345"/>
    <s v="10-02-2024"/>
    <s v="13-02-2024"/>
    <x v="2"/>
    <s v="CUST-1345"/>
    <s v="Pooja Hegde"/>
    <x v="0"/>
    <s v="India"/>
    <x v="3"/>
    <s v="Gujarat"/>
    <n v="562189"/>
    <x v="3"/>
    <s v="PROD-2345"/>
    <x v="1"/>
    <x v="1"/>
    <s v="Dell Inspiron"/>
    <n v="74221.98"/>
    <x v="0"/>
    <n v="74221.98"/>
    <e v="#N/A"/>
    <n v="3"/>
    <n v="0.3"/>
    <n v="371.11"/>
    <x v="1"/>
    <x v="11"/>
    <x v="5"/>
  </r>
  <r>
    <n v="346"/>
    <s v="VID100346"/>
    <s v="02-04-2021"/>
    <s v="05-04-2021"/>
    <x v="0"/>
    <s v="CUST-1346"/>
    <s v="Rohan Das"/>
    <x v="0"/>
    <s v="India"/>
    <x v="4"/>
    <s v="Maharashtra"/>
    <n v="125816"/>
    <x v="3"/>
    <s v="PROD-2346"/>
    <x v="1"/>
    <x v="1"/>
    <s v="Dell Inspiron"/>
    <n v="57154.05"/>
    <x v="0"/>
    <n v="57154.05"/>
    <e v="#N/A"/>
    <n v="3"/>
    <n v="0.2"/>
    <n v="1714.62"/>
    <x v="0"/>
    <x v="4"/>
    <x v="10"/>
  </r>
  <r>
    <n v="347"/>
    <s v="VID100347"/>
    <s v="08-08-2025"/>
    <s v="10-08-2025"/>
    <x v="3"/>
    <s v="CUST-1347"/>
    <s v="Rahul Joshi"/>
    <x v="2"/>
    <s v="India"/>
    <x v="2"/>
    <s v="West Bengal"/>
    <n v="777596"/>
    <x v="2"/>
    <s v="PROD-2347"/>
    <x v="1"/>
    <x v="1"/>
    <s v="Dell Inspiron"/>
    <n v="31761.99"/>
    <x v="0"/>
    <n v="31761.99"/>
    <e v="#N/A"/>
    <n v="3"/>
    <n v="0"/>
    <n v="2540.96"/>
    <x v="4"/>
    <x v="2"/>
    <x v="3"/>
  </r>
  <r>
    <n v="348"/>
    <s v="VID100348"/>
    <s v="17-07-2022"/>
    <s v="22-07-2022"/>
    <x v="0"/>
    <s v="CUST-1348"/>
    <s v="Rohan Das"/>
    <x v="2"/>
    <s v="India"/>
    <x v="2"/>
    <s v="West Bengal"/>
    <n v="205312"/>
    <x v="2"/>
    <s v="PROD-2348"/>
    <x v="0"/>
    <x v="0"/>
    <s v="Office Chair"/>
    <n v="32020.35"/>
    <x v="0"/>
    <n v="32020.35"/>
    <e v="#N/A"/>
    <n v="10"/>
    <n v="0.1"/>
    <n v="1761.12"/>
    <x v="2"/>
    <x v="6"/>
    <x v="29"/>
  </r>
  <r>
    <n v="349"/>
    <s v="VID100349"/>
    <s v="28-10-2025"/>
    <s v="30-10-2025"/>
    <x v="3"/>
    <s v="CUST-1349"/>
    <s v="Ananya Mishra"/>
    <x v="0"/>
    <s v="India"/>
    <x v="0"/>
    <s v="Delhi"/>
    <n v="864332"/>
    <x v="0"/>
    <s v="PROD-2349"/>
    <x v="0"/>
    <x v="0"/>
    <s v="Office Chair"/>
    <n v="52243.45"/>
    <x v="0"/>
    <n v="52243.45"/>
    <e v="#N/A"/>
    <n v="4"/>
    <n v="0.2"/>
    <n v="1567.3"/>
    <x v="4"/>
    <x v="7"/>
    <x v="13"/>
  </r>
  <r>
    <n v="350"/>
    <s v="VID100350"/>
    <s v="29-05-2025"/>
    <s v="31-05-2025"/>
    <x v="2"/>
    <s v="CUST-1350"/>
    <s v="Pooja Hegde"/>
    <x v="0"/>
    <s v="India"/>
    <x v="4"/>
    <s v="Maharashtra"/>
    <n v="699093"/>
    <x v="3"/>
    <s v="PROD-2350"/>
    <x v="1"/>
    <x v="2"/>
    <s v="Samsung Galaxy"/>
    <n v="51344.76"/>
    <x v="0"/>
    <n v="51344.76"/>
    <e v="#N/A"/>
    <n v="9"/>
    <n v="0.1"/>
    <n v="2823.96"/>
    <x v="4"/>
    <x v="0"/>
    <x v="19"/>
  </r>
  <r>
    <n v="351"/>
    <s v="VID100351"/>
    <s v="30-01-2023"/>
    <s v="01-02-2023"/>
    <x v="2"/>
    <s v="CUST-1351"/>
    <s v="Pooja Hegde"/>
    <x v="0"/>
    <s v="India"/>
    <x v="2"/>
    <s v="West Bengal"/>
    <n v="833445"/>
    <x v="2"/>
    <s v="PROD-2351"/>
    <x v="1"/>
    <x v="1"/>
    <s v="Dell Inspiron"/>
    <n v="97621.15"/>
    <x v="0"/>
    <n v="97621.15"/>
    <e v="#N/A"/>
    <n v="2"/>
    <n v="0.2"/>
    <n v="2928.63"/>
    <x v="3"/>
    <x v="8"/>
    <x v="16"/>
  </r>
  <r>
    <n v="352"/>
    <s v="VID100352"/>
    <s v="05-10-2024"/>
    <s v="09-10-2024"/>
    <x v="2"/>
    <s v="CUST-1352"/>
    <s v="Amit Verma"/>
    <x v="0"/>
    <s v="India"/>
    <x v="0"/>
    <s v="Delhi"/>
    <n v="360144"/>
    <x v="0"/>
    <s v="PROD-2352"/>
    <x v="0"/>
    <x v="0"/>
    <s v="Office Chair"/>
    <n v="46796.43"/>
    <x v="0"/>
    <n v="46796.43"/>
    <e v="#N/A"/>
    <n v="6"/>
    <n v="0.1"/>
    <n v="2573.8000000000002"/>
    <x v="1"/>
    <x v="7"/>
    <x v="25"/>
  </r>
  <r>
    <n v="353"/>
    <s v="VID100353"/>
    <s v="30-10-2023"/>
    <s v="01-11-2023"/>
    <x v="2"/>
    <s v="CUST-1353"/>
    <s v="Pooja Hegde"/>
    <x v="1"/>
    <s v="India"/>
    <x v="1"/>
    <s v="Karnataka"/>
    <n v="155830"/>
    <x v="1"/>
    <s v="PROD-2353"/>
    <x v="1"/>
    <x v="2"/>
    <s v="Samsung Galaxy"/>
    <n v="62246.96"/>
    <x v="0"/>
    <n v="62246.96"/>
    <e v="#N/A"/>
    <n v="3"/>
    <n v="0.3"/>
    <n v="311.23"/>
    <x v="3"/>
    <x v="7"/>
    <x v="16"/>
  </r>
  <r>
    <n v="354"/>
    <s v="VID100354"/>
    <s v="01-08-2022"/>
    <s v="07-08-2022"/>
    <x v="3"/>
    <s v="CUST-1354"/>
    <s v="Pooja Hegde"/>
    <x v="1"/>
    <s v="India"/>
    <x v="1"/>
    <s v="Karnataka"/>
    <n v="530522"/>
    <x v="1"/>
    <s v="PROD-2354"/>
    <x v="0"/>
    <x v="0"/>
    <s v="Office Chair"/>
    <n v="14439.86"/>
    <x v="0"/>
    <n v="14439.86"/>
    <e v="#N/A"/>
    <n v="2"/>
    <n v="0.3"/>
    <n v="72.2"/>
    <x v="2"/>
    <x v="2"/>
    <x v="11"/>
  </r>
  <r>
    <n v="355"/>
    <s v="VID100355"/>
    <s v="05-12-2021"/>
    <s v="06-12-2021"/>
    <x v="0"/>
    <s v="CUST-1355"/>
    <s v="Diya Nair"/>
    <x v="0"/>
    <s v="India"/>
    <x v="2"/>
    <s v="West Bengal"/>
    <n v="557655"/>
    <x v="2"/>
    <s v="PROD-2355"/>
    <x v="1"/>
    <x v="2"/>
    <s v="Samsung Galaxy"/>
    <n v="89265.61"/>
    <x v="0"/>
    <n v="89265.61"/>
    <e v="#N/A"/>
    <n v="4"/>
    <n v="0"/>
    <n v="7141.25"/>
    <x v="0"/>
    <x v="1"/>
    <x v="25"/>
  </r>
  <r>
    <n v="356"/>
    <s v="VID100356"/>
    <s v="07-12-2024"/>
    <s v="10-12-2024"/>
    <x v="2"/>
    <s v="CUST-1356"/>
    <s v="Rahul Joshi"/>
    <x v="1"/>
    <s v="India"/>
    <x v="3"/>
    <s v="Gujarat"/>
    <n v="841482"/>
    <x v="3"/>
    <s v="PROD-2356"/>
    <x v="1"/>
    <x v="2"/>
    <s v="Samsung Galaxy"/>
    <n v="25575.99"/>
    <x v="0"/>
    <n v="25575.99"/>
    <e v="#N/A"/>
    <n v="2"/>
    <n v="0"/>
    <n v="2046.08"/>
    <x v="1"/>
    <x v="1"/>
    <x v="8"/>
  </r>
  <r>
    <n v="357"/>
    <s v="VID100357"/>
    <s v="19-09-2022"/>
    <s v="22-09-2022"/>
    <x v="2"/>
    <s v="CUST-1357"/>
    <s v="Ananya Mishra"/>
    <x v="1"/>
    <s v="India"/>
    <x v="4"/>
    <s v="Maharashtra"/>
    <n v="253301"/>
    <x v="3"/>
    <s v="PROD-2357"/>
    <x v="2"/>
    <x v="3"/>
    <s v="A4 Paper"/>
    <n v="22156.16"/>
    <x v="0"/>
    <n v="22156.16"/>
    <e v="#N/A"/>
    <n v="4"/>
    <n v="0.2"/>
    <n v="664.68"/>
    <x v="2"/>
    <x v="10"/>
    <x v="27"/>
  </r>
  <r>
    <n v="358"/>
    <s v="VID100358"/>
    <s v="01-06-2024"/>
    <s v="07-06-2024"/>
    <x v="0"/>
    <s v="CUST-1358"/>
    <s v="Diya Nair"/>
    <x v="2"/>
    <s v="India"/>
    <x v="4"/>
    <s v="Maharashtra"/>
    <n v="920070"/>
    <x v="3"/>
    <s v="PROD-2358"/>
    <x v="1"/>
    <x v="1"/>
    <s v="Dell Inspiron"/>
    <n v="91718.85"/>
    <x v="0"/>
    <n v="91718.85"/>
    <e v="#N/A"/>
    <n v="4"/>
    <n v="0.1"/>
    <n v="5044.54"/>
    <x v="1"/>
    <x v="3"/>
    <x v="11"/>
  </r>
  <r>
    <n v="359"/>
    <s v="VID100359"/>
    <s v="30-06-2025"/>
    <s v="07-07-2025"/>
    <x v="3"/>
    <s v="CUST-1359"/>
    <s v="Diya Nair"/>
    <x v="2"/>
    <s v="India"/>
    <x v="0"/>
    <s v="Delhi"/>
    <n v="783119"/>
    <x v="0"/>
    <s v="PROD-2359"/>
    <x v="1"/>
    <x v="1"/>
    <s v="Dell Inspiron"/>
    <n v="37078.89"/>
    <x v="0"/>
    <n v="37078.89"/>
    <e v="#N/A"/>
    <n v="5"/>
    <n v="0"/>
    <n v="2966.31"/>
    <x v="4"/>
    <x v="3"/>
    <x v="16"/>
  </r>
  <r>
    <n v="360"/>
    <s v="VID100360"/>
    <s v="22-12-2025"/>
    <s v="29-12-2025"/>
    <x v="1"/>
    <s v="CUST-1360"/>
    <s v="Rohan Das"/>
    <x v="1"/>
    <s v="India"/>
    <x v="3"/>
    <s v="Gujarat"/>
    <n v="773726"/>
    <x v="3"/>
    <s v="PROD-2360"/>
    <x v="2"/>
    <x v="3"/>
    <s v="A4 Paper"/>
    <n v="28405.29"/>
    <x v="0"/>
    <n v="28405.29"/>
    <e v="#N/A"/>
    <n v="4"/>
    <n v="0.1"/>
    <n v="1562.29"/>
    <x v="4"/>
    <x v="1"/>
    <x v="2"/>
  </r>
  <r>
    <n v="361"/>
    <s v="VID100361"/>
    <s v="09-05-2025"/>
    <s v="10-05-2025"/>
    <x v="3"/>
    <s v="CUST-1361"/>
    <s v="Rohan Das"/>
    <x v="2"/>
    <s v="India"/>
    <x v="2"/>
    <s v="West Bengal"/>
    <n v="146349"/>
    <x v="2"/>
    <s v="PROD-2361"/>
    <x v="1"/>
    <x v="2"/>
    <s v="Samsung Galaxy"/>
    <n v="33896.6"/>
    <x v="0"/>
    <n v="33896.6"/>
    <e v="#N/A"/>
    <n v="3"/>
    <n v="0.1"/>
    <n v="1864.31"/>
    <x v="4"/>
    <x v="0"/>
    <x v="18"/>
  </r>
  <r>
    <n v="362"/>
    <s v="VID100362"/>
    <s v="16-08-2024"/>
    <s v="22-08-2024"/>
    <x v="3"/>
    <s v="CUST-1362"/>
    <s v="Diya Nair"/>
    <x v="0"/>
    <s v="India"/>
    <x v="0"/>
    <s v="Delhi"/>
    <n v="866723"/>
    <x v="0"/>
    <s v="PROD-2362"/>
    <x v="1"/>
    <x v="2"/>
    <s v="Samsung Galaxy"/>
    <n v="30107.32"/>
    <x v="0"/>
    <n v="30107.32"/>
    <e v="#N/A"/>
    <n v="5"/>
    <n v="0.2"/>
    <n v="903.22"/>
    <x v="1"/>
    <x v="2"/>
    <x v="20"/>
  </r>
  <r>
    <n v="363"/>
    <s v="VID100363"/>
    <s v="01-05-2021"/>
    <s v="05-05-2021"/>
    <x v="2"/>
    <s v="CUST-1363"/>
    <s v="Rahul Joshi"/>
    <x v="0"/>
    <s v="India"/>
    <x v="3"/>
    <s v="Gujarat"/>
    <n v="744397"/>
    <x v="3"/>
    <s v="PROD-2363"/>
    <x v="0"/>
    <x v="0"/>
    <s v="Office Chair"/>
    <n v="81587.960000000006"/>
    <x v="0"/>
    <n v="81587.960000000006"/>
    <e v="#N/A"/>
    <n v="10"/>
    <n v="0.3"/>
    <n v="407.94"/>
    <x v="0"/>
    <x v="0"/>
    <x v="11"/>
  </r>
  <r>
    <n v="364"/>
    <s v="VID100364"/>
    <s v="28-11-2022"/>
    <s v="03-12-2022"/>
    <x v="0"/>
    <s v="CUST-1364"/>
    <s v="Vikram Singh"/>
    <x v="2"/>
    <s v="India"/>
    <x v="4"/>
    <s v="Maharashtra"/>
    <n v="191081"/>
    <x v="3"/>
    <s v="PROD-2364"/>
    <x v="1"/>
    <x v="1"/>
    <s v="Dell Inspiron"/>
    <n v="99774.04"/>
    <x v="0"/>
    <e v="#N/A"/>
    <n v="99774.04"/>
    <n v="6"/>
    <n v="0.3"/>
    <n v="498.87"/>
    <x v="2"/>
    <x v="9"/>
    <x v="13"/>
  </r>
  <r>
    <n v="365"/>
    <s v="VID100365"/>
    <s v="28-02-2022"/>
    <s v="04-03-2022"/>
    <x v="3"/>
    <s v="CUST-1365"/>
    <s v="Sneha Reddy"/>
    <x v="0"/>
    <s v="India"/>
    <x v="4"/>
    <s v="Maharashtra"/>
    <n v="226895"/>
    <x v="3"/>
    <s v="PROD-2365"/>
    <x v="1"/>
    <x v="2"/>
    <s v="Samsung Galaxy"/>
    <n v="46146.46"/>
    <x v="0"/>
    <n v="46146.46"/>
    <e v="#N/A"/>
    <n v="8"/>
    <n v="0.1"/>
    <n v="2538.06"/>
    <x v="2"/>
    <x v="11"/>
    <x v="13"/>
  </r>
  <r>
    <n v="366"/>
    <s v="VID100366"/>
    <s v="25-08-2024"/>
    <s v="27-08-2024"/>
    <x v="1"/>
    <s v="CUST-1366"/>
    <s v="Aarav Sharma"/>
    <x v="1"/>
    <s v="India"/>
    <x v="4"/>
    <s v="Maharashtra"/>
    <n v="352702"/>
    <x v="3"/>
    <s v="PROD-2366"/>
    <x v="1"/>
    <x v="1"/>
    <s v="Dell Inspiron"/>
    <n v="46535.65"/>
    <x v="0"/>
    <n v="46535.65"/>
    <e v="#N/A"/>
    <n v="8"/>
    <n v="0"/>
    <n v="3722.85"/>
    <x v="1"/>
    <x v="2"/>
    <x v="17"/>
  </r>
  <r>
    <n v="367"/>
    <s v="VID100367"/>
    <s v="21-01-2023"/>
    <s v="27-01-2023"/>
    <x v="3"/>
    <s v="CUST-1367"/>
    <s v="Pooja Hegde"/>
    <x v="2"/>
    <s v="India"/>
    <x v="4"/>
    <s v="Maharashtra"/>
    <n v="880472"/>
    <x v="3"/>
    <s v="PROD-2367"/>
    <x v="2"/>
    <x v="3"/>
    <s v="A4 Paper"/>
    <n v="39046.33"/>
    <x v="0"/>
    <n v="39046.33"/>
    <e v="#N/A"/>
    <n v="1"/>
    <n v="0.3"/>
    <n v="195.23"/>
    <x v="3"/>
    <x v="8"/>
    <x v="26"/>
  </r>
  <r>
    <n v="368"/>
    <s v="VID100368"/>
    <s v="27-08-2023"/>
    <s v="28-08-2023"/>
    <x v="2"/>
    <s v="CUST-1368"/>
    <s v="Sneha Reddy"/>
    <x v="0"/>
    <s v="India"/>
    <x v="2"/>
    <s v="West Bengal"/>
    <n v="176290"/>
    <x v="2"/>
    <s v="PROD-2368"/>
    <x v="1"/>
    <x v="2"/>
    <s v="Samsung Galaxy"/>
    <n v="98328.22"/>
    <x v="0"/>
    <n v="98328.22"/>
    <e v="#N/A"/>
    <n v="8"/>
    <n v="0.3"/>
    <n v="491.64"/>
    <x v="3"/>
    <x v="2"/>
    <x v="7"/>
  </r>
  <r>
    <n v="369"/>
    <s v="VID100369"/>
    <s v="21-11-2023"/>
    <s v="24-11-2023"/>
    <x v="0"/>
    <s v="CUST-1369"/>
    <s v="Vikram Singh"/>
    <x v="1"/>
    <s v="India"/>
    <x v="3"/>
    <s v="Gujarat"/>
    <n v="160494"/>
    <x v="3"/>
    <s v="PROD-2369"/>
    <x v="1"/>
    <x v="2"/>
    <s v="Samsung Galaxy"/>
    <n v="36257.589999999997"/>
    <x v="0"/>
    <n v="36257.589999999997"/>
    <e v="#N/A"/>
    <n v="5"/>
    <n v="0.1"/>
    <n v="1994.17"/>
    <x v="3"/>
    <x v="9"/>
    <x v="26"/>
  </r>
  <r>
    <n v="370"/>
    <s v="VID100370"/>
    <s v="23-04-2021"/>
    <s v="28-04-2021"/>
    <x v="2"/>
    <s v="CUST-1370"/>
    <s v="Aarav Sharma"/>
    <x v="2"/>
    <s v="India"/>
    <x v="3"/>
    <s v="Gujarat"/>
    <n v="963529"/>
    <x v="3"/>
    <s v="PROD-2370"/>
    <x v="1"/>
    <x v="2"/>
    <s v="Samsung Galaxy"/>
    <n v="68269.440000000002"/>
    <x v="0"/>
    <n v="68269.440000000002"/>
    <e v="#N/A"/>
    <n v="5"/>
    <n v="0.1"/>
    <n v="3754.82"/>
    <x v="0"/>
    <x v="4"/>
    <x v="24"/>
  </r>
  <r>
    <n v="371"/>
    <s v="VID100371"/>
    <s v="26-01-2021"/>
    <s v="28-01-2021"/>
    <x v="0"/>
    <s v="CUST-1371"/>
    <s v="Amit Verma"/>
    <x v="2"/>
    <s v="India"/>
    <x v="1"/>
    <s v="Karnataka"/>
    <n v="939478"/>
    <x v="1"/>
    <s v="PROD-2371"/>
    <x v="1"/>
    <x v="2"/>
    <s v="Samsung Galaxy"/>
    <n v="94186.32"/>
    <x v="0"/>
    <n v="94186.32"/>
    <e v="#N/A"/>
    <n v="4"/>
    <n v="0.3"/>
    <n v="470.93"/>
    <x v="0"/>
    <x v="8"/>
    <x v="21"/>
  </r>
  <r>
    <n v="372"/>
    <s v="VID100372"/>
    <s v="23-01-2021"/>
    <s v="26-01-2021"/>
    <x v="0"/>
    <s v="CUST-1372"/>
    <s v="Aarav Sharma"/>
    <x v="2"/>
    <s v="India"/>
    <x v="4"/>
    <s v="Maharashtra"/>
    <n v="690078"/>
    <x v="3"/>
    <s v="PROD-2372"/>
    <x v="0"/>
    <x v="0"/>
    <s v="Office Chair"/>
    <n v="40962.660000000003"/>
    <x v="0"/>
    <n v="40962.660000000003"/>
    <e v="#N/A"/>
    <n v="4"/>
    <n v="0.2"/>
    <n v="1228.8800000000001"/>
    <x v="0"/>
    <x v="8"/>
    <x v="24"/>
  </r>
  <r>
    <n v="373"/>
    <s v="VID100373"/>
    <s v="26-10-2023"/>
    <s v="30-10-2023"/>
    <x v="1"/>
    <s v="CUST-1373"/>
    <s v="Ananya Mishra"/>
    <x v="0"/>
    <s v="India"/>
    <x v="0"/>
    <s v="Delhi"/>
    <n v="204191"/>
    <x v="0"/>
    <s v="PROD-2373"/>
    <x v="1"/>
    <x v="1"/>
    <s v="Dell Inspiron"/>
    <n v="51478.23"/>
    <x v="0"/>
    <n v="51478.23"/>
    <e v="#N/A"/>
    <n v="7"/>
    <n v="0"/>
    <n v="4118.26"/>
    <x v="3"/>
    <x v="7"/>
    <x v="21"/>
  </r>
  <r>
    <n v="374"/>
    <s v="VID100374"/>
    <s v="08-10-2023"/>
    <s v="14-10-2023"/>
    <x v="1"/>
    <s v="CUST-1374"/>
    <s v="Diya Nair"/>
    <x v="1"/>
    <s v="India"/>
    <x v="3"/>
    <s v="Gujarat"/>
    <n v="498239"/>
    <x v="3"/>
    <s v="PROD-2374"/>
    <x v="0"/>
    <x v="0"/>
    <s v="Office Chair"/>
    <n v="43381.37"/>
    <x v="0"/>
    <n v="43381.37"/>
    <e v="#N/A"/>
    <n v="6"/>
    <n v="0.3"/>
    <n v="216.91"/>
    <x v="3"/>
    <x v="7"/>
    <x v="3"/>
  </r>
  <r>
    <n v="375"/>
    <s v="VID100375"/>
    <s v="21-05-2025"/>
    <s v="28-05-2025"/>
    <x v="1"/>
    <s v="CUST-1375"/>
    <s v="Amit Verma"/>
    <x v="1"/>
    <s v="India"/>
    <x v="0"/>
    <s v="Delhi"/>
    <n v="161775"/>
    <x v="0"/>
    <s v="PROD-2375"/>
    <x v="1"/>
    <x v="2"/>
    <s v="Samsung Galaxy"/>
    <n v="3268.74"/>
    <x v="0"/>
    <n v="3268.74"/>
    <e v="#N/A"/>
    <n v="8"/>
    <n v="0.2"/>
    <n v="98.06"/>
    <x v="4"/>
    <x v="0"/>
    <x v="26"/>
  </r>
  <r>
    <n v="376"/>
    <s v="VID100376"/>
    <s v="10-10-2024"/>
    <s v="11-10-2024"/>
    <x v="0"/>
    <s v="CUST-1376"/>
    <s v="Aarav Sharma"/>
    <x v="2"/>
    <s v="India"/>
    <x v="1"/>
    <s v="Karnataka"/>
    <n v="446905"/>
    <x v="1"/>
    <s v="PROD-2376"/>
    <x v="1"/>
    <x v="2"/>
    <s v="Samsung Galaxy"/>
    <n v="60218.400000000001"/>
    <x v="0"/>
    <n v="60218.400000000001"/>
    <e v="#N/A"/>
    <n v="4"/>
    <n v="0.3"/>
    <n v="301.08999999999997"/>
    <x v="1"/>
    <x v="7"/>
    <x v="5"/>
  </r>
  <r>
    <n v="377"/>
    <s v="VID100377"/>
    <s v="05-12-2021"/>
    <s v="12-12-2021"/>
    <x v="3"/>
    <s v="CUST-1377"/>
    <s v="Rohan Das"/>
    <x v="0"/>
    <s v="India"/>
    <x v="1"/>
    <s v="Karnataka"/>
    <n v="970700"/>
    <x v="1"/>
    <s v="PROD-2377"/>
    <x v="2"/>
    <x v="3"/>
    <s v="A4 Paper"/>
    <n v="33622.07"/>
    <x v="0"/>
    <n v="33622.07"/>
    <e v="#N/A"/>
    <n v="2"/>
    <n v="0"/>
    <n v="2689.77"/>
    <x v="0"/>
    <x v="1"/>
    <x v="25"/>
  </r>
  <r>
    <n v="378"/>
    <s v="VID100378"/>
    <s v="10-10-2022"/>
    <s v="13-10-2022"/>
    <x v="3"/>
    <s v="CUST-1378"/>
    <s v="Vikram Singh"/>
    <x v="2"/>
    <s v="India"/>
    <x v="1"/>
    <s v="Karnataka"/>
    <n v="487337"/>
    <x v="1"/>
    <s v="PROD-2378"/>
    <x v="2"/>
    <x v="3"/>
    <s v="A4 Paper"/>
    <n v="49390.76"/>
    <x v="0"/>
    <n v="49390.76"/>
    <e v="#N/A"/>
    <n v="1"/>
    <n v="0"/>
    <n v="3951.26"/>
    <x v="2"/>
    <x v="7"/>
    <x v="5"/>
  </r>
  <r>
    <n v="379"/>
    <s v="VID100379"/>
    <s v="16-09-2024"/>
    <s v="21-09-2024"/>
    <x v="0"/>
    <s v="CUST-1379"/>
    <s v="Diya Nair"/>
    <x v="2"/>
    <s v="India"/>
    <x v="3"/>
    <s v="Gujarat"/>
    <n v="265542"/>
    <x v="3"/>
    <s v="PROD-2379"/>
    <x v="0"/>
    <x v="0"/>
    <s v="Office Chair"/>
    <n v="43003.29"/>
    <x v="0"/>
    <n v="43003.29"/>
    <e v="#N/A"/>
    <n v="7"/>
    <n v="0"/>
    <n v="3440.26"/>
    <x v="1"/>
    <x v="10"/>
    <x v="20"/>
  </r>
  <r>
    <n v="380"/>
    <s v="VID100380"/>
    <s v="02-08-2025"/>
    <s v="05-08-2025"/>
    <x v="0"/>
    <s v="CUST-1380"/>
    <s v="Amit Verma"/>
    <x v="0"/>
    <s v="India"/>
    <x v="0"/>
    <s v="Delhi"/>
    <n v="833728"/>
    <x v="0"/>
    <s v="PROD-2380"/>
    <x v="1"/>
    <x v="2"/>
    <s v="Samsung Galaxy"/>
    <n v="13074.01"/>
    <x v="0"/>
    <n v="13074.01"/>
    <e v="#N/A"/>
    <n v="1"/>
    <n v="0.2"/>
    <n v="392.22"/>
    <x v="4"/>
    <x v="2"/>
    <x v="10"/>
  </r>
  <r>
    <n v="381"/>
    <s v="VID100381"/>
    <s v="24-06-2025"/>
    <s v="28-06-2025"/>
    <x v="1"/>
    <s v="CUST-1381"/>
    <s v="Amit Verma"/>
    <x v="2"/>
    <s v="India"/>
    <x v="4"/>
    <s v="Maharashtra"/>
    <n v="627102"/>
    <x v="3"/>
    <s v="PROD-2381"/>
    <x v="0"/>
    <x v="0"/>
    <s v="Office Chair"/>
    <n v="26393.88"/>
    <x v="0"/>
    <n v="26393.88"/>
    <e v="#N/A"/>
    <n v="5"/>
    <n v="0.2"/>
    <n v="791.82"/>
    <x v="4"/>
    <x v="3"/>
    <x v="14"/>
  </r>
  <r>
    <n v="382"/>
    <s v="VID100382"/>
    <s v="17-04-2022"/>
    <s v="21-04-2022"/>
    <x v="2"/>
    <s v="CUST-1382"/>
    <s v="Rahul Joshi"/>
    <x v="2"/>
    <s v="India"/>
    <x v="1"/>
    <s v="Karnataka"/>
    <n v="628311"/>
    <x v="1"/>
    <s v="PROD-2382"/>
    <x v="0"/>
    <x v="0"/>
    <s v="Office Chair"/>
    <n v="22374.73"/>
    <x v="0"/>
    <n v="22374.73"/>
    <e v="#N/A"/>
    <n v="4"/>
    <n v="0.3"/>
    <n v="111.87"/>
    <x v="2"/>
    <x v="4"/>
    <x v="29"/>
  </r>
  <r>
    <n v="383"/>
    <s v="VID100383"/>
    <s v="28-02-2024"/>
    <s v="02-03-2024"/>
    <x v="1"/>
    <s v="CUST-1383"/>
    <s v="Vikram Singh"/>
    <x v="0"/>
    <s v="India"/>
    <x v="0"/>
    <s v="Delhi"/>
    <n v="523371"/>
    <x v="0"/>
    <s v="PROD-2383"/>
    <x v="1"/>
    <x v="2"/>
    <s v="Samsung Galaxy"/>
    <n v="55690.93"/>
    <x v="0"/>
    <n v="55690.93"/>
    <e v="#N/A"/>
    <n v="6"/>
    <n v="0.3"/>
    <n v="278.45"/>
    <x v="1"/>
    <x v="11"/>
    <x v="13"/>
  </r>
  <r>
    <n v="384"/>
    <s v="VID100384"/>
    <s v="18-12-2022"/>
    <s v="19-12-2022"/>
    <x v="0"/>
    <s v="CUST-1384"/>
    <s v="Priya Patel"/>
    <x v="1"/>
    <s v="India"/>
    <x v="3"/>
    <s v="Gujarat"/>
    <n v="929799"/>
    <x v="3"/>
    <s v="PROD-2384"/>
    <x v="1"/>
    <x v="2"/>
    <s v="Samsung Galaxy"/>
    <n v="77852.600000000006"/>
    <x v="0"/>
    <n v="77852.600000000006"/>
    <e v="#N/A"/>
    <n v="7"/>
    <n v="0.2"/>
    <n v="2335.58"/>
    <x v="2"/>
    <x v="1"/>
    <x v="12"/>
  </r>
  <r>
    <n v="385"/>
    <s v="VID100385"/>
    <s v="30-08-2021"/>
    <s v="04-09-2021"/>
    <x v="0"/>
    <s v="CUST-1385"/>
    <s v="Ananya Mishra"/>
    <x v="2"/>
    <s v="India"/>
    <x v="4"/>
    <s v="Maharashtra"/>
    <n v="645775"/>
    <x v="3"/>
    <s v="PROD-2385"/>
    <x v="1"/>
    <x v="2"/>
    <s v="Samsung Galaxy"/>
    <n v="21115.96"/>
    <x v="0"/>
    <n v="21115.96"/>
    <e v="#N/A"/>
    <n v="2"/>
    <n v="0"/>
    <n v="1689.28"/>
    <x v="0"/>
    <x v="2"/>
    <x v="16"/>
  </r>
  <r>
    <n v="386"/>
    <s v="VID100386"/>
    <s v="09-03-2021"/>
    <s v="11-03-2021"/>
    <x v="2"/>
    <s v="CUST-1386"/>
    <s v="Vikram Singh"/>
    <x v="1"/>
    <s v="India"/>
    <x v="1"/>
    <s v="Karnataka"/>
    <n v="926740"/>
    <x v="1"/>
    <s v="PROD-2386"/>
    <x v="2"/>
    <x v="3"/>
    <s v="A4 Paper"/>
    <n v="60333.79"/>
    <x v="0"/>
    <n v="60333.79"/>
    <e v="#N/A"/>
    <n v="3"/>
    <n v="0.1"/>
    <n v="3318.36"/>
    <x v="0"/>
    <x v="5"/>
    <x v="18"/>
  </r>
  <r>
    <n v="387"/>
    <s v="VID100387"/>
    <s v="16-10-2024"/>
    <s v="19-10-2024"/>
    <x v="2"/>
    <s v="CUST-1387"/>
    <s v="Rahul Joshi"/>
    <x v="0"/>
    <s v="India"/>
    <x v="4"/>
    <s v="Maharashtra"/>
    <n v="653389"/>
    <x v="3"/>
    <s v="PROD-2387"/>
    <x v="1"/>
    <x v="2"/>
    <s v="Samsung Galaxy"/>
    <n v="53551.16"/>
    <x v="0"/>
    <n v="53551.16"/>
    <e v="#N/A"/>
    <n v="9"/>
    <n v="0.1"/>
    <n v="2945.31"/>
    <x v="1"/>
    <x v="7"/>
    <x v="20"/>
  </r>
  <r>
    <n v="388"/>
    <s v="VID100388"/>
    <s v="10-08-2024"/>
    <s v="16-08-2024"/>
    <x v="3"/>
    <s v="CUST-1388"/>
    <s v="Pooja Hegde"/>
    <x v="1"/>
    <s v="India"/>
    <x v="2"/>
    <s v="West Bengal"/>
    <n v="593918"/>
    <x v="2"/>
    <s v="PROD-2388"/>
    <x v="1"/>
    <x v="2"/>
    <s v="Samsung Galaxy"/>
    <n v="2659.85"/>
    <x v="0"/>
    <n v="2659.85"/>
    <e v="#N/A"/>
    <n v="4"/>
    <n v="0.3"/>
    <n v="13.3"/>
    <x v="1"/>
    <x v="2"/>
    <x v="5"/>
  </r>
  <r>
    <n v="389"/>
    <s v="VID100389"/>
    <s v="24-10-2025"/>
    <s v="30-10-2025"/>
    <x v="1"/>
    <s v="CUST-1389"/>
    <s v="Aarav Sharma"/>
    <x v="2"/>
    <s v="India"/>
    <x v="3"/>
    <s v="Gujarat"/>
    <n v="893758"/>
    <x v="3"/>
    <s v="PROD-2389"/>
    <x v="2"/>
    <x v="3"/>
    <s v="A4 Paper"/>
    <n v="67463.72"/>
    <x v="0"/>
    <n v="67463.72"/>
    <e v="#N/A"/>
    <n v="1"/>
    <n v="0"/>
    <n v="5397.1"/>
    <x v="4"/>
    <x v="7"/>
    <x v="14"/>
  </r>
  <r>
    <n v="390"/>
    <s v="VID100390"/>
    <s v="10-06-2024"/>
    <s v="11-06-2024"/>
    <x v="2"/>
    <s v="CUST-1390"/>
    <s v="Amit Verma"/>
    <x v="1"/>
    <s v="India"/>
    <x v="3"/>
    <s v="Gujarat"/>
    <n v="802337"/>
    <x v="3"/>
    <s v="PROD-2390"/>
    <x v="1"/>
    <x v="2"/>
    <s v="Samsung Galaxy"/>
    <n v="69942.17"/>
    <x v="0"/>
    <n v="69942.17"/>
    <e v="#N/A"/>
    <n v="2"/>
    <n v="0"/>
    <n v="5595.37"/>
    <x v="1"/>
    <x v="3"/>
    <x v="5"/>
  </r>
  <r>
    <n v="391"/>
    <s v="VID100391"/>
    <s v="23-08-2022"/>
    <s v="28-08-2022"/>
    <x v="3"/>
    <s v="CUST-1391"/>
    <s v="Aarav Sharma"/>
    <x v="0"/>
    <s v="India"/>
    <x v="1"/>
    <s v="Karnataka"/>
    <n v="969548"/>
    <x v="1"/>
    <s v="PROD-2391"/>
    <x v="2"/>
    <x v="3"/>
    <s v="A4 Paper"/>
    <n v="51151.33"/>
    <x v="0"/>
    <n v="51151.33"/>
    <e v="#N/A"/>
    <n v="4"/>
    <n v="0.3"/>
    <n v="255.76"/>
    <x v="2"/>
    <x v="2"/>
    <x v="24"/>
  </r>
  <r>
    <n v="392"/>
    <s v="VID100392"/>
    <s v="29-10-2021"/>
    <s v="31-10-2021"/>
    <x v="1"/>
    <s v="CUST-1392"/>
    <s v="Sneha Reddy"/>
    <x v="1"/>
    <s v="India"/>
    <x v="1"/>
    <s v="Karnataka"/>
    <n v="450809"/>
    <x v="1"/>
    <s v="PROD-2392"/>
    <x v="0"/>
    <x v="0"/>
    <s v="Office Chair"/>
    <n v="45618.67"/>
    <x v="0"/>
    <n v="45618.67"/>
    <e v="#N/A"/>
    <n v="6"/>
    <n v="0"/>
    <n v="3649.49"/>
    <x v="0"/>
    <x v="7"/>
    <x v="19"/>
  </r>
  <r>
    <n v="393"/>
    <s v="VID100393"/>
    <s v="07-06-2024"/>
    <s v="13-06-2024"/>
    <x v="3"/>
    <s v="CUST-1393"/>
    <s v="Sneha Reddy"/>
    <x v="2"/>
    <s v="India"/>
    <x v="2"/>
    <s v="West Bengal"/>
    <n v="919790"/>
    <x v="2"/>
    <s v="PROD-2393"/>
    <x v="1"/>
    <x v="1"/>
    <s v="Dell Inspiron"/>
    <n v="94919.61"/>
    <x v="0"/>
    <n v="94919.61"/>
    <e v="#N/A"/>
    <n v="7"/>
    <n v="0.2"/>
    <n v="2847.59"/>
    <x v="1"/>
    <x v="3"/>
    <x v="8"/>
  </r>
  <r>
    <n v="394"/>
    <s v="VID100394"/>
    <s v="14-01-2021"/>
    <s v="15-01-2021"/>
    <x v="2"/>
    <s v="CUST-1394"/>
    <s v="Sneha Reddy"/>
    <x v="1"/>
    <s v="India"/>
    <x v="3"/>
    <s v="Gujarat"/>
    <n v="608368"/>
    <x v="3"/>
    <s v="PROD-2394"/>
    <x v="0"/>
    <x v="0"/>
    <s v="Office Chair"/>
    <n v="24596.49"/>
    <x v="0"/>
    <n v="24596.49"/>
    <e v="#N/A"/>
    <n v="2"/>
    <n v="0.1"/>
    <n v="1352.81"/>
    <x v="0"/>
    <x v="8"/>
    <x v="6"/>
  </r>
  <r>
    <n v="395"/>
    <s v="VID100395"/>
    <s v="27-10-2023"/>
    <s v="29-10-2023"/>
    <x v="0"/>
    <s v="CUST-1395"/>
    <s v="Amit Verma"/>
    <x v="0"/>
    <s v="India"/>
    <x v="3"/>
    <s v="Gujarat"/>
    <n v="567984"/>
    <x v="3"/>
    <s v="PROD-2395"/>
    <x v="2"/>
    <x v="3"/>
    <s v="A4 Paper"/>
    <n v="55247.03"/>
    <x v="0"/>
    <n v="55247.03"/>
    <e v="#N/A"/>
    <n v="10"/>
    <n v="0.2"/>
    <n v="1657.41"/>
    <x v="3"/>
    <x v="7"/>
    <x v="7"/>
  </r>
  <r>
    <n v="396"/>
    <s v="VID100396"/>
    <s v="06-06-2024"/>
    <s v="10-06-2024"/>
    <x v="1"/>
    <s v="CUST-1396"/>
    <s v="Sneha Reddy"/>
    <x v="2"/>
    <s v="India"/>
    <x v="1"/>
    <s v="Karnataka"/>
    <n v="369223"/>
    <x v="1"/>
    <s v="PROD-2396"/>
    <x v="2"/>
    <x v="3"/>
    <s v="A4 Paper"/>
    <n v="23258.73"/>
    <x v="0"/>
    <n v="23258.73"/>
    <e v="#N/A"/>
    <n v="5"/>
    <n v="0"/>
    <n v="1860.7"/>
    <x v="1"/>
    <x v="3"/>
    <x v="15"/>
  </r>
  <r>
    <n v="397"/>
    <s v="VID100397"/>
    <s v="02-12-2024"/>
    <s v="05-12-2024"/>
    <x v="2"/>
    <s v="CUST-1397"/>
    <s v="Rahul Joshi"/>
    <x v="0"/>
    <s v="India"/>
    <x v="4"/>
    <s v="Maharashtra"/>
    <n v="741139"/>
    <x v="3"/>
    <s v="PROD-2397"/>
    <x v="1"/>
    <x v="1"/>
    <s v="Dell Inspiron"/>
    <n v="8593.7800000000007"/>
    <x v="0"/>
    <n v="8593.7800000000007"/>
    <e v="#N/A"/>
    <n v="1"/>
    <n v="0.2"/>
    <n v="257.81"/>
    <x v="1"/>
    <x v="1"/>
    <x v="10"/>
  </r>
  <r>
    <n v="398"/>
    <s v="VID100398"/>
    <s v="08-03-2025"/>
    <s v="14-03-2025"/>
    <x v="1"/>
    <s v="CUST-1398"/>
    <s v="Ananya Mishra"/>
    <x v="0"/>
    <s v="India"/>
    <x v="0"/>
    <s v="Delhi"/>
    <n v="658355"/>
    <x v="0"/>
    <s v="PROD-2398"/>
    <x v="2"/>
    <x v="3"/>
    <s v="A4 Paper"/>
    <n v="56061.58"/>
    <x v="0"/>
    <n v="56061.58"/>
    <e v="#N/A"/>
    <n v="3"/>
    <n v="0.1"/>
    <n v="3083.39"/>
    <x v="4"/>
    <x v="5"/>
    <x v="3"/>
  </r>
  <r>
    <n v="399"/>
    <s v="VID100399"/>
    <s v="22-08-2024"/>
    <s v="26-08-2024"/>
    <x v="2"/>
    <s v="CUST-1399"/>
    <s v="Vikram Singh"/>
    <x v="0"/>
    <s v="India"/>
    <x v="4"/>
    <s v="Maharashtra"/>
    <n v="626144"/>
    <x v="3"/>
    <s v="PROD-2399"/>
    <x v="0"/>
    <x v="0"/>
    <s v="Office Chair"/>
    <n v="14912.18"/>
    <x v="0"/>
    <n v="14912.18"/>
    <e v="#N/A"/>
    <n v="9"/>
    <n v="0.3"/>
    <n v="74.56"/>
    <x v="1"/>
    <x v="2"/>
    <x v="2"/>
  </r>
  <r>
    <n v="400"/>
    <s v="VID100400"/>
    <s v="18-08-2024"/>
    <s v="24-08-2024"/>
    <x v="1"/>
    <s v="CUST-1400"/>
    <s v="Priya Patel"/>
    <x v="0"/>
    <s v="India"/>
    <x v="4"/>
    <s v="Maharashtra"/>
    <n v="548771"/>
    <x v="3"/>
    <s v="PROD-2400"/>
    <x v="2"/>
    <x v="3"/>
    <s v="A4 Paper"/>
    <n v="28348.43"/>
    <x v="0"/>
    <n v="28348.43"/>
    <e v="#N/A"/>
    <n v="9"/>
    <n v="0.1"/>
    <n v="1559.16"/>
    <x v="1"/>
    <x v="2"/>
    <x v="12"/>
  </r>
  <r>
    <n v="401"/>
    <s v="VID100401"/>
    <s v="12-10-2022"/>
    <s v="14-10-2022"/>
    <x v="3"/>
    <s v="CUST-1401"/>
    <s v="Amit Verma"/>
    <x v="0"/>
    <s v="India"/>
    <x v="2"/>
    <s v="West Bengal"/>
    <n v="971795"/>
    <x v="2"/>
    <s v="PROD-2401"/>
    <x v="0"/>
    <x v="0"/>
    <s v="Office Chair"/>
    <n v="59655.16"/>
    <x v="0"/>
    <n v="59655.16"/>
    <e v="#N/A"/>
    <n v="1"/>
    <n v="0.2"/>
    <n v="1789.65"/>
    <x v="2"/>
    <x v="7"/>
    <x v="1"/>
  </r>
  <r>
    <n v="402"/>
    <s v="VID100402"/>
    <s v="04-11-2021"/>
    <s v="08-11-2021"/>
    <x v="0"/>
    <s v="CUST-1402"/>
    <s v="Diya Nair"/>
    <x v="2"/>
    <s v="India"/>
    <x v="2"/>
    <s v="West Bengal"/>
    <n v="534082"/>
    <x v="2"/>
    <s v="PROD-2402"/>
    <x v="0"/>
    <x v="0"/>
    <s v="Office Chair"/>
    <n v="88061.49"/>
    <x v="0"/>
    <n v="88061.49"/>
    <e v="#N/A"/>
    <n v="6"/>
    <n v="0"/>
    <n v="7044.92"/>
    <x v="0"/>
    <x v="9"/>
    <x v="22"/>
  </r>
  <r>
    <n v="403"/>
    <s v="VID100403"/>
    <s v="04-05-2024"/>
    <s v="07-05-2024"/>
    <x v="2"/>
    <s v="CUST-1403"/>
    <s v="Sneha Reddy"/>
    <x v="1"/>
    <s v="India"/>
    <x v="2"/>
    <s v="West Bengal"/>
    <n v="505852"/>
    <x v="2"/>
    <s v="PROD-2403"/>
    <x v="0"/>
    <x v="0"/>
    <s v="Office Chair"/>
    <n v="59299.88"/>
    <x v="0"/>
    <n v="59299.88"/>
    <e v="#N/A"/>
    <n v="10"/>
    <n v="0.2"/>
    <n v="1779"/>
    <x v="1"/>
    <x v="0"/>
    <x v="22"/>
  </r>
  <r>
    <n v="404"/>
    <s v="VID100404"/>
    <s v="26-01-2022"/>
    <s v="31-01-2022"/>
    <x v="0"/>
    <s v="CUST-1404"/>
    <s v="Sneha Reddy"/>
    <x v="1"/>
    <s v="India"/>
    <x v="1"/>
    <s v="Karnataka"/>
    <n v="550908"/>
    <x v="1"/>
    <s v="PROD-2404"/>
    <x v="0"/>
    <x v="0"/>
    <s v="Office Chair"/>
    <n v="80001.649999999994"/>
    <x v="0"/>
    <n v="80001.649999999994"/>
    <e v="#N/A"/>
    <n v="3"/>
    <n v="0.1"/>
    <n v="4400.09"/>
    <x v="2"/>
    <x v="8"/>
    <x v="21"/>
  </r>
  <r>
    <n v="405"/>
    <s v="VID100405"/>
    <s v="28-09-2021"/>
    <s v="30-09-2021"/>
    <x v="1"/>
    <s v="CUST-1405"/>
    <s v="Amit Verma"/>
    <x v="1"/>
    <s v="India"/>
    <x v="0"/>
    <s v="Delhi"/>
    <n v="272771"/>
    <x v="0"/>
    <s v="PROD-2405"/>
    <x v="2"/>
    <x v="3"/>
    <s v="A4 Paper"/>
    <n v="84458.78"/>
    <x v="0"/>
    <n v="84458.78"/>
    <e v="#N/A"/>
    <n v="4"/>
    <n v="0.3"/>
    <n v="422.29"/>
    <x v="0"/>
    <x v="10"/>
    <x v="13"/>
  </r>
  <r>
    <n v="406"/>
    <s v="VID100406"/>
    <s v="26-10-2025"/>
    <s v="27-10-2025"/>
    <x v="3"/>
    <s v="CUST-1406"/>
    <s v="Rohan Das"/>
    <x v="2"/>
    <s v="India"/>
    <x v="2"/>
    <s v="West Bengal"/>
    <n v="745318"/>
    <x v="2"/>
    <s v="PROD-2406"/>
    <x v="0"/>
    <x v="0"/>
    <s v="Office Chair"/>
    <n v="19307.87"/>
    <x v="0"/>
    <n v="19307.87"/>
    <e v="#N/A"/>
    <n v="7"/>
    <n v="0.3"/>
    <n v="96.54"/>
    <x v="4"/>
    <x v="7"/>
    <x v="21"/>
  </r>
  <r>
    <n v="407"/>
    <s v="VID100407"/>
    <s v="09-02-2022"/>
    <s v="16-02-2022"/>
    <x v="2"/>
    <s v="CUST-1407"/>
    <s v="Priya Patel"/>
    <x v="1"/>
    <s v="India"/>
    <x v="1"/>
    <s v="Karnataka"/>
    <n v="859090"/>
    <x v="1"/>
    <s v="PROD-2407"/>
    <x v="0"/>
    <x v="0"/>
    <s v="Office Chair"/>
    <n v="2944.8"/>
    <x v="0"/>
    <n v="2944.8"/>
    <e v="#N/A"/>
    <n v="1"/>
    <n v="0.2"/>
    <n v="88.34"/>
    <x v="2"/>
    <x v="11"/>
    <x v="18"/>
  </r>
  <r>
    <n v="408"/>
    <s v="VID100408"/>
    <s v="01-02-2022"/>
    <s v="06-02-2022"/>
    <x v="3"/>
    <s v="CUST-1408"/>
    <s v="Ananya Mishra"/>
    <x v="0"/>
    <s v="India"/>
    <x v="1"/>
    <s v="Karnataka"/>
    <n v="898674"/>
    <x v="1"/>
    <s v="PROD-2408"/>
    <x v="2"/>
    <x v="3"/>
    <s v="A4 Paper"/>
    <n v="12241.1"/>
    <x v="0"/>
    <n v="12241.1"/>
    <e v="#N/A"/>
    <n v="2"/>
    <n v="0.1"/>
    <n v="673.26"/>
    <x v="2"/>
    <x v="11"/>
    <x v="11"/>
  </r>
  <r>
    <n v="409"/>
    <s v="VID100409"/>
    <s v="21-07-2025"/>
    <s v="25-07-2025"/>
    <x v="3"/>
    <s v="CUST-1409"/>
    <s v="Sneha Reddy"/>
    <x v="1"/>
    <s v="India"/>
    <x v="3"/>
    <s v="Gujarat"/>
    <n v="597245"/>
    <x v="3"/>
    <s v="PROD-2409"/>
    <x v="1"/>
    <x v="2"/>
    <s v="Samsung Galaxy"/>
    <n v="24865.58"/>
    <x v="0"/>
    <n v="24865.58"/>
    <e v="#N/A"/>
    <n v="5"/>
    <n v="0.2"/>
    <n v="745.97"/>
    <x v="4"/>
    <x v="6"/>
    <x v="26"/>
  </r>
  <r>
    <n v="410"/>
    <s v="VID100410"/>
    <s v="05-01-2021"/>
    <s v="11-01-2021"/>
    <x v="0"/>
    <s v="CUST-1410"/>
    <s v="Amit Verma"/>
    <x v="2"/>
    <s v="India"/>
    <x v="0"/>
    <s v="Delhi"/>
    <n v="386711"/>
    <x v="0"/>
    <s v="PROD-2410"/>
    <x v="2"/>
    <x v="3"/>
    <s v="A4 Paper"/>
    <n v="86787.74"/>
    <x v="0"/>
    <n v="86787.74"/>
    <e v="#N/A"/>
    <n v="2"/>
    <n v="0.2"/>
    <n v="2603.63"/>
    <x v="0"/>
    <x v="8"/>
    <x v="25"/>
  </r>
  <r>
    <n v="411"/>
    <s v="VID100411"/>
    <s v="18-04-2024"/>
    <s v="23-04-2024"/>
    <x v="1"/>
    <s v="CUST-1411"/>
    <s v="Aarav Sharma"/>
    <x v="1"/>
    <s v="India"/>
    <x v="3"/>
    <s v="Gujarat"/>
    <n v="406217"/>
    <x v="3"/>
    <s v="PROD-2411"/>
    <x v="1"/>
    <x v="1"/>
    <s v="Dell Inspiron"/>
    <n v="57972.11"/>
    <x v="0"/>
    <n v="57972.11"/>
    <e v="#N/A"/>
    <n v="3"/>
    <n v="0.3"/>
    <n v="289.86"/>
    <x v="1"/>
    <x v="4"/>
    <x v="12"/>
  </r>
  <r>
    <n v="412"/>
    <s v="VID100412"/>
    <s v="08-01-2022"/>
    <s v="13-01-2022"/>
    <x v="2"/>
    <s v="CUST-1412"/>
    <s v="Sneha Reddy"/>
    <x v="1"/>
    <s v="India"/>
    <x v="1"/>
    <s v="Karnataka"/>
    <n v="745312"/>
    <x v="1"/>
    <s v="PROD-2412"/>
    <x v="1"/>
    <x v="1"/>
    <s v="Dell Inspiron"/>
    <n v="92932.3"/>
    <x v="0"/>
    <n v="92932.3"/>
    <e v="#N/A"/>
    <n v="2"/>
    <n v="0"/>
    <n v="7434.58"/>
    <x v="2"/>
    <x v="8"/>
    <x v="3"/>
  </r>
  <r>
    <n v="413"/>
    <s v="VID100413"/>
    <s v="22-12-2025"/>
    <s v="29-12-2025"/>
    <x v="2"/>
    <s v="CUST-1413"/>
    <s v="Pooja Hegde"/>
    <x v="1"/>
    <s v="India"/>
    <x v="1"/>
    <s v="Karnataka"/>
    <n v="420328"/>
    <x v="1"/>
    <s v="PROD-2413"/>
    <x v="1"/>
    <x v="1"/>
    <s v="Dell Inspiron"/>
    <n v="4435.9399999999996"/>
    <x v="0"/>
    <n v="4435.9399999999996"/>
    <e v="#N/A"/>
    <n v="1"/>
    <n v="0.1"/>
    <n v="243.98"/>
    <x v="4"/>
    <x v="1"/>
    <x v="2"/>
  </r>
  <r>
    <n v="414"/>
    <s v="VID100414"/>
    <s v="05-10-2024"/>
    <s v="08-10-2024"/>
    <x v="2"/>
    <s v="CUST-1414"/>
    <s v="Rahul Joshi"/>
    <x v="0"/>
    <s v="India"/>
    <x v="2"/>
    <s v="West Bengal"/>
    <n v="779872"/>
    <x v="2"/>
    <s v="PROD-2414"/>
    <x v="0"/>
    <x v="0"/>
    <s v="Office Chair"/>
    <n v="12894.19"/>
    <x v="0"/>
    <n v="12894.19"/>
    <e v="#N/A"/>
    <n v="6"/>
    <n v="0"/>
    <n v="1031.54"/>
    <x v="1"/>
    <x v="7"/>
    <x v="25"/>
  </r>
  <r>
    <n v="415"/>
    <s v="VID100415"/>
    <s v="05-06-2022"/>
    <s v="06-06-2022"/>
    <x v="0"/>
    <s v="CUST-1415"/>
    <s v="Rahul Joshi"/>
    <x v="0"/>
    <s v="India"/>
    <x v="2"/>
    <s v="West Bengal"/>
    <n v="843845"/>
    <x v="2"/>
    <s v="PROD-2415"/>
    <x v="1"/>
    <x v="2"/>
    <s v="Samsung Galaxy"/>
    <n v="38285.72"/>
    <x v="0"/>
    <n v="38285.72"/>
    <e v="#N/A"/>
    <n v="5"/>
    <n v="0.1"/>
    <n v="2105.71"/>
    <x v="2"/>
    <x v="3"/>
    <x v="25"/>
  </r>
  <r>
    <n v="416"/>
    <s v="VID100416"/>
    <s v="09-08-2025"/>
    <s v="15-08-2025"/>
    <x v="1"/>
    <s v="CUST-1416"/>
    <s v="Aarav Sharma"/>
    <x v="0"/>
    <s v="India"/>
    <x v="0"/>
    <s v="Delhi"/>
    <n v="600464"/>
    <x v="0"/>
    <s v="PROD-2416"/>
    <x v="2"/>
    <x v="3"/>
    <s v="A4 Paper"/>
    <n v="63426.94"/>
    <x v="0"/>
    <n v="63426.94"/>
    <e v="#N/A"/>
    <n v="4"/>
    <n v="0.3"/>
    <n v="317.13"/>
    <x v="4"/>
    <x v="2"/>
    <x v="18"/>
  </r>
  <r>
    <n v="417"/>
    <s v="VID100417"/>
    <s v="02-10-2023"/>
    <s v="04-10-2023"/>
    <x v="0"/>
    <s v="CUST-1417"/>
    <s v="Aarav Sharma"/>
    <x v="1"/>
    <s v="India"/>
    <x v="1"/>
    <s v="Karnataka"/>
    <n v="565649"/>
    <x v="1"/>
    <s v="PROD-2417"/>
    <x v="1"/>
    <x v="1"/>
    <s v="Dell Inspiron"/>
    <n v="17186.099999999999"/>
    <x v="0"/>
    <n v="17186.099999999999"/>
    <e v="#N/A"/>
    <n v="6"/>
    <n v="0.3"/>
    <n v="85.93"/>
    <x v="3"/>
    <x v="7"/>
    <x v="10"/>
  </r>
  <r>
    <n v="418"/>
    <s v="VID100418"/>
    <s v="04-03-2021"/>
    <s v="10-03-2021"/>
    <x v="3"/>
    <s v="CUST-1418"/>
    <s v="Diya Nair"/>
    <x v="2"/>
    <s v="India"/>
    <x v="3"/>
    <s v="Gujarat"/>
    <n v="956429"/>
    <x v="3"/>
    <s v="PROD-2418"/>
    <x v="1"/>
    <x v="1"/>
    <s v="Dell Inspiron"/>
    <n v="9110.4599999999991"/>
    <x v="0"/>
    <n v="9110.4599999999991"/>
    <e v="#N/A"/>
    <n v="6"/>
    <n v="0.3"/>
    <n v="45.55"/>
    <x v="0"/>
    <x v="5"/>
    <x v="22"/>
  </r>
  <r>
    <n v="419"/>
    <s v="VID100419"/>
    <s v="21-07-2025"/>
    <s v="25-07-2025"/>
    <x v="0"/>
    <s v="CUST-1419"/>
    <s v="Sneha Reddy"/>
    <x v="2"/>
    <s v="India"/>
    <x v="4"/>
    <s v="Maharashtra"/>
    <n v="515052"/>
    <x v="3"/>
    <s v="PROD-2419"/>
    <x v="2"/>
    <x v="3"/>
    <s v="A4 Paper"/>
    <n v="93524.05"/>
    <x v="0"/>
    <n v="93524.05"/>
    <e v="#N/A"/>
    <n v="9"/>
    <n v="0.1"/>
    <n v="5143.82"/>
    <x v="4"/>
    <x v="6"/>
    <x v="26"/>
  </r>
  <r>
    <n v="420"/>
    <s v="VID100420"/>
    <s v="05-09-2021"/>
    <s v="09-09-2021"/>
    <x v="0"/>
    <s v="CUST-1420"/>
    <s v="Amit Verma"/>
    <x v="2"/>
    <s v="India"/>
    <x v="1"/>
    <s v="Karnataka"/>
    <n v="384970"/>
    <x v="1"/>
    <s v="PROD-2420"/>
    <x v="1"/>
    <x v="2"/>
    <s v="Samsung Galaxy"/>
    <n v="49045.3"/>
    <x v="0"/>
    <n v="49045.3"/>
    <e v="#N/A"/>
    <n v="1"/>
    <n v="0.3"/>
    <n v="245.23"/>
    <x v="0"/>
    <x v="10"/>
    <x v="25"/>
  </r>
  <r>
    <n v="421"/>
    <s v="VID100421"/>
    <s v="07-11-2024"/>
    <s v="10-11-2024"/>
    <x v="2"/>
    <s v="CUST-1421"/>
    <s v="Aarav Sharma"/>
    <x v="0"/>
    <s v="India"/>
    <x v="2"/>
    <s v="West Bengal"/>
    <n v="147108"/>
    <x v="2"/>
    <s v="PROD-2421"/>
    <x v="2"/>
    <x v="3"/>
    <s v="A4 Paper"/>
    <n v="34990.75"/>
    <x v="0"/>
    <n v="34990.75"/>
    <e v="#N/A"/>
    <n v="5"/>
    <n v="0.3"/>
    <n v="174.95"/>
    <x v="1"/>
    <x v="9"/>
    <x v="8"/>
  </r>
  <r>
    <n v="422"/>
    <s v="VID100422"/>
    <s v="20-08-2022"/>
    <s v="26-08-2022"/>
    <x v="0"/>
    <s v="CUST-1422"/>
    <s v="Diya Nair"/>
    <x v="0"/>
    <s v="India"/>
    <x v="4"/>
    <s v="Maharashtra"/>
    <n v="788714"/>
    <x v="3"/>
    <s v="PROD-2422"/>
    <x v="0"/>
    <x v="0"/>
    <s v="Office Chair"/>
    <n v="57741.42"/>
    <x v="0"/>
    <n v="57741.42"/>
    <e v="#N/A"/>
    <n v="7"/>
    <n v="0.3"/>
    <n v="288.70999999999998"/>
    <x v="2"/>
    <x v="2"/>
    <x v="0"/>
  </r>
  <r>
    <n v="423"/>
    <s v="VID100423"/>
    <s v="12-04-2024"/>
    <s v="18-04-2024"/>
    <x v="3"/>
    <s v="CUST-1423"/>
    <s v="Diya Nair"/>
    <x v="2"/>
    <s v="India"/>
    <x v="0"/>
    <s v="Delhi"/>
    <n v="532387"/>
    <x v="0"/>
    <s v="PROD-2423"/>
    <x v="2"/>
    <x v="3"/>
    <s v="A4 Paper"/>
    <n v="6255.8"/>
    <x v="0"/>
    <n v="6255.8"/>
    <e v="#N/A"/>
    <n v="6"/>
    <n v="0.1"/>
    <n v="344.07"/>
    <x v="1"/>
    <x v="4"/>
    <x v="1"/>
  </r>
  <r>
    <n v="424"/>
    <s v="VID100424"/>
    <s v="26-06-2023"/>
    <s v="02-07-2023"/>
    <x v="3"/>
    <s v="CUST-1424"/>
    <s v="Amit Verma"/>
    <x v="2"/>
    <s v="India"/>
    <x v="2"/>
    <s v="West Bengal"/>
    <n v="930092"/>
    <x v="2"/>
    <s v="PROD-2424"/>
    <x v="0"/>
    <x v="0"/>
    <s v="Office Chair"/>
    <n v="97065.22"/>
    <x v="0"/>
    <n v="97065.22"/>
    <e v="#N/A"/>
    <n v="6"/>
    <n v="0"/>
    <n v="7765.22"/>
    <x v="3"/>
    <x v="3"/>
    <x v="21"/>
  </r>
  <r>
    <n v="425"/>
    <s v="VID100425"/>
    <s v="05-01-2021"/>
    <s v="06-01-2021"/>
    <x v="0"/>
    <s v="CUST-1425"/>
    <s v="Ananya Mishra"/>
    <x v="0"/>
    <s v="India"/>
    <x v="1"/>
    <s v="Karnataka"/>
    <n v="203940"/>
    <x v="1"/>
    <s v="PROD-2425"/>
    <x v="1"/>
    <x v="1"/>
    <s v="Dell Inspiron"/>
    <n v="47054"/>
    <x v="0"/>
    <n v="47054"/>
    <e v="#N/A"/>
    <n v="5"/>
    <n v="0.1"/>
    <n v="2587.9699999999998"/>
    <x v="0"/>
    <x v="8"/>
    <x v="25"/>
  </r>
  <r>
    <n v="426"/>
    <s v="VID100426"/>
    <s v="27-07-2024"/>
    <s v="30-07-2024"/>
    <x v="1"/>
    <s v="CUST-1426"/>
    <s v="Aarav Sharma"/>
    <x v="0"/>
    <s v="India"/>
    <x v="4"/>
    <s v="Maharashtra"/>
    <n v="402901"/>
    <x v="3"/>
    <s v="PROD-2426"/>
    <x v="0"/>
    <x v="0"/>
    <s v="Office Chair"/>
    <n v="48342.37"/>
    <x v="0"/>
    <n v="48342.37"/>
    <e v="#N/A"/>
    <n v="6"/>
    <n v="0.2"/>
    <n v="1450.27"/>
    <x v="1"/>
    <x v="6"/>
    <x v="7"/>
  </r>
  <r>
    <n v="427"/>
    <s v="VID100427"/>
    <s v="29-09-2024"/>
    <s v="06-10-2024"/>
    <x v="2"/>
    <s v="CUST-1427"/>
    <s v="Priya Patel"/>
    <x v="0"/>
    <s v="India"/>
    <x v="2"/>
    <s v="West Bengal"/>
    <n v="795950"/>
    <x v="2"/>
    <s v="PROD-2427"/>
    <x v="1"/>
    <x v="2"/>
    <s v="Samsung Galaxy"/>
    <n v="15956.96"/>
    <x v="0"/>
    <n v="15956.96"/>
    <e v="#N/A"/>
    <n v="9"/>
    <n v="0.1"/>
    <n v="877.63"/>
    <x v="1"/>
    <x v="10"/>
    <x v="19"/>
  </r>
  <r>
    <n v="428"/>
    <s v="VID100428"/>
    <s v="24-08-2023"/>
    <s v="27-08-2023"/>
    <x v="0"/>
    <s v="CUST-1428"/>
    <s v="Sneha Reddy"/>
    <x v="2"/>
    <s v="India"/>
    <x v="1"/>
    <s v="Karnataka"/>
    <n v="550098"/>
    <x v="1"/>
    <s v="PROD-2428"/>
    <x v="2"/>
    <x v="3"/>
    <s v="A4 Paper"/>
    <n v="26146.97"/>
    <x v="0"/>
    <n v="26146.97"/>
    <e v="#N/A"/>
    <n v="2"/>
    <n v="0.3"/>
    <n v="130.72999999999999"/>
    <x v="3"/>
    <x v="2"/>
    <x v="14"/>
  </r>
  <r>
    <n v="429"/>
    <s v="VID100429"/>
    <s v="23-11-2022"/>
    <s v="27-11-2022"/>
    <x v="3"/>
    <s v="CUST-1429"/>
    <s v="Aarav Sharma"/>
    <x v="0"/>
    <s v="India"/>
    <x v="0"/>
    <s v="Delhi"/>
    <n v="113841"/>
    <x v="0"/>
    <s v="PROD-2429"/>
    <x v="1"/>
    <x v="1"/>
    <s v="Dell Inspiron"/>
    <n v="55949.21"/>
    <x v="0"/>
    <n v="55949.21"/>
    <e v="#N/A"/>
    <n v="10"/>
    <n v="0.2"/>
    <n v="1678.48"/>
    <x v="2"/>
    <x v="9"/>
    <x v="24"/>
  </r>
  <r>
    <n v="430"/>
    <s v="VID100430"/>
    <s v="10-10-2023"/>
    <s v="12-10-2023"/>
    <x v="3"/>
    <s v="CUST-1430"/>
    <s v="Priya Patel"/>
    <x v="1"/>
    <s v="India"/>
    <x v="3"/>
    <s v="Gujarat"/>
    <n v="960599"/>
    <x v="3"/>
    <s v="PROD-2430"/>
    <x v="1"/>
    <x v="2"/>
    <s v="Samsung Galaxy"/>
    <n v="99197.119999999995"/>
    <x v="0"/>
    <n v="99197.119999999995"/>
    <e v="#N/A"/>
    <n v="5"/>
    <n v="0.3"/>
    <n v="495.99"/>
    <x v="3"/>
    <x v="7"/>
    <x v="5"/>
  </r>
  <r>
    <n v="431"/>
    <s v="VID100431"/>
    <s v="24-03-2022"/>
    <s v="28-03-2022"/>
    <x v="2"/>
    <s v="CUST-1431"/>
    <s v="Pooja Hegde"/>
    <x v="0"/>
    <s v="India"/>
    <x v="1"/>
    <s v="Karnataka"/>
    <n v="962439"/>
    <x v="1"/>
    <s v="PROD-2431"/>
    <x v="1"/>
    <x v="2"/>
    <s v="Samsung Galaxy"/>
    <n v="36624.660000000003"/>
    <x v="0"/>
    <n v="36624.660000000003"/>
    <e v="#N/A"/>
    <n v="8"/>
    <n v="0.3"/>
    <n v="183.12"/>
    <x v="2"/>
    <x v="5"/>
    <x v="14"/>
  </r>
  <r>
    <n v="432"/>
    <s v="VID100432"/>
    <s v="02-07-2023"/>
    <s v="08-07-2023"/>
    <x v="2"/>
    <s v="CUST-1432"/>
    <s v="Rahul Joshi"/>
    <x v="1"/>
    <s v="India"/>
    <x v="4"/>
    <s v="Maharashtra"/>
    <n v="453126"/>
    <x v="3"/>
    <s v="PROD-2432"/>
    <x v="1"/>
    <x v="1"/>
    <s v="Dell Inspiron"/>
    <n v="23667.26"/>
    <x v="0"/>
    <n v="23667.26"/>
    <e v="#N/A"/>
    <n v="2"/>
    <n v="0"/>
    <n v="1893.38"/>
    <x v="3"/>
    <x v="6"/>
    <x v="10"/>
  </r>
  <r>
    <n v="433"/>
    <s v="VID100433"/>
    <s v="06-06-2025"/>
    <s v="12-06-2025"/>
    <x v="1"/>
    <s v="CUST-1433"/>
    <s v="Diya Nair"/>
    <x v="1"/>
    <s v="India"/>
    <x v="1"/>
    <s v="Karnataka"/>
    <n v="544029"/>
    <x v="1"/>
    <s v="PROD-2433"/>
    <x v="2"/>
    <x v="3"/>
    <s v="A4 Paper"/>
    <n v="27149.32"/>
    <x v="0"/>
    <n v="27149.32"/>
    <e v="#N/A"/>
    <n v="5"/>
    <n v="0.2"/>
    <n v="814.48"/>
    <x v="4"/>
    <x v="3"/>
    <x v="15"/>
  </r>
  <r>
    <n v="434"/>
    <s v="VID100434"/>
    <s v="16-02-2021"/>
    <s v="22-02-2021"/>
    <x v="2"/>
    <s v="CUST-1434"/>
    <s v="Rohan Das"/>
    <x v="2"/>
    <s v="India"/>
    <x v="4"/>
    <s v="Maharashtra"/>
    <n v="916947"/>
    <x v="3"/>
    <s v="PROD-2434"/>
    <x v="1"/>
    <x v="1"/>
    <s v="Dell Inspiron"/>
    <n v="34596.99"/>
    <x v="0"/>
    <n v="34596.99"/>
    <e v="#N/A"/>
    <n v="3"/>
    <n v="0"/>
    <n v="2767.76"/>
    <x v="0"/>
    <x v="11"/>
    <x v="20"/>
  </r>
  <r>
    <n v="435"/>
    <s v="VID100435"/>
    <s v="05-10-2025"/>
    <s v="11-10-2025"/>
    <x v="3"/>
    <s v="CUST-1435"/>
    <s v="Aarav Sharma"/>
    <x v="2"/>
    <s v="India"/>
    <x v="4"/>
    <s v="Maharashtra"/>
    <n v="779898"/>
    <x v="3"/>
    <s v="PROD-2435"/>
    <x v="0"/>
    <x v="0"/>
    <s v="Office Chair"/>
    <n v="56936.99"/>
    <x v="0"/>
    <n v="56936.99"/>
    <e v="#N/A"/>
    <n v="9"/>
    <n v="0.1"/>
    <n v="3131.53"/>
    <x v="4"/>
    <x v="7"/>
    <x v="25"/>
  </r>
  <r>
    <n v="436"/>
    <s v="VID100436"/>
    <s v="05-02-2022"/>
    <s v="09-02-2022"/>
    <x v="0"/>
    <s v="CUST-1436"/>
    <s v="Vikram Singh"/>
    <x v="2"/>
    <s v="India"/>
    <x v="1"/>
    <s v="Karnataka"/>
    <n v="657785"/>
    <x v="1"/>
    <s v="PROD-2436"/>
    <x v="1"/>
    <x v="2"/>
    <s v="Samsung Galaxy"/>
    <n v="57112.29"/>
    <x v="0"/>
    <n v="57112.29"/>
    <e v="#N/A"/>
    <n v="8"/>
    <n v="0"/>
    <n v="4568.9799999999996"/>
    <x v="2"/>
    <x v="11"/>
    <x v="25"/>
  </r>
  <r>
    <n v="437"/>
    <s v="VID100437"/>
    <s v="06-10-2022"/>
    <s v="07-10-2022"/>
    <x v="3"/>
    <s v="CUST-1437"/>
    <s v="Aarav Sharma"/>
    <x v="0"/>
    <s v="India"/>
    <x v="2"/>
    <s v="West Bengal"/>
    <n v="424705"/>
    <x v="2"/>
    <s v="PROD-2437"/>
    <x v="1"/>
    <x v="2"/>
    <s v="Samsung Galaxy"/>
    <n v="42452.66"/>
    <x v="0"/>
    <n v="42452.66"/>
    <e v="#N/A"/>
    <n v="6"/>
    <n v="0"/>
    <n v="3396.21"/>
    <x v="2"/>
    <x v="7"/>
    <x v="15"/>
  </r>
  <r>
    <n v="438"/>
    <s v="VID100438"/>
    <s v="12-02-2025"/>
    <s v="14-02-2025"/>
    <x v="0"/>
    <s v="CUST-1438"/>
    <s v="Sneha Reddy"/>
    <x v="2"/>
    <s v="India"/>
    <x v="3"/>
    <s v="Gujarat"/>
    <n v="253453"/>
    <x v="3"/>
    <s v="PROD-2438"/>
    <x v="1"/>
    <x v="2"/>
    <s v="Samsung Galaxy"/>
    <n v="35128.33"/>
    <x v="0"/>
    <n v="35128.33"/>
    <e v="#N/A"/>
    <n v="3"/>
    <n v="0.1"/>
    <n v="1932.06"/>
    <x v="4"/>
    <x v="11"/>
    <x v="1"/>
  </r>
  <r>
    <n v="439"/>
    <s v="VID100439"/>
    <s v="09-12-2022"/>
    <s v="10-12-2022"/>
    <x v="2"/>
    <s v="CUST-1439"/>
    <s v="Aarav Sharma"/>
    <x v="2"/>
    <s v="India"/>
    <x v="4"/>
    <s v="Maharashtra"/>
    <n v="915741"/>
    <x v="3"/>
    <s v="PROD-2439"/>
    <x v="1"/>
    <x v="2"/>
    <s v="Samsung Galaxy"/>
    <n v="59359.34"/>
    <x v="0"/>
    <n v="59359.34"/>
    <e v="#N/A"/>
    <n v="1"/>
    <n v="0.1"/>
    <n v="3264.76"/>
    <x v="2"/>
    <x v="1"/>
    <x v="18"/>
  </r>
  <r>
    <n v="440"/>
    <s v="VID100440"/>
    <s v="22-09-2021"/>
    <s v="28-09-2021"/>
    <x v="3"/>
    <s v="CUST-1440"/>
    <s v="Sneha Reddy"/>
    <x v="1"/>
    <s v="India"/>
    <x v="3"/>
    <s v="Gujarat"/>
    <n v="911975"/>
    <x v="3"/>
    <s v="PROD-2440"/>
    <x v="1"/>
    <x v="1"/>
    <s v="Dell Inspiron"/>
    <n v="85277.119999999995"/>
    <x v="0"/>
    <n v="85277.119999999995"/>
    <e v="#N/A"/>
    <n v="9"/>
    <n v="0.1"/>
    <n v="4690.24"/>
    <x v="0"/>
    <x v="10"/>
    <x v="2"/>
  </r>
  <r>
    <n v="441"/>
    <s v="VID100441"/>
    <s v="20-08-2022"/>
    <s v="21-08-2022"/>
    <x v="2"/>
    <s v="CUST-1441"/>
    <s v="Diya Nair"/>
    <x v="2"/>
    <s v="India"/>
    <x v="2"/>
    <s v="West Bengal"/>
    <n v="549781"/>
    <x v="2"/>
    <s v="PROD-2441"/>
    <x v="1"/>
    <x v="1"/>
    <s v="Dell Inspiron"/>
    <n v="59492.06"/>
    <x v="0"/>
    <n v="59492.06"/>
    <e v="#N/A"/>
    <n v="1"/>
    <n v="0.3"/>
    <n v="297.45999999999998"/>
    <x v="2"/>
    <x v="2"/>
    <x v="0"/>
  </r>
  <r>
    <n v="442"/>
    <s v="VID100442"/>
    <s v="17-01-2025"/>
    <s v="23-01-2025"/>
    <x v="0"/>
    <s v="CUST-1442"/>
    <s v="Amit Verma"/>
    <x v="0"/>
    <s v="India"/>
    <x v="3"/>
    <s v="Gujarat"/>
    <n v="485342"/>
    <x v="3"/>
    <s v="PROD-2442"/>
    <x v="1"/>
    <x v="2"/>
    <s v="Samsung Galaxy"/>
    <n v="38612.18"/>
    <x v="0"/>
    <n v="38612.18"/>
    <e v="#N/A"/>
    <n v="4"/>
    <n v="0"/>
    <n v="3088.97"/>
    <x v="4"/>
    <x v="8"/>
    <x v="29"/>
  </r>
  <r>
    <n v="443"/>
    <s v="VID100443"/>
    <s v="28-08-2025"/>
    <s v="30-08-2025"/>
    <x v="2"/>
    <s v="CUST-1443"/>
    <s v="Ananya Mishra"/>
    <x v="2"/>
    <s v="India"/>
    <x v="4"/>
    <s v="Maharashtra"/>
    <n v="924381"/>
    <x v="3"/>
    <s v="PROD-2443"/>
    <x v="1"/>
    <x v="2"/>
    <s v="Samsung Galaxy"/>
    <n v="97010.44"/>
    <x v="0"/>
    <n v="97010.44"/>
    <e v="#N/A"/>
    <n v="2"/>
    <n v="0.3"/>
    <n v="485.05"/>
    <x v="4"/>
    <x v="2"/>
    <x v="13"/>
  </r>
  <r>
    <n v="444"/>
    <s v="VID100444"/>
    <s v="12-10-2024"/>
    <s v="16-10-2024"/>
    <x v="0"/>
    <s v="CUST-1444"/>
    <s v="Priya Patel"/>
    <x v="2"/>
    <s v="India"/>
    <x v="0"/>
    <s v="Delhi"/>
    <n v="580419"/>
    <x v="0"/>
    <s v="PROD-2444"/>
    <x v="1"/>
    <x v="1"/>
    <s v="Dell Inspiron"/>
    <n v="8178.68"/>
    <x v="0"/>
    <n v="8178.68"/>
    <e v="#N/A"/>
    <n v="9"/>
    <n v="0.1"/>
    <n v="449.83"/>
    <x v="1"/>
    <x v="7"/>
    <x v="1"/>
  </r>
  <r>
    <n v="445"/>
    <s v="VID100445"/>
    <s v="04-12-2025"/>
    <s v="06-12-2025"/>
    <x v="2"/>
    <s v="CUST-1445"/>
    <s v="Vikram Singh"/>
    <x v="0"/>
    <s v="India"/>
    <x v="2"/>
    <s v="West Bengal"/>
    <n v="901284"/>
    <x v="2"/>
    <s v="PROD-2445"/>
    <x v="2"/>
    <x v="3"/>
    <s v="A4 Paper"/>
    <n v="47452.71"/>
    <x v="0"/>
    <n v="47452.71"/>
    <e v="#N/A"/>
    <n v="10"/>
    <n v="0.2"/>
    <n v="1423.58"/>
    <x v="4"/>
    <x v="1"/>
    <x v="22"/>
  </r>
  <r>
    <n v="446"/>
    <s v="VID100446"/>
    <s v="13-10-2021"/>
    <s v="20-10-2021"/>
    <x v="1"/>
    <s v="CUST-1446"/>
    <s v="Rahul Joshi"/>
    <x v="1"/>
    <s v="India"/>
    <x v="2"/>
    <s v="West Bengal"/>
    <n v="180846"/>
    <x v="2"/>
    <s v="PROD-2446"/>
    <x v="0"/>
    <x v="0"/>
    <s v="Office Chair"/>
    <n v="31622.49"/>
    <x v="0"/>
    <n v="31622.49"/>
    <e v="#N/A"/>
    <n v="3"/>
    <n v="0.3"/>
    <n v="158.11000000000001"/>
    <x v="0"/>
    <x v="7"/>
    <x v="30"/>
  </r>
  <r>
    <n v="447"/>
    <s v="VID100447"/>
    <s v="15-03-2024"/>
    <s v="22-03-2024"/>
    <x v="2"/>
    <s v="CUST-1447"/>
    <s v="Ananya Mishra"/>
    <x v="2"/>
    <s v="India"/>
    <x v="4"/>
    <s v="Maharashtra"/>
    <n v="206068"/>
    <x v="3"/>
    <s v="PROD-2447"/>
    <x v="0"/>
    <x v="0"/>
    <s v="Office Chair"/>
    <n v="17193.689999999999"/>
    <x v="0"/>
    <n v="17193.689999999999"/>
    <e v="#N/A"/>
    <n v="8"/>
    <n v="0"/>
    <n v="1375.5"/>
    <x v="1"/>
    <x v="5"/>
    <x v="28"/>
  </r>
  <r>
    <n v="448"/>
    <s v="VID100448"/>
    <s v="22-04-2024"/>
    <s v="27-04-2024"/>
    <x v="0"/>
    <s v="CUST-1448"/>
    <s v="Ananya Mishra"/>
    <x v="2"/>
    <s v="India"/>
    <x v="3"/>
    <s v="Gujarat"/>
    <n v="593207"/>
    <x v="3"/>
    <s v="PROD-2448"/>
    <x v="1"/>
    <x v="2"/>
    <s v="Samsung Galaxy"/>
    <n v="25009.23"/>
    <x v="0"/>
    <n v="25009.23"/>
    <e v="#N/A"/>
    <n v="8"/>
    <n v="0.3"/>
    <n v="125.05"/>
    <x v="1"/>
    <x v="4"/>
    <x v="2"/>
  </r>
  <r>
    <n v="449"/>
    <s v="VID100449"/>
    <s v="25-03-2023"/>
    <s v="26-03-2023"/>
    <x v="3"/>
    <s v="CUST-1449"/>
    <s v="Rahul Joshi"/>
    <x v="1"/>
    <s v="India"/>
    <x v="2"/>
    <s v="West Bengal"/>
    <n v="963371"/>
    <x v="2"/>
    <s v="PROD-2449"/>
    <x v="0"/>
    <x v="0"/>
    <s v="Office Chair"/>
    <n v="39297.83"/>
    <x v="0"/>
    <n v="39297.83"/>
    <e v="#N/A"/>
    <n v="1"/>
    <n v="0.1"/>
    <n v="2161.38"/>
    <x v="3"/>
    <x v="5"/>
    <x v="17"/>
  </r>
  <r>
    <n v="450"/>
    <s v="VID100450"/>
    <s v="03-05-2024"/>
    <s v="07-05-2024"/>
    <x v="3"/>
    <s v="CUST-1450"/>
    <s v="Ananya Mishra"/>
    <x v="1"/>
    <s v="India"/>
    <x v="4"/>
    <s v="Maharashtra"/>
    <n v="381329"/>
    <x v="3"/>
    <s v="PROD-2450"/>
    <x v="1"/>
    <x v="2"/>
    <s v="Samsung Galaxy"/>
    <n v="31348.23"/>
    <x v="0"/>
    <n v="31348.23"/>
    <e v="#N/A"/>
    <n v="1"/>
    <n v="0"/>
    <n v="2507.86"/>
    <x v="1"/>
    <x v="0"/>
    <x v="9"/>
  </r>
  <r>
    <n v="451"/>
    <s v="VID100451"/>
    <s v="27-06-2025"/>
    <s v="04-07-2025"/>
    <x v="0"/>
    <s v="CUST-1451"/>
    <s v="Rahul Joshi"/>
    <x v="0"/>
    <s v="India"/>
    <x v="2"/>
    <s v="West Bengal"/>
    <n v="980960"/>
    <x v="2"/>
    <s v="PROD-2451"/>
    <x v="0"/>
    <x v="0"/>
    <s v="Office Chair"/>
    <n v="40078.15"/>
    <x v="0"/>
    <n v="40078.15"/>
    <e v="#N/A"/>
    <n v="7"/>
    <n v="0"/>
    <n v="3206.25"/>
    <x v="4"/>
    <x v="3"/>
    <x v="7"/>
  </r>
  <r>
    <n v="452"/>
    <s v="VID100452"/>
    <s v="11-06-2023"/>
    <s v="16-06-2023"/>
    <x v="3"/>
    <s v="CUST-1452"/>
    <s v="Rahul Joshi"/>
    <x v="1"/>
    <s v="India"/>
    <x v="4"/>
    <s v="Maharashtra"/>
    <n v="439526"/>
    <x v="3"/>
    <s v="PROD-2452"/>
    <x v="0"/>
    <x v="0"/>
    <s v="Office Chair"/>
    <n v="48465.29"/>
    <x v="0"/>
    <n v="48465.29"/>
    <e v="#N/A"/>
    <n v="1"/>
    <n v="0.2"/>
    <n v="1453.96"/>
    <x v="3"/>
    <x v="3"/>
    <x v="23"/>
  </r>
  <r>
    <n v="453"/>
    <s v="VID100453"/>
    <s v="18-07-2023"/>
    <s v="23-07-2023"/>
    <x v="2"/>
    <s v="CUST-1453"/>
    <s v="Aarav Sharma"/>
    <x v="1"/>
    <s v="India"/>
    <x v="0"/>
    <s v="Delhi"/>
    <n v="643228"/>
    <x v="0"/>
    <s v="PROD-2453"/>
    <x v="2"/>
    <x v="3"/>
    <s v="A4 Paper"/>
    <n v="48421.17"/>
    <x v="0"/>
    <n v="48421.17"/>
    <e v="#N/A"/>
    <n v="3"/>
    <n v="0.3"/>
    <n v="242.11"/>
    <x v="3"/>
    <x v="6"/>
    <x v="12"/>
  </r>
  <r>
    <n v="454"/>
    <s v="VID100454"/>
    <s v="11-02-2024"/>
    <s v="16-02-2024"/>
    <x v="2"/>
    <s v="CUST-1454"/>
    <s v="Pooja Hegde"/>
    <x v="2"/>
    <s v="India"/>
    <x v="3"/>
    <s v="Gujarat"/>
    <n v="933860"/>
    <x v="3"/>
    <s v="PROD-2454"/>
    <x v="1"/>
    <x v="2"/>
    <s v="Samsung Galaxy"/>
    <n v="28366.07"/>
    <x v="0"/>
    <n v="28366.07"/>
    <e v="#N/A"/>
    <n v="8"/>
    <n v="0.2"/>
    <n v="850.98"/>
    <x v="1"/>
    <x v="11"/>
    <x v="23"/>
  </r>
  <r>
    <n v="455"/>
    <s v="VID100455"/>
    <s v="28-04-2021"/>
    <s v="04-05-2021"/>
    <x v="0"/>
    <s v="CUST-1455"/>
    <s v="Rahul Joshi"/>
    <x v="2"/>
    <s v="India"/>
    <x v="4"/>
    <s v="Maharashtra"/>
    <n v="993988"/>
    <x v="3"/>
    <s v="PROD-2455"/>
    <x v="1"/>
    <x v="2"/>
    <s v="Samsung Galaxy"/>
    <n v="81669.759999999995"/>
    <x v="0"/>
    <n v="81669.759999999995"/>
    <e v="#N/A"/>
    <n v="4"/>
    <n v="0.3"/>
    <n v="408.35"/>
    <x v="0"/>
    <x v="4"/>
    <x v="13"/>
  </r>
  <r>
    <n v="456"/>
    <s v="VID100456"/>
    <s v="30-10-2024"/>
    <s v="05-11-2024"/>
    <x v="1"/>
    <s v="CUST-1456"/>
    <s v="Amit Verma"/>
    <x v="0"/>
    <s v="India"/>
    <x v="4"/>
    <s v="Maharashtra"/>
    <n v="930491"/>
    <x v="3"/>
    <s v="PROD-2456"/>
    <x v="1"/>
    <x v="2"/>
    <s v="Samsung Galaxy"/>
    <n v="45840.5"/>
    <x v="0"/>
    <n v="45840.5"/>
    <e v="#N/A"/>
    <n v="4"/>
    <n v="0.2"/>
    <n v="1375.21"/>
    <x v="1"/>
    <x v="7"/>
    <x v="16"/>
  </r>
  <r>
    <n v="457"/>
    <s v="VID100457"/>
    <s v="27-01-2023"/>
    <s v="28-01-2023"/>
    <x v="3"/>
    <s v="CUST-1457"/>
    <s v="Ananya Mishra"/>
    <x v="2"/>
    <s v="India"/>
    <x v="4"/>
    <s v="Maharashtra"/>
    <n v="761527"/>
    <x v="3"/>
    <s v="PROD-2457"/>
    <x v="1"/>
    <x v="2"/>
    <s v="Samsung Galaxy"/>
    <n v="74277.08"/>
    <x v="0"/>
    <n v="74277.08"/>
    <e v="#N/A"/>
    <n v="4"/>
    <n v="0.3"/>
    <n v="371.39"/>
    <x v="3"/>
    <x v="8"/>
    <x v="7"/>
  </r>
  <r>
    <n v="458"/>
    <s v="VID100458"/>
    <s v="02-08-2021"/>
    <s v="05-08-2021"/>
    <x v="0"/>
    <s v="CUST-1458"/>
    <s v="Rahul Joshi"/>
    <x v="2"/>
    <s v="India"/>
    <x v="3"/>
    <s v="Gujarat"/>
    <n v="796166"/>
    <x v="3"/>
    <s v="PROD-2458"/>
    <x v="1"/>
    <x v="2"/>
    <s v="Samsung Galaxy"/>
    <n v="57563.59"/>
    <x v="0"/>
    <n v="57563.59"/>
    <e v="#N/A"/>
    <n v="6"/>
    <n v="0.2"/>
    <n v="1726.91"/>
    <x v="0"/>
    <x v="2"/>
    <x v="10"/>
  </r>
  <r>
    <n v="459"/>
    <s v="VID100459"/>
    <s v="07-04-2023"/>
    <s v="14-04-2023"/>
    <x v="0"/>
    <s v="CUST-1459"/>
    <s v="Vikram Singh"/>
    <x v="1"/>
    <s v="India"/>
    <x v="4"/>
    <s v="Maharashtra"/>
    <n v="347184"/>
    <x v="3"/>
    <s v="PROD-2459"/>
    <x v="1"/>
    <x v="2"/>
    <s v="Samsung Galaxy"/>
    <n v="37698.370000000003"/>
    <x v="0"/>
    <n v="37698.370000000003"/>
    <e v="#N/A"/>
    <n v="4"/>
    <n v="0"/>
    <n v="3015.87"/>
    <x v="3"/>
    <x v="4"/>
    <x v="8"/>
  </r>
  <r>
    <n v="460"/>
    <s v="VID100460"/>
    <s v="02-07-2024"/>
    <s v="09-07-2024"/>
    <x v="1"/>
    <s v="CUST-1460"/>
    <s v="Priya Patel"/>
    <x v="2"/>
    <s v="India"/>
    <x v="4"/>
    <s v="Maharashtra"/>
    <n v="343349"/>
    <x v="3"/>
    <s v="PROD-2460"/>
    <x v="0"/>
    <x v="0"/>
    <s v="Office Chair"/>
    <n v="79745.14"/>
    <x v="0"/>
    <n v="79745.14"/>
    <e v="#N/A"/>
    <n v="8"/>
    <n v="0"/>
    <n v="6379.61"/>
    <x v="1"/>
    <x v="6"/>
    <x v="10"/>
  </r>
  <r>
    <n v="461"/>
    <s v="VID100461"/>
    <s v="13-01-2023"/>
    <s v="18-01-2023"/>
    <x v="1"/>
    <s v="CUST-1461"/>
    <s v="Pooja Hegde"/>
    <x v="2"/>
    <s v="India"/>
    <x v="0"/>
    <s v="Delhi"/>
    <n v="429606"/>
    <x v="0"/>
    <s v="PROD-2461"/>
    <x v="1"/>
    <x v="2"/>
    <s v="Samsung Galaxy"/>
    <n v="62973.2"/>
    <x v="0"/>
    <n v="62973.2"/>
    <e v="#N/A"/>
    <n v="9"/>
    <n v="0"/>
    <n v="5037.8599999999997"/>
    <x v="3"/>
    <x v="8"/>
    <x v="30"/>
  </r>
  <r>
    <n v="462"/>
    <s v="VID100462"/>
    <s v="04-03-2023"/>
    <s v="11-03-2023"/>
    <x v="2"/>
    <s v="CUST-1462"/>
    <s v="Sneha Reddy"/>
    <x v="2"/>
    <s v="India"/>
    <x v="1"/>
    <s v="Karnataka"/>
    <n v="939634"/>
    <x v="1"/>
    <s v="PROD-2462"/>
    <x v="1"/>
    <x v="2"/>
    <s v="Samsung Galaxy"/>
    <n v="57790.54"/>
    <x v="0"/>
    <n v="57790.54"/>
    <e v="#N/A"/>
    <n v="3"/>
    <n v="0.2"/>
    <n v="1733.72"/>
    <x v="3"/>
    <x v="5"/>
    <x v="22"/>
  </r>
  <r>
    <n v="463"/>
    <s v="VID100463"/>
    <s v="27-08-2024"/>
    <s v="01-09-2024"/>
    <x v="0"/>
    <s v="CUST-1463"/>
    <s v="Ananya Mishra"/>
    <x v="2"/>
    <s v="India"/>
    <x v="3"/>
    <s v="Gujarat"/>
    <n v="491174"/>
    <x v="3"/>
    <s v="PROD-2463"/>
    <x v="1"/>
    <x v="1"/>
    <s v="Dell Inspiron"/>
    <n v="18456.11"/>
    <x v="0"/>
    <n v="18456.11"/>
    <e v="#N/A"/>
    <n v="2"/>
    <n v="0.2"/>
    <n v="553.67999999999995"/>
    <x v="1"/>
    <x v="2"/>
    <x v="7"/>
  </r>
  <r>
    <n v="464"/>
    <s v="VID100464"/>
    <s v="01-12-2021"/>
    <s v="08-12-2021"/>
    <x v="3"/>
    <s v="CUST-1464"/>
    <s v="Vikram Singh"/>
    <x v="2"/>
    <s v="India"/>
    <x v="3"/>
    <s v="Gujarat"/>
    <n v="513001"/>
    <x v="3"/>
    <s v="PROD-2464"/>
    <x v="1"/>
    <x v="2"/>
    <s v="Samsung Galaxy"/>
    <n v="7889.82"/>
    <x v="0"/>
    <n v="7889.82"/>
    <e v="#N/A"/>
    <n v="1"/>
    <n v="0.2"/>
    <n v="236.69"/>
    <x v="0"/>
    <x v="1"/>
    <x v="11"/>
  </r>
  <r>
    <n v="465"/>
    <s v="VID100465"/>
    <s v="04-02-2024"/>
    <s v="11-02-2024"/>
    <x v="3"/>
    <s v="CUST-1465"/>
    <s v="Ananya Mishra"/>
    <x v="2"/>
    <s v="India"/>
    <x v="1"/>
    <s v="Karnataka"/>
    <n v="349466"/>
    <x v="1"/>
    <s v="PROD-2465"/>
    <x v="1"/>
    <x v="2"/>
    <s v="Samsung Galaxy"/>
    <n v="93732.03"/>
    <x v="0"/>
    <n v="93732.03"/>
    <e v="#N/A"/>
    <n v="9"/>
    <n v="0.2"/>
    <n v="2811.96"/>
    <x v="1"/>
    <x v="11"/>
    <x v="22"/>
  </r>
  <r>
    <n v="466"/>
    <s v="VID100466"/>
    <s v="14-03-2024"/>
    <s v="16-03-2024"/>
    <x v="3"/>
    <s v="CUST-1466"/>
    <s v="Aarav Sharma"/>
    <x v="2"/>
    <s v="India"/>
    <x v="4"/>
    <s v="Maharashtra"/>
    <n v="739326"/>
    <x v="3"/>
    <s v="PROD-2466"/>
    <x v="1"/>
    <x v="2"/>
    <s v="Samsung Galaxy"/>
    <n v="94227.55"/>
    <x v="0"/>
    <n v="94227.55"/>
    <e v="#N/A"/>
    <n v="9"/>
    <n v="0.2"/>
    <n v="2826.83"/>
    <x v="1"/>
    <x v="5"/>
    <x v="6"/>
  </r>
  <r>
    <n v="467"/>
    <s v="VID100467"/>
    <s v="04-02-2021"/>
    <s v="08-02-2021"/>
    <x v="0"/>
    <s v="CUST-1467"/>
    <s v="Vikram Singh"/>
    <x v="2"/>
    <s v="India"/>
    <x v="4"/>
    <s v="Maharashtra"/>
    <n v="744998"/>
    <x v="3"/>
    <s v="PROD-2467"/>
    <x v="1"/>
    <x v="2"/>
    <s v="Samsung Galaxy"/>
    <n v="25061.919999999998"/>
    <x v="0"/>
    <n v="25061.919999999998"/>
    <e v="#N/A"/>
    <n v="8"/>
    <n v="0"/>
    <n v="2004.95"/>
    <x v="0"/>
    <x v="11"/>
    <x v="22"/>
  </r>
  <r>
    <n v="468"/>
    <s v="VID100468"/>
    <s v="24-12-2024"/>
    <s v="26-12-2024"/>
    <x v="0"/>
    <s v="CUST-1468"/>
    <s v="Diya Nair"/>
    <x v="1"/>
    <s v="India"/>
    <x v="0"/>
    <s v="Delhi"/>
    <n v="318969"/>
    <x v="0"/>
    <s v="PROD-2468"/>
    <x v="1"/>
    <x v="1"/>
    <s v="Dell Inspiron"/>
    <n v="24186.94"/>
    <x v="0"/>
    <n v="24186.94"/>
    <e v="#N/A"/>
    <n v="8"/>
    <n v="0.1"/>
    <n v="1330.28"/>
    <x v="1"/>
    <x v="1"/>
    <x v="14"/>
  </r>
  <r>
    <n v="469"/>
    <s v="VID100469"/>
    <s v="23-11-2022"/>
    <s v="27-11-2022"/>
    <x v="3"/>
    <s v="CUST-1469"/>
    <s v="Rahul Joshi"/>
    <x v="0"/>
    <s v="India"/>
    <x v="1"/>
    <s v="Karnataka"/>
    <n v="746956"/>
    <x v="1"/>
    <s v="PROD-2469"/>
    <x v="1"/>
    <x v="2"/>
    <s v="Samsung Galaxy"/>
    <n v="10320.84"/>
    <x v="0"/>
    <n v="10320.84"/>
    <e v="#N/A"/>
    <n v="8"/>
    <n v="0.2"/>
    <n v="309.63"/>
    <x v="2"/>
    <x v="9"/>
    <x v="24"/>
  </r>
  <r>
    <n v="470"/>
    <s v="VID100470"/>
    <s v="11-07-2025"/>
    <s v="14-07-2025"/>
    <x v="3"/>
    <s v="CUST-1470"/>
    <s v="Priya Patel"/>
    <x v="1"/>
    <s v="India"/>
    <x v="3"/>
    <s v="Gujarat"/>
    <n v="464259"/>
    <x v="3"/>
    <s v="PROD-2470"/>
    <x v="0"/>
    <x v="0"/>
    <s v="Office Chair"/>
    <n v="89549.41"/>
    <x v="0"/>
    <n v="89549.41"/>
    <e v="#N/A"/>
    <n v="1"/>
    <n v="0.1"/>
    <n v="4925.22"/>
    <x v="4"/>
    <x v="6"/>
    <x v="23"/>
  </r>
  <r>
    <n v="471"/>
    <s v="VID100471"/>
    <s v="29-10-2025"/>
    <s v="05-11-2025"/>
    <x v="0"/>
    <s v="CUST-1471"/>
    <s v="Sneha Reddy"/>
    <x v="2"/>
    <s v="India"/>
    <x v="3"/>
    <s v="Gujarat"/>
    <n v="729101"/>
    <x v="3"/>
    <s v="PROD-2471"/>
    <x v="1"/>
    <x v="2"/>
    <s v="Samsung Galaxy"/>
    <n v="53397.61"/>
    <x v="0"/>
    <n v="53397.61"/>
    <e v="#N/A"/>
    <n v="8"/>
    <n v="0.1"/>
    <n v="2936.87"/>
    <x v="4"/>
    <x v="7"/>
    <x v="19"/>
  </r>
  <r>
    <n v="472"/>
    <s v="VID100472"/>
    <s v="30-07-2023"/>
    <s v="06-08-2023"/>
    <x v="1"/>
    <s v="CUST-1472"/>
    <s v="Rahul Joshi"/>
    <x v="2"/>
    <s v="India"/>
    <x v="2"/>
    <s v="West Bengal"/>
    <n v="697035"/>
    <x v="2"/>
    <s v="PROD-2472"/>
    <x v="2"/>
    <x v="3"/>
    <s v="A4 Paper"/>
    <n v="6506.91"/>
    <x v="0"/>
    <n v="6506.91"/>
    <e v="#N/A"/>
    <n v="5"/>
    <n v="0.2"/>
    <n v="195.21"/>
    <x v="3"/>
    <x v="6"/>
    <x v="16"/>
  </r>
  <r>
    <n v="473"/>
    <s v="VID100473"/>
    <s v="08-09-2021"/>
    <s v="11-09-2021"/>
    <x v="3"/>
    <s v="CUST-1473"/>
    <s v="Diya Nair"/>
    <x v="2"/>
    <s v="India"/>
    <x v="1"/>
    <s v="Karnataka"/>
    <n v="103437"/>
    <x v="1"/>
    <s v="PROD-2473"/>
    <x v="1"/>
    <x v="2"/>
    <s v="Samsung Galaxy"/>
    <n v="51447.53"/>
    <x v="0"/>
    <n v="51447.53"/>
    <e v="#N/A"/>
    <n v="10"/>
    <n v="0.1"/>
    <n v="2829.61"/>
    <x v="0"/>
    <x v="10"/>
    <x v="3"/>
  </r>
  <r>
    <n v="474"/>
    <s v="VID100474"/>
    <s v="06-01-2022"/>
    <s v="09-01-2022"/>
    <x v="3"/>
    <s v="CUST-1474"/>
    <s v="Priya Patel"/>
    <x v="2"/>
    <s v="India"/>
    <x v="0"/>
    <s v="Delhi"/>
    <n v="721739"/>
    <x v="0"/>
    <s v="PROD-2474"/>
    <x v="2"/>
    <x v="3"/>
    <s v="A4 Paper"/>
    <n v="20495.05"/>
    <x v="0"/>
    <n v="20495.05"/>
    <e v="#N/A"/>
    <n v="5"/>
    <n v="0"/>
    <n v="1639.6"/>
    <x v="2"/>
    <x v="8"/>
    <x v="15"/>
  </r>
  <r>
    <n v="475"/>
    <s v="VID100475"/>
    <s v="15-12-2021"/>
    <s v="20-12-2021"/>
    <x v="2"/>
    <s v="CUST-1475"/>
    <s v="Rohan Das"/>
    <x v="0"/>
    <s v="India"/>
    <x v="0"/>
    <s v="Delhi"/>
    <n v="550764"/>
    <x v="0"/>
    <s v="PROD-2475"/>
    <x v="1"/>
    <x v="2"/>
    <s v="Samsung Galaxy"/>
    <n v="91468.44"/>
    <x v="0"/>
    <n v="91468.44"/>
    <e v="#N/A"/>
    <n v="3"/>
    <n v="0.1"/>
    <n v="5030.76"/>
    <x v="0"/>
    <x v="1"/>
    <x v="28"/>
  </r>
  <r>
    <n v="476"/>
    <s v="VID100476"/>
    <s v="25-07-2024"/>
    <s v="29-07-2024"/>
    <x v="2"/>
    <s v="CUST-1476"/>
    <s v="Priya Patel"/>
    <x v="2"/>
    <s v="India"/>
    <x v="1"/>
    <s v="Karnataka"/>
    <n v="404194"/>
    <x v="1"/>
    <s v="PROD-2476"/>
    <x v="2"/>
    <x v="3"/>
    <s v="A4 Paper"/>
    <n v="56000.6"/>
    <x v="0"/>
    <n v="56000.6"/>
    <e v="#N/A"/>
    <n v="6"/>
    <n v="0.1"/>
    <n v="3080.03"/>
    <x v="1"/>
    <x v="6"/>
    <x v="17"/>
  </r>
  <r>
    <n v="477"/>
    <s v="VID100477"/>
    <s v="02-05-2025"/>
    <s v="07-05-2025"/>
    <x v="1"/>
    <s v="CUST-1477"/>
    <s v="Diya Nair"/>
    <x v="2"/>
    <s v="India"/>
    <x v="3"/>
    <s v="Gujarat"/>
    <n v="332400"/>
    <x v="3"/>
    <s v="PROD-2477"/>
    <x v="2"/>
    <x v="3"/>
    <s v="A4 Paper"/>
    <n v="86141.67"/>
    <x v="0"/>
    <n v="86141.67"/>
    <e v="#N/A"/>
    <n v="10"/>
    <n v="0.2"/>
    <n v="2584.25"/>
    <x v="4"/>
    <x v="0"/>
    <x v="10"/>
  </r>
  <r>
    <n v="478"/>
    <s v="VID100478"/>
    <s v="20-09-2024"/>
    <s v="26-09-2024"/>
    <x v="3"/>
    <s v="CUST-1478"/>
    <s v="Amit Verma"/>
    <x v="1"/>
    <s v="India"/>
    <x v="1"/>
    <s v="Karnataka"/>
    <n v="167909"/>
    <x v="1"/>
    <s v="PROD-2478"/>
    <x v="2"/>
    <x v="3"/>
    <s v="A4 Paper"/>
    <n v="45277.19"/>
    <x v="0"/>
    <n v="45277.19"/>
    <e v="#N/A"/>
    <n v="2"/>
    <n v="0"/>
    <n v="3622.18"/>
    <x v="1"/>
    <x v="10"/>
    <x v="0"/>
  </r>
  <r>
    <n v="479"/>
    <s v="VID100479"/>
    <s v="10-11-2022"/>
    <s v="11-11-2022"/>
    <x v="0"/>
    <s v="CUST-1479"/>
    <s v="Rahul Joshi"/>
    <x v="2"/>
    <s v="India"/>
    <x v="2"/>
    <s v="West Bengal"/>
    <n v="194977"/>
    <x v="2"/>
    <s v="PROD-2479"/>
    <x v="1"/>
    <x v="2"/>
    <s v="Samsung Galaxy"/>
    <n v="67917.39"/>
    <x v="0"/>
    <n v="67917.39"/>
    <e v="#N/A"/>
    <n v="7"/>
    <n v="0.2"/>
    <n v="2037.52"/>
    <x v="2"/>
    <x v="9"/>
    <x v="5"/>
  </r>
  <r>
    <n v="480"/>
    <s v="VID100480"/>
    <s v="29-08-2024"/>
    <s v="03-09-2024"/>
    <x v="1"/>
    <s v="CUST-1480"/>
    <s v="Rohan Das"/>
    <x v="2"/>
    <s v="India"/>
    <x v="1"/>
    <s v="Karnataka"/>
    <n v="333327"/>
    <x v="1"/>
    <s v="PROD-2480"/>
    <x v="0"/>
    <x v="0"/>
    <s v="Office Chair"/>
    <n v="19610.66"/>
    <x v="0"/>
    <n v="19610.66"/>
    <e v="#N/A"/>
    <n v="2"/>
    <n v="0.1"/>
    <n v="1078.5899999999999"/>
    <x v="1"/>
    <x v="2"/>
    <x v="19"/>
  </r>
  <r>
    <n v="481"/>
    <s v="VID100481"/>
    <s v="17-09-2024"/>
    <s v="20-09-2024"/>
    <x v="2"/>
    <s v="CUST-1481"/>
    <s v="Sneha Reddy"/>
    <x v="1"/>
    <s v="India"/>
    <x v="3"/>
    <s v="Gujarat"/>
    <n v="835037"/>
    <x v="3"/>
    <s v="PROD-2481"/>
    <x v="1"/>
    <x v="2"/>
    <s v="Samsung Galaxy"/>
    <n v="70503.520000000004"/>
    <x v="0"/>
    <n v="70503.520000000004"/>
    <e v="#N/A"/>
    <n v="3"/>
    <n v="0.1"/>
    <n v="3877.69"/>
    <x v="1"/>
    <x v="10"/>
    <x v="29"/>
  </r>
  <r>
    <n v="482"/>
    <s v="VID100482"/>
    <s v="21-07-2023"/>
    <s v="25-07-2023"/>
    <x v="2"/>
    <s v="CUST-1482"/>
    <s v="Rohan Das"/>
    <x v="1"/>
    <s v="India"/>
    <x v="1"/>
    <s v="Karnataka"/>
    <n v="883579"/>
    <x v="1"/>
    <s v="PROD-2482"/>
    <x v="2"/>
    <x v="3"/>
    <s v="A4 Paper"/>
    <n v="51229.36"/>
    <x v="0"/>
    <n v="51229.36"/>
    <e v="#N/A"/>
    <n v="8"/>
    <n v="0.2"/>
    <n v="1536.88"/>
    <x v="3"/>
    <x v="6"/>
    <x v="26"/>
  </r>
  <r>
    <n v="483"/>
    <s v="VID100483"/>
    <s v="06-05-2023"/>
    <s v="12-05-2023"/>
    <x v="0"/>
    <s v="CUST-1483"/>
    <s v="Pooja Hegde"/>
    <x v="2"/>
    <s v="India"/>
    <x v="4"/>
    <s v="Maharashtra"/>
    <n v="698008"/>
    <x v="3"/>
    <s v="PROD-2483"/>
    <x v="1"/>
    <x v="2"/>
    <s v="Samsung Galaxy"/>
    <n v="67332.77"/>
    <x v="0"/>
    <n v="67332.77"/>
    <e v="#N/A"/>
    <n v="5"/>
    <n v="0"/>
    <n v="5386.62"/>
    <x v="3"/>
    <x v="0"/>
    <x v="15"/>
  </r>
  <r>
    <n v="484"/>
    <s v="VID100484"/>
    <s v="22-09-2025"/>
    <s v="25-09-2025"/>
    <x v="1"/>
    <s v="CUST-1484"/>
    <s v="Ananya Mishra"/>
    <x v="2"/>
    <s v="India"/>
    <x v="4"/>
    <s v="Maharashtra"/>
    <n v="237090"/>
    <x v="3"/>
    <s v="PROD-2484"/>
    <x v="2"/>
    <x v="3"/>
    <s v="A4 Paper"/>
    <n v="74987.05"/>
    <x v="0"/>
    <n v="74987.05"/>
    <e v="#N/A"/>
    <n v="1"/>
    <n v="0"/>
    <n v="5998.96"/>
    <x v="4"/>
    <x v="10"/>
    <x v="2"/>
  </r>
  <r>
    <n v="485"/>
    <s v="VID100485"/>
    <s v="15-02-2022"/>
    <s v="19-02-2022"/>
    <x v="1"/>
    <s v="CUST-1485"/>
    <s v="Diya Nair"/>
    <x v="1"/>
    <s v="India"/>
    <x v="4"/>
    <s v="Maharashtra"/>
    <n v="201809"/>
    <x v="3"/>
    <s v="PROD-2485"/>
    <x v="1"/>
    <x v="1"/>
    <s v="Dell Inspiron"/>
    <n v="56749.64"/>
    <x v="0"/>
    <n v="56749.64"/>
    <e v="#N/A"/>
    <n v="5"/>
    <n v="0"/>
    <n v="4539.97"/>
    <x v="2"/>
    <x v="11"/>
    <x v="28"/>
  </r>
  <r>
    <n v="486"/>
    <s v="VID100486"/>
    <s v="11-06-2025"/>
    <s v="12-06-2025"/>
    <x v="2"/>
    <s v="CUST-1486"/>
    <s v="Sneha Reddy"/>
    <x v="0"/>
    <s v="India"/>
    <x v="3"/>
    <s v="Gujarat"/>
    <n v="547718"/>
    <x v="3"/>
    <s v="PROD-2486"/>
    <x v="1"/>
    <x v="1"/>
    <s v="Dell Inspiron"/>
    <n v="32260.73"/>
    <x v="0"/>
    <n v="32260.73"/>
    <e v="#N/A"/>
    <n v="7"/>
    <n v="0.3"/>
    <n v="161.30000000000001"/>
    <x v="4"/>
    <x v="3"/>
    <x v="23"/>
  </r>
  <r>
    <n v="487"/>
    <s v="VID100487"/>
    <s v="13-04-2023"/>
    <s v="20-04-2023"/>
    <x v="2"/>
    <s v="CUST-1487"/>
    <s v="Amit Verma"/>
    <x v="1"/>
    <s v="India"/>
    <x v="1"/>
    <s v="Karnataka"/>
    <n v="499945"/>
    <x v="1"/>
    <s v="PROD-2487"/>
    <x v="1"/>
    <x v="2"/>
    <s v="Samsung Galaxy"/>
    <n v="66418.55"/>
    <x v="0"/>
    <n v="66418.55"/>
    <e v="#N/A"/>
    <n v="9"/>
    <n v="0.2"/>
    <n v="1992.56"/>
    <x v="3"/>
    <x v="4"/>
    <x v="30"/>
  </r>
  <r>
    <n v="488"/>
    <s v="VID100488"/>
    <s v="10-09-2022"/>
    <s v="12-09-2022"/>
    <x v="3"/>
    <s v="CUST-1488"/>
    <s v="Vikram Singh"/>
    <x v="0"/>
    <s v="India"/>
    <x v="2"/>
    <s v="West Bengal"/>
    <n v="657138"/>
    <x v="2"/>
    <s v="PROD-2488"/>
    <x v="1"/>
    <x v="1"/>
    <s v="Dell Inspiron"/>
    <n v="54747.87"/>
    <x v="0"/>
    <n v="54747.87"/>
    <e v="#N/A"/>
    <n v="4"/>
    <n v="0.1"/>
    <n v="3011.13"/>
    <x v="2"/>
    <x v="10"/>
    <x v="5"/>
  </r>
  <r>
    <n v="489"/>
    <s v="VID100489"/>
    <s v="23-12-2025"/>
    <s v="26-12-2025"/>
    <x v="0"/>
    <s v="CUST-1489"/>
    <s v="Ananya Mishra"/>
    <x v="0"/>
    <s v="India"/>
    <x v="3"/>
    <s v="Gujarat"/>
    <n v="746044"/>
    <x v="3"/>
    <s v="PROD-2489"/>
    <x v="2"/>
    <x v="3"/>
    <s v="A4 Paper"/>
    <n v="58398.26"/>
    <x v="0"/>
    <n v="58398.26"/>
    <e v="#N/A"/>
    <n v="3"/>
    <n v="0.2"/>
    <n v="1751.95"/>
    <x v="4"/>
    <x v="1"/>
    <x v="24"/>
  </r>
  <r>
    <n v="490"/>
    <s v="VID100490"/>
    <s v="24-01-2021"/>
    <s v="30-01-2021"/>
    <x v="3"/>
    <s v="CUST-1490"/>
    <s v="Priya Patel"/>
    <x v="1"/>
    <s v="India"/>
    <x v="1"/>
    <s v="Karnataka"/>
    <n v="544222"/>
    <x v="1"/>
    <s v="PROD-2490"/>
    <x v="1"/>
    <x v="1"/>
    <s v="Dell Inspiron"/>
    <n v="87556.84"/>
    <x v="0"/>
    <n v="87556.84"/>
    <e v="#N/A"/>
    <n v="5"/>
    <n v="0.1"/>
    <n v="4815.63"/>
    <x v="0"/>
    <x v="8"/>
    <x v="14"/>
  </r>
  <r>
    <n v="491"/>
    <s v="VID100491"/>
    <s v="13-07-2023"/>
    <s v="20-07-2023"/>
    <x v="3"/>
    <s v="CUST-1491"/>
    <s v="Rohan Das"/>
    <x v="0"/>
    <s v="India"/>
    <x v="3"/>
    <s v="Gujarat"/>
    <n v="892144"/>
    <x v="3"/>
    <s v="PROD-2491"/>
    <x v="1"/>
    <x v="2"/>
    <s v="Samsung Galaxy"/>
    <n v="91444.04"/>
    <x v="0"/>
    <n v="91444.04"/>
    <e v="#N/A"/>
    <n v="8"/>
    <n v="0.3"/>
    <n v="457.22"/>
    <x v="3"/>
    <x v="6"/>
    <x v="30"/>
  </r>
  <r>
    <n v="492"/>
    <s v="VID100492"/>
    <s v="30-03-2025"/>
    <s v="05-04-2025"/>
    <x v="3"/>
    <s v="CUST-1492"/>
    <s v="Amit Verma"/>
    <x v="0"/>
    <s v="India"/>
    <x v="3"/>
    <s v="Gujarat"/>
    <n v="296328"/>
    <x v="3"/>
    <s v="PROD-2492"/>
    <x v="1"/>
    <x v="1"/>
    <s v="Dell Inspiron"/>
    <n v="54682.13"/>
    <x v="0"/>
    <n v="54682.13"/>
    <e v="#N/A"/>
    <n v="7"/>
    <n v="0"/>
    <n v="4374.57"/>
    <x v="4"/>
    <x v="5"/>
    <x v="16"/>
  </r>
  <r>
    <n v="493"/>
    <s v="VID100493"/>
    <s v="03-08-2021"/>
    <s v="07-08-2021"/>
    <x v="3"/>
    <s v="CUST-1493"/>
    <s v="Pooja Hegde"/>
    <x v="1"/>
    <s v="India"/>
    <x v="0"/>
    <s v="Delhi"/>
    <n v="207782"/>
    <x v="0"/>
    <s v="PROD-2493"/>
    <x v="2"/>
    <x v="3"/>
    <s v="A4 Paper"/>
    <n v="51092.37"/>
    <x v="0"/>
    <n v="51092.37"/>
    <e v="#N/A"/>
    <n v="6"/>
    <n v="0.2"/>
    <n v="1532.77"/>
    <x v="0"/>
    <x v="2"/>
    <x v="9"/>
  </r>
  <r>
    <n v="494"/>
    <s v="VID100494"/>
    <s v="03-08-2023"/>
    <s v="06-08-2023"/>
    <x v="3"/>
    <s v="CUST-1494"/>
    <s v="Ananya Mishra"/>
    <x v="1"/>
    <s v="India"/>
    <x v="2"/>
    <s v="West Bengal"/>
    <n v="458421"/>
    <x v="2"/>
    <s v="PROD-2494"/>
    <x v="1"/>
    <x v="1"/>
    <s v="Dell Inspiron"/>
    <n v="88731.07"/>
    <x v="0"/>
    <n v="88731.07"/>
    <e v="#N/A"/>
    <n v="3"/>
    <n v="0.1"/>
    <n v="4880.21"/>
    <x v="3"/>
    <x v="2"/>
    <x v="9"/>
  </r>
  <r>
    <n v="495"/>
    <s v="VID100495"/>
    <s v="19-01-2025"/>
    <s v="26-01-2025"/>
    <x v="1"/>
    <s v="CUST-1495"/>
    <s v="Pooja Hegde"/>
    <x v="1"/>
    <s v="India"/>
    <x v="1"/>
    <s v="Karnataka"/>
    <n v="279701"/>
    <x v="1"/>
    <s v="PROD-2495"/>
    <x v="1"/>
    <x v="2"/>
    <s v="Samsung Galaxy"/>
    <n v="17051.43"/>
    <x v="0"/>
    <n v="17051.43"/>
    <e v="#N/A"/>
    <n v="3"/>
    <n v="0"/>
    <n v="1364.11"/>
    <x v="4"/>
    <x v="8"/>
    <x v="27"/>
  </r>
  <r>
    <n v="496"/>
    <s v="VID100496"/>
    <s v="05-11-2025"/>
    <s v="09-11-2025"/>
    <x v="3"/>
    <s v="CUST-1496"/>
    <s v="Vikram Singh"/>
    <x v="1"/>
    <s v="India"/>
    <x v="0"/>
    <s v="Delhi"/>
    <n v="577693"/>
    <x v="0"/>
    <s v="PROD-2496"/>
    <x v="1"/>
    <x v="2"/>
    <s v="Samsung Galaxy"/>
    <n v="24512.52"/>
    <x v="0"/>
    <n v="24512.52"/>
    <e v="#N/A"/>
    <n v="10"/>
    <n v="0.1"/>
    <n v="1348.19"/>
    <x v="4"/>
    <x v="9"/>
    <x v="25"/>
  </r>
  <r>
    <n v="497"/>
    <s v="VID100497"/>
    <s v="30-01-2025"/>
    <s v="02-02-2025"/>
    <x v="1"/>
    <s v="CUST-1497"/>
    <s v="Amit Verma"/>
    <x v="2"/>
    <s v="India"/>
    <x v="4"/>
    <s v="Maharashtra"/>
    <n v="619605"/>
    <x v="3"/>
    <s v="PROD-2497"/>
    <x v="1"/>
    <x v="2"/>
    <s v="Samsung Galaxy"/>
    <n v="8672.27"/>
    <x v="0"/>
    <n v="8672.27"/>
    <e v="#N/A"/>
    <n v="4"/>
    <n v="0"/>
    <n v="693.78"/>
    <x v="4"/>
    <x v="8"/>
    <x v="16"/>
  </r>
  <r>
    <n v="498"/>
    <s v="VID100498"/>
    <s v="02-08-2024"/>
    <s v="06-08-2024"/>
    <x v="1"/>
    <s v="CUST-1498"/>
    <s v="Vikram Singh"/>
    <x v="1"/>
    <s v="India"/>
    <x v="2"/>
    <s v="West Bengal"/>
    <n v="926359"/>
    <x v="2"/>
    <s v="PROD-2498"/>
    <x v="0"/>
    <x v="0"/>
    <s v="Office Chair"/>
    <n v="45357.5"/>
    <x v="0"/>
    <n v="45357.5"/>
    <e v="#N/A"/>
    <n v="1"/>
    <n v="0"/>
    <n v="3628.6"/>
    <x v="1"/>
    <x v="2"/>
    <x v="10"/>
  </r>
  <r>
    <n v="499"/>
    <s v="VID100499"/>
    <s v="30-04-2022"/>
    <s v="02-05-2022"/>
    <x v="2"/>
    <s v="CUST-1499"/>
    <s v="Amit Verma"/>
    <x v="0"/>
    <s v="India"/>
    <x v="4"/>
    <s v="Maharashtra"/>
    <n v="209383"/>
    <x v="3"/>
    <s v="PROD-2499"/>
    <x v="1"/>
    <x v="1"/>
    <s v="Dell Inspiron"/>
    <n v="66266.41"/>
    <x v="0"/>
    <n v="66266.41"/>
    <e v="#N/A"/>
    <n v="6"/>
    <n v="0.3"/>
    <n v="331.33"/>
    <x v="2"/>
    <x v="4"/>
    <x v="16"/>
  </r>
  <r>
    <n v="500"/>
    <s v="VID100500"/>
    <s v="14-06-2022"/>
    <s v="17-06-2022"/>
    <x v="1"/>
    <s v="CUST-1500"/>
    <s v="Rohan Das"/>
    <x v="2"/>
    <s v="India"/>
    <x v="2"/>
    <s v="West Bengal"/>
    <n v="518781"/>
    <x v="2"/>
    <s v="PROD-2500"/>
    <x v="1"/>
    <x v="2"/>
    <s v="Samsung Galaxy"/>
    <n v="81717.66"/>
    <x v="0"/>
    <n v="81717.66"/>
    <e v="#N/A"/>
    <n v="8"/>
    <n v="0.1"/>
    <n v="4494.47"/>
    <x v="2"/>
    <x v="3"/>
    <x v="6"/>
  </r>
  <r>
    <n v="501"/>
    <s v="VID100501"/>
    <s v="24-12-2024"/>
    <s v="27-12-2024"/>
    <x v="3"/>
    <s v="CUST-1501"/>
    <s v="Vikram Singh"/>
    <x v="1"/>
    <s v="India"/>
    <x v="4"/>
    <s v="Maharashtra"/>
    <n v="987559"/>
    <x v="3"/>
    <s v="PROD-2501"/>
    <x v="2"/>
    <x v="3"/>
    <s v="A4 Paper"/>
    <n v="98797.49"/>
    <x v="0"/>
    <n v="98797.49"/>
    <e v="#N/A"/>
    <n v="3"/>
    <n v="0.3"/>
    <n v="493.99"/>
    <x v="1"/>
    <x v="1"/>
    <x v="14"/>
  </r>
  <r>
    <n v="502"/>
    <s v="VID100502"/>
    <s v="15-12-2024"/>
    <s v="22-12-2024"/>
    <x v="1"/>
    <s v="CUST-1502"/>
    <s v="Rahul Joshi"/>
    <x v="0"/>
    <s v="India"/>
    <x v="1"/>
    <s v="Karnataka"/>
    <n v="670372"/>
    <x v="1"/>
    <s v="PROD-2502"/>
    <x v="1"/>
    <x v="1"/>
    <s v="Dell Inspiron"/>
    <n v="73098.89"/>
    <x v="0"/>
    <n v="73098.89"/>
    <e v="#N/A"/>
    <n v="9"/>
    <n v="0.2"/>
    <n v="2192.9699999999998"/>
    <x v="1"/>
    <x v="1"/>
    <x v="28"/>
  </r>
  <r>
    <n v="503"/>
    <s v="VID100503"/>
    <s v="01-07-2025"/>
    <s v="06-07-2025"/>
    <x v="3"/>
    <s v="CUST-1503"/>
    <s v="Ananya Mishra"/>
    <x v="2"/>
    <s v="India"/>
    <x v="3"/>
    <s v="Gujarat"/>
    <n v="811131"/>
    <x v="3"/>
    <s v="PROD-2503"/>
    <x v="0"/>
    <x v="0"/>
    <s v="Office Chair"/>
    <n v="34856.81"/>
    <x v="0"/>
    <n v="34856.81"/>
    <e v="#N/A"/>
    <n v="1"/>
    <n v="0.1"/>
    <n v="1917.12"/>
    <x v="4"/>
    <x v="6"/>
    <x v="11"/>
  </r>
  <r>
    <n v="504"/>
    <s v="VID100504"/>
    <s v="14-01-2024"/>
    <s v="16-01-2024"/>
    <x v="1"/>
    <s v="CUST-1504"/>
    <s v="Rahul Joshi"/>
    <x v="1"/>
    <s v="India"/>
    <x v="3"/>
    <s v="Gujarat"/>
    <n v="165415"/>
    <x v="3"/>
    <s v="PROD-2504"/>
    <x v="0"/>
    <x v="0"/>
    <s v="Office Chair"/>
    <n v="47532.56"/>
    <x v="0"/>
    <n v="47532.56"/>
    <e v="#N/A"/>
    <n v="8"/>
    <n v="0.3"/>
    <n v="237.66"/>
    <x v="1"/>
    <x v="8"/>
    <x v="6"/>
  </r>
  <r>
    <n v="505"/>
    <s v="VID100505"/>
    <s v="04-01-2023"/>
    <s v="07-01-2023"/>
    <x v="2"/>
    <s v="CUST-1505"/>
    <s v="Diya Nair"/>
    <x v="1"/>
    <s v="India"/>
    <x v="2"/>
    <s v="West Bengal"/>
    <n v="401871"/>
    <x v="2"/>
    <s v="PROD-2505"/>
    <x v="1"/>
    <x v="2"/>
    <s v="Samsung Galaxy"/>
    <n v="73065.86"/>
    <x v="0"/>
    <n v="73065.86"/>
    <e v="#N/A"/>
    <n v="1"/>
    <n v="0.3"/>
    <n v="365.33"/>
    <x v="3"/>
    <x v="8"/>
    <x v="22"/>
  </r>
  <r>
    <n v="506"/>
    <s v="VID100506"/>
    <s v="04-03-2024"/>
    <s v="10-03-2024"/>
    <x v="0"/>
    <s v="CUST-1506"/>
    <s v="Rahul Joshi"/>
    <x v="0"/>
    <s v="India"/>
    <x v="0"/>
    <s v="Delhi"/>
    <n v="889666"/>
    <x v="0"/>
    <s v="PROD-2506"/>
    <x v="0"/>
    <x v="0"/>
    <s v="Office Chair"/>
    <n v="25466.38"/>
    <x v="0"/>
    <n v="25466.38"/>
    <e v="#N/A"/>
    <n v="3"/>
    <n v="0.2"/>
    <n v="763.99"/>
    <x v="1"/>
    <x v="5"/>
    <x v="22"/>
  </r>
  <r>
    <n v="507"/>
    <s v="VID100507"/>
    <s v="10-08-2021"/>
    <s v="15-08-2021"/>
    <x v="3"/>
    <s v="CUST-1507"/>
    <s v="Rohan Das"/>
    <x v="2"/>
    <s v="India"/>
    <x v="2"/>
    <s v="West Bengal"/>
    <n v="900848"/>
    <x v="2"/>
    <s v="PROD-2507"/>
    <x v="1"/>
    <x v="1"/>
    <s v="Dell Inspiron"/>
    <n v="1483.12"/>
    <x v="0"/>
    <n v="1483.12"/>
    <e v="#N/A"/>
    <n v="8"/>
    <n v="0.1"/>
    <n v="81.569999999999993"/>
    <x v="0"/>
    <x v="2"/>
    <x v="5"/>
  </r>
  <r>
    <n v="508"/>
    <s v="VID100508"/>
    <s v="13-09-2024"/>
    <s v="15-09-2024"/>
    <x v="1"/>
    <s v="CUST-1508"/>
    <s v="Sneha Reddy"/>
    <x v="1"/>
    <s v="India"/>
    <x v="4"/>
    <s v="Maharashtra"/>
    <n v="623349"/>
    <x v="3"/>
    <s v="PROD-2508"/>
    <x v="0"/>
    <x v="0"/>
    <s v="Office Chair"/>
    <n v="91335.15"/>
    <x v="0"/>
    <n v="91335.15"/>
    <e v="#N/A"/>
    <n v="8"/>
    <n v="0.3"/>
    <n v="456.68"/>
    <x v="1"/>
    <x v="10"/>
    <x v="30"/>
  </r>
  <r>
    <n v="509"/>
    <s v="VID100509"/>
    <s v="11-02-2023"/>
    <s v="13-02-2023"/>
    <x v="3"/>
    <s v="CUST-1509"/>
    <s v="Amit Verma"/>
    <x v="0"/>
    <s v="India"/>
    <x v="4"/>
    <s v="Maharashtra"/>
    <n v="488312"/>
    <x v="3"/>
    <s v="PROD-2509"/>
    <x v="2"/>
    <x v="3"/>
    <s v="A4 Paper"/>
    <n v="71202.2"/>
    <x v="0"/>
    <n v="71202.2"/>
    <e v="#N/A"/>
    <n v="9"/>
    <n v="0.3"/>
    <n v="356.01"/>
    <x v="3"/>
    <x v="11"/>
    <x v="23"/>
  </r>
  <r>
    <n v="510"/>
    <s v="VID100510"/>
    <s v="24-02-2025"/>
    <s v="26-02-2025"/>
    <x v="2"/>
    <s v="CUST-1510"/>
    <s v="Vikram Singh"/>
    <x v="0"/>
    <s v="India"/>
    <x v="1"/>
    <s v="Karnataka"/>
    <n v="597548"/>
    <x v="1"/>
    <s v="PROD-2510"/>
    <x v="0"/>
    <x v="0"/>
    <s v="Office Chair"/>
    <n v="19404.93"/>
    <x v="0"/>
    <n v="19404.93"/>
    <e v="#N/A"/>
    <n v="6"/>
    <n v="0"/>
    <n v="1552.39"/>
    <x v="4"/>
    <x v="11"/>
    <x v="14"/>
  </r>
  <r>
    <n v="511"/>
    <s v="VID100511"/>
    <s v="06-07-2024"/>
    <s v="11-07-2024"/>
    <x v="3"/>
    <s v="CUST-1511"/>
    <s v="Diya Nair"/>
    <x v="1"/>
    <s v="India"/>
    <x v="2"/>
    <s v="West Bengal"/>
    <n v="900554"/>
    <x v="2"/>
    <s v="PROD-2511"/>
    <x v="0"/>
    <x v="0"/>
    <s v="Office Chair"/>
    <n v="23636.75"/>
    <x v="0"/>
    <n v="23636.75"/>
    <e v="#N/A"/>
    <n v="9"/>
    <n v="0.1"/>
    <n v="1300.02"/>
    <x v="1"/>
    <x v="6"/>
    <x v="15"/>
  </r>
  <r>
    <n v="512"/>
    <s v="VID100512"/>
    <s v="03-08-2024"/>
    <s v="06-08-2024"/>
    <x v="0"/>
    <s v="CUST-1512"/>
    <s v="Priya Patel"/>
    <x v="1"/>
    <s v="India"/>
    <x v="2"/>
    <s v="West Bengal"/>
    <n v="590344"/>
    <x v="2"/>
    <s v="PROD-2512"/>
    <x v="1"/>
    <x v="2"/>
    <s v="Samsung Galaxy"/>
    <n v="15102.97"/>
    <x v="0"/>
    <n v="15102.97"/>
    <e v="#N/A"/>
    <n v="5"/>
    <n v="0.3"/>
    <n v="75.510000000000005"/>
    <x v="1"/>
    <x v="2"/>
    <x v="9"/>
  </r>
  <r>
    <n v="513"/>
    <s v="VID100513"/>
    <s v="21-04-2023"/>
    <s v="27-04-2023"/>
    <x v="2"/>
    <s v="CUST-1513"/>
    <s v="Sneha Reddy"/>
    <x v="1"/>
    <s v="India"/>
    <x v="0"/>
    <s v="Delhi"/>
    <n v="817132"/>
    <x v="0"/>
    <s v="PROD-2513"/>
    <x v="1"/>
    <x v="2"/>
    <s v="Samsung Galaxy"/>
    <n v="64816.46"/>
    <x v="0"/>
    <n v="64816.46"/>
    <e v="#N/A"/>
    <n v="2"/>
    <n v="0.3"/>
    <n v="324.08"/>
    <x v="3"/>
    <x v="4"/>
    <x v="26"/>
  </r>
  <r>
    <n v="514"/>
    <s v="VID100514"/>
    <s v="02-01-2023"/>
    <s v="07-01-2023"/>
    <x v="2"/>
    <s v="CUST-1514"/>
    <s v="Amit Verma"/>
    <x v="0"/>
    <s v="India"/>
    <x v="3"/>
    <s v="Gujarat"/>
    <n v="412690"/>
    <x v="3"/>
    <s v="PROD-2514"/>
    <x v="1"/>
    <x v="2"/>
    <s v="Samsung Galaxy"/>
    <n v="91727.87"/>
    <x v="0"/>
    <n v="91727.87"/>
    <e v="#N/A"/>
    <n v="3"/>
    <n v="0"/>
    <n v="7338.23"/>
    <x v="3"/>
    <x v="8"/>
    <x v="10"/>
  </r>
  <r>
    <n v="515"/>
    <s v="VID100515"/>
    <s v="10-12-2023"/>
    <s v="13-12-2023"/>
    <x v="1"/>
    <s v="CUST-1515"/>
    <s v="Diya Nair"/>
    <x v="0"/>
    <s v="India"/>
    <x v="0"/>
    <s v="Delhi"/>
    <n v="269550"/>
    <x v="0"/>
    <s v="PROD-2515"/>
    <x v="2"/>
    <x v="3"/>
    <s v="A4 Paper"/>
    <n v="86785.21"/>
    <x v="0"/>
    <n v="86785.21"/>
    <e v="#N/A"/>
    <n v="9"/>
    <n v="0"/>
    <n v="6942.82"/>
    <x v="3"/>
    <x v="1"/>
    <x v="5"/>
  </r>
  <r>
    <n v="516"/>
    <s v="VID100516"/>
    <s v="03-01-2022"/>
    <s v="04-01-2022"/>
    <x v="1"/>
    <s v="CUST-1516"/>
    <s v="Vikram Singh"/>
    <x v="2"/>
    <s v="India"/>
    <x v="1"/>
    <s v="Karnataka"/>
    <n v="208243"/>
    <x v="1"/>
    <s v="PROD-2516"/>
    <x v="1"/>
    <x v="2"/>
    <s v="Samsung Galaxy"/>
    <n v="24141.45"/>
    <x v="0"/>
    <n v="24141.45"/>
    <e v="#N/A"/>
    <n v="8"/>
    <n v="0"/>
    <n v="1931.32"/>
    <x v="2"/>
    <x v="8"/>
    <x v="9"/>
  </r>
  <r>
    <n v="517"/>
    <s v="VID100517"/>
    <s v="08-01-2021"/>
    <s v="12-01-2021"/>
    <x v="0"/>
    <s v="CUST-1517"/>
    <s v="Pooja Hegde"/>
    <x v="0"/>
    <s v="India"/>
    <x v="4"/>
    <s v="Maharashtra"/>
    <n v="346109"/>
    <x v="3"/>
    <s v="PROD-2517"/>
    <x v="2"/>
    <x v="3"/>
    <s v="A4 Paper"/>
    <n v="25189.61"/>
    <x v="0"/>
    <n v="25189.61"/>
    <e v="#N/A"/>
    <n v="3"/>
    <n v="0.3"/>
    <n v="125.95"/>
    <x v="0"/>
    <x v="8"/>
    <x v="3"/>
  </r>
  <r>
    <n v="518"/>
    <s v="VID100518"/>
    <s v="11-12-2025"/>
    <s v="16-12-2025"/>
    <x v="2"/>
    <s v="CUST-1518"/>
    <s v="Diya Nair"/>
    <x v="0"/>
    <s v="India"/>
    <x v="1"/>
    <s v="Karnataka"/>
    <n v="666825"/>
    <x v="1"/>
    <s v="PROD-2518"/>
    <x v="1"/>
    <x v="1"/>
    <s v="Dell Inspiron"/>
    <n v="46930.64"/>
    <x v="0"/>
    <n v="46930.64"/>
    <e v="#N/A"/>
    <n v="3"/>
    <n v="0"/>
    <n v="3754.45"/>
    <x v="4"/>
    <x v="1"/>
    <x v="23"/>
  </r>
  <r>
    <n v="519"/>
    <s v="VID100519"/>
    <s v="11-11-2024"/>
    <s v="12-11-2024"/>
    <x v="1"/>
    <s v="CUST-1519"/>
    <s v="Rahul Joshi"/>
    <x v="2"/>
    <s v="India"/>
    <x v="2"/>
    <s v="West Bengal"/>
    <n v="322567"/>
    <x v="2"/>
    <s v="PROD-2519"/>
    <x v="1"/>
    <x v="2"/>
    <s v="Samsung Galaxy"/>
    <n v="48367.99"/>
    <x v="0"/>
    <n v="48367.99"/>
    <e v="#N/A"/>
    <n v="10"/>
    <n v="0"/>
    <n v="3869.44"/>
    <x v="1"/>
    <x v="9"/>
    <x v="23"/>
  </r>
  <r>
    <n v="520"/>
    <s v="VID100520"/>
    <s v="22-03-2023"/>
    <s v="29-03-2023"/>
    <x v="2"/>
    <s v="CUST-1520"/>
    <s v="Rahul Joshi"/>
    <x v="1"/>
    <s v="India"/>
    <x v="2"/>
    <s v="West Bengal"/>
    <n v="857355"/>
    <x v="2"/>
    <s v="PROD-2520"/>
    <x v="1"/>
    <x v="1"/>
    <s v="Dell Inspiron"/>
    <n v="19354.72"/>
    <x v="0"/>
    <n v="19354.72"/>
    <e v="#N/A"/>
    <n v="7"/>
    <n v="0.3"/>
    <n v="96.77"/>
    <x v="3"/>
    <x v="5"/>
    <x v="2"/>
  </r>
  <r>
    <n v="521"/>
    <s v="VID100521"/>
    <s v="03-11-2025"/>
    <s v="07-11-2025"/>
    <x v="0"/>
    <s v="CUST-1521"/>
    <s v="Sneha Reddy"/>
    <x v="1"/>
    <s v="India"/>
    <x v="3"/>
    <s v="Gujarat"/>
    <n v="680969"/>
    <x v="3"/>
    <s v="PROD-2521"/>
    <x v="1"/>
    <x v="2"/>
    <s v="Samsung Galaxy"/>
    <n v="94223.01"/>
    <x v="0"/>
    <n v="94223.01"/>
    <e v="#N/A"/>
    <n v="6"/>
    <n v="0.2"/>
    <n v="2826.69"/>
    <x v="4"/>
    <x v="9"/>
    <x v="9"/>
  </r>
  <r>
    <n v="522"/>
    <s v="VID100522"/>
    <s v="03-08-2022"/>
    <s v="05-08-2022"/>
    <x v="0"/>
    <s v="CUST-1522"/>
    <s v="Vikram Singh"/>
    <x v="1"/>
    <s v="India"/>
    <x v="3"/>
    <s v="Gujarat"/>
    <n v="142078"/>
    <x v="3"/>
    <s v="PROD-2522"/>
    <x v="1"/>
    <x v="2"/>
    <s v="Samsung Galaxy"/>
    <n v="41127.800000000003"/>
    <x v="0"/>
    <n v="41127.800000000003"/>
    <e v="#N/A"/>
    <n v="10"/>
    <n v="0.2"/>
    <n v="1233.83"/>
    <x v="2"/>
    <x v="2"/>
    <x v="9"/>
  </r>
  <r>
    <n v="523"/>
    <s v="VID100523"/>
    <s v="03-06-2023"/>
    <s v="06-06-2023"/>
    <x v="1"/>
    <s v="CUST-1523"/>
    <s v="Priya Patel"/>
    <x v="1"/>
    <s v="India"/>
    <x v="3"/>
    <s v="Gujarat"/>
    <n v="502104"/>
    <x v="3"/>
    <s v="PROD-2523"/>
    <x v="1"/>
    <x v="2"/>
    <s v="Samsung Galaxy"/>
    <n v="95656.77"/>
    <x v="0"/>
    <n v="95656.77"/>
    <e v="#N/A"/>
    <n v="7"/>
    <n v="0.1"/>
    <n v="5261.12"/>
    <x v="3"/>
    <x v="3"/>
    <x v="9"/>
  </r>
  <r>
    <n v="524"/>
    <s v="VID100524"/>
    <s v="18-11-2021"/>
    <s v="19-11-2021"/>
    <x v="3"/>
    <s v="CUST-1524"/>
    <s v="Ananya Mishra"/>
    <x v="2"/>
    <s v="India"/>
    <x v="0"/>
    <s v="Delhi"/>
    <n v="581558"/>
    <x v="0"/>
    <s v="PROD-2524"/>
    <x v="0"/>
    <x v="0"/>
    <s v="Office Chair"/>
    <n v="33385.93"/>
    <x v="0"/>
    <n v="33385.93"/>
    <e v="#N/A"/>
    <n v="2"/>
    <n v="0.2"/>
    <n v="1001.58"/>
    <x v="0"/>
    <x v="9"/>
    <x v="12"/>
  </r>
  <r>
    <n v="525"/>
    <s v="VID100525"/>
    <s v="26-02-2023"/>
    <s v="05-03-2023"/>
    <x v="3"/>
    <s v="CUST-1525"/>
    <s v="Aarav Sharma"/>
    <x v="1"/>
    <s v="India"/>
    <x v="2"/>
    <s v="West Bengal"/>
    <n v="795857"/>
    <x v="2"/>
    <s v="PROD-2525"/>
    <x v="1"/>
    <x v="1"/>
    <s v="Dell Inspiron"/>
    <n v="22745.01"/>
    <x v="0"/>
    <n v="22745.01"/>
    <e v="#N/A"/>
    <n v="10"/>
    <n v="0"/>
    <n v="1819.6"/>
    <x v="3"/>
    <x v="11"/>
    <x v="21"/>
  </r>
  <r>
    <n v="526"/>
    <s v="VID100526"/>
    <s v="10-04-2021"/>
    <s v="12-04-2021"/>
    <x v="1"/>
    <s v="CUST-1526"/>
    <s v="Rohan Das"/>
    <x v="0"/>
    <s v="India"/>
    <x v="2"/>
    <s v="West Bengal"/>
    <n v="401787"/>
    <x v="2"/>
    <s v="PROD-2526"/>
    <x v="2"/>
    <x v="3"/>
    <s v="A4 Paper"/>
    <n v="62304.27"/>
    <x v="0"/>
    <n v="62304.27"/>
    <e v="#N/A"/>
    <n v="5"/>
    <n v="0.2"/>
    <n v="1869.13"/>
    <x v="0"/>
    <x v="4"/>
    <x v="5"/>
  </r>
  <r>
    <n v="527"/>
    <s v="VID100527"/>
    <s v="03-04-2022"/>
    <s v="05-04-2022"/>
    <x v="1"/>
    <s v="CUST-1527"/>
    <s v="Aarav Sharma"/>
    <x v="1"/>
    <s v="India"/>
    <x v="0"/>
    <s v="Delhi"/>
    <n v="308528"/>
    <x v="0"/>
    <s v="PROD-2527"/>
    <x v="0"/>
    <x v="0"/>
    <s v="Office Chair"/>
    <n v="69814.55"/>
    <x v="0"/>
    <n v="69814.55"/>
    <e v="#N/A"/>
    <n v="6"/>
    <n v="0.3"/>
    <n v="349.07"/>
    <x v="2"/>
    <x v="4"/>
    <x v="9"/>
  </r>
  <r>
    <n v="528"/>
    <s v="VID100528"/>
    <s v="01-10-2022"/>
    <s v="03-10-2022"/>
    <x v="1"/>
    <s v="CUST-1528"/>
    <s v="Aarav Sharma"/>
    <x v="0"/>
    <s v="India"/>
    <x v="0"/>
    <s v="Delhi"/>
    <n v="320421"/>
    <x v="0"/>
    <s v="PROD-2528"/>
    <x v="0"/>
    <x v="0"/>
    <s v="Office Chair"/>
    <n v="70494.490000000005"/>
    <x v="0"/>
    <n v="70494.490000000005"/>
    <e v="#N/A"/>
    <n v="8"/>
    <n v="0.1"/>
    <n v="3877.2"/>
    <x v="2"/>
    <x v="7"/>
    <x v="11"/>
  </r>
  <r>
    <n v="529"/>
    <s v="VID100529"/>
    <s v="09-11-2022"/>
    <s v="10-11-2022"/>
    <x v="1"/>
    <s v="CUST-1529"/>
    <s v="Sneha Reddy"/>
    <x v="1"/>
    <s v="India"/>
    <x v="3"/>
    <s v="Gujarat"/>
    <n v="390095"/>
    <x v="3"/>
    <s v="PROD-2529"/>
    <x v="1"/>
    <x v="2"/>
    <s v="Samsung Galaxy"/>
    <n v="89016.15"/>
    <x v="0"/>
    <n v="89016.15"/>
    <e v="#N/A"/>
    <n v="4"/>
    <n v="0.3"/>
    <n v="445.08"/>
    <x v="2"/>
    <x v="9"/>
    <x v="18"/>
  </r>
  <r>
    <n v="530"/>
    <s v="VID100530"/>
    <s v="19-07-2025"/>
    <s v="23-07-2025"/>
    <x v="3"/>
    <s v="CUST-1530"/>
    <s v="Aarav Sharma"/>
    <x v="0"/>
    <s v="India"/>
    <x v="3"/>
    <s v="Gujarat"/>
    <n v="422560"/>
    <x v="3"/>
    <s v="PROD-2530"/>
    <x v="1"/>
    <x v="2"/>
    <s v="Samsung Galaxy"/>
    <n v="83256.289999999994"/>
    <x v="0"/>
    <n v="83256.289999999994"/>
    <e v="#N/A"/>
    <n v="6"/>
    <n v="0.3"/>
    <n v="416.28"/>
    <x v="4"/>
    <x v="6"/>
    <x v="27"/>
  </r>
  <r>
    <n v="531"/>
    <s v="VID100531"/>
    <s v="30-08-2025"/>
    <s v="31-08-2025"/>
    <x v="0"/>
    <s v="CUST-1531"/>
    <s v="Aarav Sharma"/>
    <x v="2"/>
    <s v="India"/>
    <x v="1"/>
    <s v="Karnataka"/>
    <n v="681295"/>
    <x v="1"/>
    <s v="PROD-2531"/>
    <x v="1"/>
    <x v="2"/>
    <s v="Samsung Galaxy"/>
    <n v="36109.11"/>
    <x v="0"/>
    <n v="36109.11"/>
    <e v="#N/A"/>
    <n v="9"/>
    <n v="0.3"/>
    <n v="180.55"/>
    <x v="4"/>
    <x v="2"/>
    <x v="16"/>
  </r>
  <r>
    <n v="532"/>
    <s v="VID100532"/>
    <s v="24-01-2022"/>
    <s v="26-01-2022"/>
    <x v="2"/>
    <s v="CUST-1532"/>
    <s v="Ananya Mishra"/>
    <x v="0"/>
    <s v="India"/>
    <x v="3"/>
    <s v="Gujarat"/>
    <n v="623248"/>
    <x v="3"/>
    <s v="PROD-2532"/>
    <x v="0"/>
    <x v="0"/>
    <s v="Office Chair"/>
    <n v="41416.26"/>
    <x v="0"/>
    <n v="41416.26"/>
    <e v="#N/A"/>
    <n v="10"/>
    <n v="0.2"/>
    <n v="1242.49"/>
    <x v="2"/>
    <x v="8"/>
    <x v="14"/>
  </r>
  <r>
    <n v="533"/>
    <s v="VID100533"/>
    <s v="04-07-2022"/>
    <s v="10-07-2022"/>
    <x v="2"/>
    <s v="CUST-1533"/>
    <s v="Pooja Hegde"/>
    <x v="2"/>
    <s v="India"/>
    <x v="3"/>
    <s v="Gujarat"/>
    <n v="590976"/>
    <x v="3"/>
    <s v="PROD-2533"/>
    <x v="1"/>
    <x v="2"/>
    <s v="Samsung Galaxy"/>
    <n v="6970.57"/>
    <x v="0"/>
    <n v="6970.57"/>
    <e v="#N/A"/>
    <n v="9"/>
    <n v="0.2"/>
    <n v="209.12"/>
    <x v="2"/>
    <x v="6"/>
    <x v="22"/>
  </r>
  <r>
    <n v="534"/>
    <s v="VID100534"/>
    <s v="11-07-2022"/>
    <s v="18-07-2022"/>
    <x v="1"/>
    <s v="CUST-1534"/>
    <s v="Aarav Sharma"/>
    <x v="0"/>
    <s v="India"/>
    <x v="1"/>
    <s v="Karnataka"/>
    <n v="770198"/>
    <x v="1"/>
    <s v="PROD-2534"/>
    <x v="1"/>
    <x v="1"/>
    <s v="Dell Inspiron"/>
    <n v="38991.339999999997"/>
    <x v="0"/>
    <n v="38991.339999999997"/>
    <e v="#N/A"/>
    <n v="9"/>
    <n v="0.2"/>
    <n v="1169.74"/>
    <x v="2"/>
    <x v="6"/>
    <x v="23"/>
  </r>
  <r>
    <n v="535"/>
    <s v="VID100535"/>
    <s v="18-08-2021"/>
    <s v="25-08-2021"/>
    <x v="1"/>
    <s v="CUST-1535"/>
    <s v="Sneha Reddy"/>
    <x v="2"/>
    <s v="India"/>
    <x v="0"/>
    <s v="Delhi"/>
    <n v="868334"/>
    <x v="0"/>
    <s v="PROD-2535"/>
    <x v="1"/>
    <x v="2"/>
    <s v="Samsung Galaxy"/>
    <n v="68402.2"/>
    <x v="0"/>
    <n v="68402.2"/>
    <e v="#N/A"/>
    <n v="8"/>
    <n v="0"/>
    <n v="5472.18"/>
    <x v="0"/>
    <x v="2"/>
    <x v="12"/>
  </r>
  <r>
    <n v="536"/>
    <s v="VID100536"/>
    <s v="28-02-2021"/>
    <s v="05-03-2021"/>
    <x v="2"/>
    <s v="CUST-1536"/>
    <s v="Diya Nair"/>
    <x v="2"/>
    <s v="India"/>
    <x v="4"/>
    <s v="Maharashtra"/>
    <n v="848800"/>
    <x v="3"/>
    <s v="PROD-2536"/>
    <x v="0"/>
    <x v="0"/>
    <s v="Office Chair"/>
    <n v="17837.55"/>
    <x v="0"/>
    <n v="17837.55"/>
    <e v="#N/A"/>
    <n v="8"/>
    <n v="0.1"/>
    <n v="981.07"/>
    <x v="0"/>
    <x v="11"/>
    <x v="13"/>
  </r>
  <r>
    <n v="537"/>
    <s v="VID100537"/>
    <s v="11-10-2025"/>
    <s v="12-10-2025"/>
    <x v="0"/>
    <s v="CUST-1537"/>
    <s v="Pooja Hegde"/>
    <x v="2"/>
    <s v="India"/>
    <x v="2"/>
    <s v="West Bengal"/>
    <n v="467107"/>
    <x v="2"/>
    <s v="PROD-2537"/>
    <x v="1"/>
    <x v="2"/>
    <s v="Samsung Galaxy"/>
    <n v="54498.06"/>
    <x v="0"/>
    <n v="54498.06"/>
    <e v="#N/A"/>
    <n v="5"/>
    <n v="0.1"/>
    <n v="2997.39"/>
    <x v="4"/>
    <x v="7"/>
    <x v="23"/>
  </r>
  <r>
    <n v="538"/>
    <s v="VID100538"/>
    <s v="14-01-2021"/>
    <s v="16-01-2021"/>
    <x v="1"/>
    <s v="CUST-1538"/>
    <s v="Amit Verma"/>
    <x v="1"/>
    <s v="India"/>
    <x v="4"/>
    <s v="Maharashtra"/>
    <n v="812885"/>
    <x v="3"/>
    <s v="PROD-2538"/>
    <x v="1"/>
    <x v="2"/>
    <s v="Samsung Galaxy"/>
    <n v="96847.94"/>
    <x v="0"/>
    <n v="96847.94"/>
    <e v="#N/A"/>
    <n v="4"/>
    <n v="0.3"/>
    <n v="484.24"/>
    <x v="0"/>
    <x v="8"/>
    <x v="6"/>
  </r>
  <r>
    <n v="539"/>
    <s v="VID100539"/>
    <s v="05-01-2021"/>
    <s v="08-01-2021"/>
    <x v="0"/>
    <s v="CUST-1539"/>
    <s v="Vikram Singh"/>
    <x v="1"/>
    <s v="India"/>
    <x v="0"/>
    <s v="Delhi"/>
    <n v="726528"/>
    <x v="0"/>
    <s v="PROD-2539"/>
    <x v="1"/>
    <x v="2"/>
    <s v="Samsung Galaxy"/>
    <n v="31400.02"/>
    <x v="0"/>
    <n v="31400.02"/>
    <e v="#N/A"/>
    <n v="8"/>
    <n v="0"/>
    <n v="2512"/>
    <x v="0"/>
    <x v="8"/>
    <x v="25"/>
  </r>
  <r>
    <n v="540"/>
    <s v="VID100540"/>
    <s v="10-12-2021"/>
    <s v="15-12-2021"/>
    <x v="0"/>
    <s v="CUST-1540"/>
    <s v="Sneha Reddy"/>
    <x v="1"/>
    <s v="India"/>
    <x v="4"/>
    <s v="Maharashtra"/>
    <n v="761662"/>
    <x v="3"/>
    <s v="PROD-2540"/>
    <x v="1"/>
    <x v="1"/>
    <s v="Dell Inspiron"/>
    <n v="93106.18"/>
    <x v="0"/>
    <n v="93106.18"/>
    <e v="#N/A"/>
    <n v="3"/>
    <n v="0"/>
    <n v="7448.49"/>
    <x v="0"/>
    <x v="1"/>
    <x v="5"/>
  </r>
  <r>
    <n v="541"/>
    <s v="VID100541"/>
    <s v="13-01-2021"/>
    <s v="15-01-2021"/>
    <x v="2"/>
    <s v="CUST-1541"/>
    <s v="Amit Verma"/>
    <x v="2"/>
    <s v="India"/>
    <x v="2"/>
    <s v="West Bengal"/>
    <n v="261789"/>
    <x v="2"/>
    <s v="PROD-2541"/>
    <x v="0"/>
    <x v="0"/>
    <s v="Office Chair"/>
    <n v="13634.51"/>
    <x v="0"/>
    <n v="13634.51"/>
    <e v="#N/A"/>
    <n v="2"/>
    <n v="0"/>
    <n v="1090.76"/>
    <x v="0"/>
    <x v="8"/>
    <x v="30"/>
  </r>
  <r>
    <n v="542"/>
    <s v="VID100542"/>
    <s v="04-11-2025"/>
    <s v="10-11-2025"/>
    <x v="3"/>
    <s v="CUST-1542"/>
    <s v="Sneha Reddy"/>
    <x v="0"/>
    <s v="India"/>
    <x v="0"/>
    <s v="Delhi"/>
    <n v="358572"/>
    <x v="0"/>
    <s v="PROD-2542"/>
    <x v="0"/>
    <x v="0"/>
    <s v="Office Chair"/>
    <n v="39538.78"/>
    <x v="0"/>
    <n v="39538.78"/>
    <e v="#N/A"/>
    <n v="5"/>
    <n v="0.1"/>
    <n v="2174.63"/>
    <x v="4"/>
    <x v="9"/>
    <x v="22"/>
  </r>
  <r>
    <n v="543"/>
    <s v="VID100543"/>
    <s v="30-03-2022"/>
    <s v="01-04-2022"/>
    <x v="1"/>
    <s v="CUST-1543"/>
    <s v="Aarav Sharma"/>
    <x v="2"/>
    <s v="India"/>
    <x v="1"/>
    <s v="Karnataka"/>
    <n v="741128"/>
    <x v="1"/>
    <s v="PROD-2543"/>
    <x v="1"/>
    <x v="2"/>
    <s v="Samsung Galaxy"/>
    <n v="33243.72"/>
    <x v="0"/>
    <n v="33243.72"/>
    <e v="#N/A"/>
    <n v="3"/>
    <n v="0.2"/>
    <n v="997.31"/>
    <x v="2"/>
    <x v="5"/>
    <x v="16"/>
  </r>
  <r>
    <n v="544"/>
    <s v="VID100544"/>
    <s v="21-04-2025"/>
    <s v="27-04-2025"/>
    <x v="0"/>
    <s v="CUST-1544"/>
    <s v="Vikram Singh"/>
    <x v="0"/>
    <s v="India"/>
    <x v="1"/>
    <s v="Karnataka"/>
    <n v="362753"/>
    <x v="1"/>
    <s v="PROD-2544"/>
    <x v="1"/>
    <x v="2"/>
    <s v="Samsung Galaxy"/>
    <n v="10705.52"/>
    <x v="0"/>
    <n v="10705.52"/>
    <e v="#N/A"/>
    <n v="2"/>
    <n v="0.2"/>
    <n v="321.17"/>
    <x v="4"/>
    <x v="4"/>
    <x v="26"/>
  </r>
  <r>
    <n v="545"/>
    <s v="VID100545"/>
    <s v="14-10-2021"/>
    <s v="20-10-2021"/>
    <x v="2"/>
    <s v="CUST-1545"/>
    <s v="Rahul Joshi"/>
    <x v="1"/>
    <s v="India"/>
    <x v="3"/>
    <s v="Gujarat"/>
    <n v="174886"/>
    <x v="3"/>
    <s v="PROD-2545"/>
    <x v="0"/>
    <x v="0"/>
    <s v="Office Chair"/>
    <n v="50786.59"/>
    <x v="0"/>
    <n v="50786.59"/>
    <e v="#N/A"/>
    <n v="8"/>
    <n v="0.1"/>
    <n v="2793.26"/>
    <x v="0"/>
    <x v="7"/>
    <x v="6"/>
  </r>
  <r>
    <n v="546"/>
    <s v="VID100546"/>
    <s v="09-08-2024"/>
    <s v="16-08-2024"/>
    <x v="0"/>
    <s v="CUST-1546"/>
    <s v="Rahul Joshi"/>
    <x v="2"/>
    <s v="India"/>
    <x v="3"/>
    <s v="Gujarat"/>
    <n v="280998"/>
    <x v="3"/>
    <s v="PROD-2546"/>
    <x v="0"/>
    <x v="0"/>
    <s v="Office Chair"/>
    <n v="49451.11"/>
    <x v="0"/>
    <n v="49451.11"/>
    <e v="#N/A"/>
    <n v="1"/>
    <n v="0"/>
    <n v="3956.09"/>
    <x v="1"/>
    <x v="2"/>
    <x v="18"/>
  </r>
  <r>
    <n v="547"/>
    <s v="VID100547"/>
    <s v="18-06-2025"/>
    <s v="20-06-2025"/>
    <x v="2"/>
    <s v="CUST-1547"/>
    <s v="Diya Nair"/>
    <x v="2"/>
    <s v="India"/>
    <x v="3"/>
    <s v="Gujarat"/>
    <n v="820867"/>
    <x v="3"/>
    <s v="PROD-2547"/>
    <x v="0"/>
    <x v="0"/>
    <s v="Office Chair"/>
    <n v="80058.69"/>
    <x v="0"/>
    <n v="80058.69"/>
    <e v="#N/A"/>
    <n v="9"/>
    <n v="0.3"/>
    <n v="400.29"/>
    <x v="4"/>
    <x v="3"/>
    <x v="12"/>
  </r>
  <r>
    <n v="548"/>
    <s v="VID100548"/>
    <s v="27-02-2023"/>
    <s v="06-03-2023"/>
    <x v="2"/>
    <s v="CUST-1548"/>
    <s v="Pooja Hegde"/>
    <x v="0"/>
    <s v="India"/>
    <x v="1"/>
    <s v="Karnataka"/>
    <n v="847264"/>
    <x v="1"/>
    <s v="PROD-2548"/>
    <x v="2"/>
    <x v="3"/>
    <s v="A4 Paper"/>
    <n v="46343.63"/>
    <x v="0"/>
    <n v="46343.63"/>
    <e v="#N/A"/>
    <n v="10"/>
    <n v="0.2"/>
    <n v="1390.31"/>
    <x v="3"/>
    <x v="11"/>
    <x v="7"/>
  </r>
  <r>
    <n v="549"/>
    <s v="VID100549"/>
    <s v="09-09-2023"/>
    <s v="14-09-2023"/>
    <x v="2"/>
    <s v="CUST-1549"/>
    <s v="Aarav Sharma"/>
    <x v="2"/>
    <s v="India"/>
    <x v="1"/>
    <s v="Karnataka"/>
    <n v="666798"/>
    <x v="1"/>
    <s v="PROD-2549"/>
    <x v="2"/>
    <x v="3"/>
    <s v="A4 Paper"/>
    <n v="5671.54"/>
    <x v="0"/>
    <n v="5671.54"/>
    <e v="#N/A"/>
    <n v="6"/>
    <n v="0.1"/>
    <n v="311.93"/>
    <x v="3"/>
    <x v="10"/>
    <x v="18"/>
  </r>
  <r>
    <n v="550"/>
    <s v="VID100550"/>
    <s v="17-02-2021"/>
    <s v="21-02-2021"/>
    <x v="3"/>
    <s v="CUST-1550"/>
    <s v="Amit Verma"/>
    <x v="0"/>
    <s v="India"/>
    <x v="0"/>
    <s v="Delhi"/>
    <n v="529216"/>
    <x v="0"/>
    <s v="PROD-2550"/>
    <x v="0"/>
    <x v="0"/>
    <s v="Office Chair"/>
    <n v="2407.4299999999998"/>
    <x v="0"/>
    <n v="2407.4299999999998"/>
    <e v="#N/A"/>
    <n v="8"/>
    <n v="0.2"/>
    <n v="72.22"/>
    <x v="0"/>
    <x v="11"/>
    <x v="29"/>
  </r>
  <r>
    <n v="551"/>
    <s v="VID100551"/>
    <s v="18-02-2023"/>
    <s v="20-02-2023"/>
    <x v="1"/>
    <s v="CUST-1551"/>
    <s v="Aarav Sharma"/>
    <x v="0"/>
    <s v="India"/>
    <x v="1"/>
    <s v="Karnataka"/>
    <n v="254826"/>
    <x v="1"/>
    <s v="PROD-2551"/>
    <x v="0"/>
    <x v="0"/>
    <s v="Office Chair"/>
    <n v="48193.82"/>
    <x v="0"/>
    <n v="48193.82"/>
    <e v="#N/A"/>
    <n v="5"/>
    <n v="0.3"/>
    <n v="240.97"/>
    <x v="3"/>
    <x v="11"/>
    <x v="12"/>
  </r>
  <r>
    <n v="552"/>
    <s v="VID100552"/>
    <s v="11-05-2025"/>
    <s v="14-05-2025"/>
    <x v="2"/>
    <s v="CUST-1552"/>
    <s v="Ananya Mishra"/>
    <x v="0"/>
    <s v="India"/>
    <x v="4"/>
    <s v="Maharashtra"/>
    <n v="364304"/>
    <x v="3"/>
    <s v="PROD-2552"/>
    <x v="1"/>
    <x v="1"/>
    <s v="Dell Inspiron"/>
    <n v="82431.520000000004"/>
    <x v="0"/>
    <n v="82431.520000000004"/>
    <e v="#N/A"/>
    <n v="5"/>
    <n v="0.3"/>
    <n v="412.16"/>
    <x v="4"/>
    <x v="0"/>
    <x v="23"/>
  </r>
  <r>
    <n v="553"/>
    <s v="VID100553"/>
    <s v="24-03-2021"/>
    <s v="30-03-2021"/>
    <x v="3"/>
    <s v="CUST-1553"/>
    <s v="Rohan Das"/>
    <x v="1"/>
    <s v="India"/>
    <x v="1"/>
    <s v="Karnataka"/>
    <n v="979447"/>
    <x v="1"/>
    <s v="PROD-2553"/>
    <x v="0"/>
    <x v="0"/>
    <s v="Office Chair"/>
    <n v="68884.820000000007"/>
    <x v="0"/>
    <n v="68884.820000000007"/>
    <e v="#N/A"/>
    <n v="4"/>
    <n v="0.1"/>
    <n v="3788.67"/>
    <x v="0"/>
    <x v="5"/>
    <x v="14"/>
  </r>
  <r>
    <n v="554"/>
    <s v="VID100554"/>
    <s v="22-05-2024"/>
    <s v="29-05-2024"/>
    <x v="3"/>
    <s v="CUST-1554"/>
    <s v="Priya Patel"/>
    <x v="0"/>
    <s v="India"/>
    <x v="1"/>
    <s v="Karnataka"/>
    <n v="266874"/>
    <x v="1"/>
    <s v="PROD-2554"/>
    <x v="2"/>
    <x v="3"/>
    <s v="A4 Paper"/>
    <n v="51117.18"/>
    <x v="0"/>
    <n v="51117.18"/>
    <e v="#N/A"/>
    <n v="7"/>
    <n v="0"/>
    <n v="4089.37"/>
    <x v="1"/>
    <x v="0"/>
    <x v="2"/>
  </r>
  <r>
    <n v="555"/>
    <s v="VID100555"/>
    <s v="05-03-2024"/>
    <s v="09-03-2024"/>
    <x v="1"/>
    <s v="CUST-1555"/>
    <s v="Vikram Singh"/>
    <x v="2"/>
    <s v="India"/>
    <x v="3"/>
    <s v="Gujarat"/>
    <n v="928857"/>
    <x v="3"/>
    <s v="PROD-2555"/>
    <x v="1"/>
    <x v="1"/>
    <s v="Dell Inspiron"/>
    <n v="87401.65"/>
    <x v="0"/>
    <n v="87401.65"/>
    <e v="#N/A"/>
    <n v="6"/>
    <n v="0"/>
    <n v="6992.13"/>
    <x v="1"/>
    <x v="5"/>
    <x v="25"/>
  </r>
  <r>
    <n v="556"/>
    <s v="VID100556"/>
    <s v="28-06-2025"/>
    <s v="05-07-2025"/>
    <x v="3"/>
    <s v="CUST-1556"/>
    <s v="Sneha Reddy"/>
    <x v="1"/>
    <s v="India"/>
    <x v="2"/>
    <s v="West Bengal"/>
    <n v="380746"/>
    <x v="2"/>
    <s v="PROD-2556"/>
    <x v="1"/>
    <x v="2"/>
    <s v="Samsung Galaxy"/>
    <n v="12169.14"/>
    <x v="0"/>
    <n v="12169.14"/>
    <e v="#N/A"/>
    <n v="9"/>
    <n v="0.3"/>
    <n v="60.85"/>
    <x v="4"/>
    <x v="3"/>
    <x v="13"/>
  </r>
  <r>
    <n v="557"/>
    <s v="VID100557"/>
    <s v="09-09-2023"/>
    <s v="15-09-2023"/>
    <x v="0"/>
    <s v="CUST-1557"/>
    <s v="Pooja Hegde"/>
    <x v="0"/>
    <s v="India"/>
    <x v="4"/>
    <s v="Maharashtra"/>
    <n v="222562"/>
    <x v="3"/>
    <s v="PROD-2557"/>
    <x v="1"/>
    <x v="1"/>
    <s v="Dell Inspiron"/>
    <n v="38526.42"/>
    <x v="0"/>
    <n v="38526.42"/>
    <e v="#N/A"/>
    <n v="7"/>
    <n v="0.2"/>
    <n v="1155.79"/>
    <x v="3"/>
    <x v="10"/>
    <x v="18"/>
  </r>
  <r>
    <n v="558"/>
    <s v="VID100558"/>
    <s v="05-12-2021"/>
    <s v="09-12-2021"/>
    <x v="2"/>
    <s v="CUST-1558"/>
    <s v="Amit Verma"/>
    <x v="1"/>
    <s v="India"/>
    <x v="4"/>
    <s v="Maharashtra"/>
    <n v="432196"/>
    <x v="3"/>
    <s v="PROD-2558"/>
    <x v="0"/>
    <x v="0"/>
    <s v="Office Chair"/>
    <n v="49100.53"/>
    <x v="0"/>
    <n v="49100.53"/>
    <e v="#N/A"/>
    <n v="6"/>
    <n v="0.1"/>
    <n v="2700.53"/>
    <x v="0"/>
    <x v="1"/>
    <x v="25"/>
  </r>
  <r>
    <n v="559"/>
    <s v="VID100559"/>
    <s v="17-02-2024"/>
    <s v="18-02-2024"/>
    <x v="0"/>
    <s v="CUST-1559"/>
    <s v="Priya Patel"/>
    <x v="0"/>
    <s v="India"/>
    <x v="3"/>
    <s v="Gujarat"/>
    <n v="508410"/>
    <x v="3"/>
    <s v="PROD-2559"/>
    <x v="1"/>
    <x v="1"/>
    <s v="Dell Inspiron"/>
    <n v="59407.14"/>
    <x v="0"/>
    <n v="59407.14"/>
    <e v="#N/A"/>
    <n v="2"/>
    <n v="0.3"/>
    <n v="297.04000000000002"/>
    <x v="1"/>
    <x v="11"/>
    <x v="29"/>
  </r>
  <r>
    <n v="560"/>
    <s v="VID100560"/>
    <s v="02-12-2025"/>
    <s v="06-12-2025"/>
    <x v="2"/>
    <s v="CUST-1560"/>
    <s v="Amit Verma"/>
    <x v="0"/>
    <s v="India"/>
    <x v="1"/>
    <s v="Karnataka"/>
    <n v="571806"/>
    <x v="1"/>
    <s v="PROD-2560"/>
    <x v="1"/>
    <x v="2"/>
    <s v="Samsung Galaxy"/>
    <n v="53784.01"/>
    <x v="0"/>
    <n v="53784.01"/>
    <e v="#N/A"/>
    <n v="3"/>
    <n v="0.3"/>
    <n v="268.92"/>
    <x v="4"/>
    <x v="1"/>
    <x v="10"/>
  </r>
  <r>
    <n v="561"/>
    <s v="VID100561"/>
    <s v="01-05-2021"/>
    <s v="05-05-2021"/>
    <x v="0"/>
    <s v="CUST-1561"/>
    <s v="Rahul Joshi"/>
    <x v="0"/>
    <s v="India"/>
    <x v="2"/>
    <s v="West Bengal"/>
    <n v="830281"/>
    <x v="2"/>
    <s v="PROD-2561"/>
    <x v="2"/>
    <x v="3"/>
    <s v="A4 Paper"/>
    <n v="54201.14"/>
    <x v="0"/>
    <n v="54201.14"/>
    <e v="#N/A"/>
    <n v="5"/>
    <n v="0"/>
    <n v="4336.09"/>
    <x v="0"/>
    <x v="0"/>
    <x v="11"/>
  </r>
  <r>
    <n v="562"/>
    <s v="VID100562"/>
    <s v="19-07-2021"/>
    <s v="21-07-2021"/>
    <x v="2"/>
    <s v="CUST-1562"/>
    <s v="Ananya Mishra"/>
    <x v="2"/>
    <s v="India"/>
    <x v="0"/>
    <s v="Delhi"/>
    <n v="261069"/>
    <x v="0"/>
    <s v="PROD-2562"/>
    <x v="0"/>
    <x v="0"/>
    <s v="Office Chair"/>
    <n v="79520.639999999999"/>
    <x v="0"/>
    <n v="79520.639999999999"/>
    <e v="#N/A"/>
    <n v="4"/>
    <n v="0.2"/>
    <n v="2385.62"/>
    <x v="0"/>
    <x v="6"/>
    <x v="27"/>
  </r>
  <r>
    <n v="563"/>
    <s v="VID100563"/>
    <s v="11-07-2022"/>
    <s v="12-07-2022"/>
    <x v="1"/>
    <s v="CUST-1563"/>
    <s v="Rahul Joshi"/>
    <x v="1"/>
    <s v="India"/>
    <x v="1"/>
    <s v="Karnataka"/>
    <n v="438652"/>
    <x v="1"/>
    <s v="PROD-2563"/>
    <x v="0"/>
    <x v="0"/>
    <s v="Office Chair"/>
    <n v="42408.66"/>
    <x v="0"/>
    <n v="42408.66"/>
    <e v="#N/A"/>
    <n v="4"/>
    <n v="0.1"/>
    <n v="2332.48"/>
    <x v="2"/>
    <x v="6"/>
    <x v="23"/>
  </r>
  <r>
    <n v="564"/>
    <s v="VID100564"/>
    <s v="01-07-2025"/>
    <s v="06-07-2025"/>
    <x v="0"/>
    <s v="CUST-1564"/>
    <s v="Vikram Singh"/>
    <x v="1"/>
    <s v="India"/>
    <x v="4"/>
    <s v="Maharashtra"/>
    <n v="106001"/>
    <x v="3"/>
    <s v="PROD-2564"/>
    <x v="0"/>
    <x v="0"/>
    <s v="Office Chair"/>
    <n v="18886.66"/>
    <x v="0"/>
    <n v="18886.66"/>
    <e v="#N/A"/>
    <n v="2"/>
    <n v="0.1"/>
    <n v="1038.77"/>
    <x v="4"/>
    <x v="6"/>
    <x v="11"/>
  </r>
  <r>
    <n v="565"/>
    <s v="VID100565"/>
    <s v="25-05-2021"/>
    <s v="01-06-2021"/>
    <x v="3"/>
    <s v="CUST-1565"/>
    <s v="Aarav Sharma"/>
    <x v="2"/>
    <s v="India"/>
    <x v="1"/>
    <s v="Karnataka"/>
    <n v="400516"/>
    <x v="1"/>
    <s v="PROD-2565"/>
    <x v="1"/>
    <x v="1"/>
    <s v="Dell Inspiron"/>
    <n v="64866.22"/>
    <x v="0"/>
    <n v="64866.22"/>
    <e v="#N/A"/>
    <n v="8"/>
    <n v="0.2"/>
    <n v="1945.99"/>
    <x v="0"/>
    <x v="0"/>
    <x v="17"/>
  </r>
  <r>
    <n v="566"/>
    <s v="VID100566"/>
    <s v="21-03-2024"/>
    <s v="22-03-2024"/>
    <x v="2"/>
    <s v="CUST-1566"/>
    <s v="Rohan Das"/>
    <x v="0"/>
    <s v="India"/>
    <x v="4"/>
    <s v="Maharashtra"/>
    <n v="389163"/>
    <x v="3"/>
    <s v="PROD-2566"/>
    <x v="1"/>
    <x v="2"/>
    <s v="Samsung Galaxy"/>
    <n v="93335.74"/>
    <x v="0"/>
    <n v="93335.74"/>
    <e v="#N/A"/>
    <n v="2"/>
    <n v="0.3"/>
    <n v="466.68"/>
    <x v="1"/>
    <x v="5"/>
    <x v="26"/>
  </r>
  <r>
    <n v="567"/>
    <s v="VID100567"/>
    <s v="03-03-2022"/>
    <s v="08-03-2022"/>
    <x v="0"/>
    <s v="CUST-1567"/>
    <s v="Vikram Singh"/>
    <x v="2"/>
    <s v="India"/>
    <x v="4"/>
    <s v="Maharashtra"/>
    <n v="706019"/>
    <x v="3"/>
    <s v="PROD-2567"/>
    <x v="1"/>
    <x v="2"/>
    <s v="Samsung Galaxy"/>
    <n v="32986.82"/>
    <x v="0"/>
    <n v="32986.82"/>
    <e v="#N/A"/>
    <n v="3"/>
    <n v="0.3"/>
    <n v="164.93"/>
    <x v="2"/>
    <x v="5"/>
    <x v="9"/>
  </r>
  <r>
    <n v="568"/>
    <s v="VID100568"/>
    <s v="15-03-2021"/>
    <s v="21-03-2021"/>
    <x v="3"/>
    <s v="CUST-1568"/>
    <s v="Rohan Das"/>
    <x v="1"/>
    <s v="India"/>
    <x v="2"/>
    <s v="West Bengal"/>
    <n v="347874"/>
    <x v="2"/>
    <s v="PROD-2568"/>
    <x v="2"/>
    <x v="3"/>
    <s v="A4 Paper"/>
    <n v="94320.54"/>
    <x v="0"/>
    <n v="94320.54"/>
    <e v="#N/A"/>
    <n v="8"/>
    <n v="0.3"/>
    <n v="471.6"/>
    <x v="0"/>
    <x v="5"/>
    <x v="28"/>
  </r>
  <r>
    <n v="569"/>
    <s v="VID100569"/>
    <s v="10-02-2022"/>
    <s v="14-02-2022"/>
    <x v="1"/>
    <s v="CUST-1569"/>
    <s v="Priya Patel"/>
    <x v="1"/>
    <s v="India"/>
    <x v="3"/>
    <s v="Gujarat"/>
    <n v="943240"/>
    <x v="3"/>
    <s v="PROD-2569"/>
    <x v="2"/>
    <x v="3"/>
    <s v="A4 Paper"/>
    <n v="15562.21"/>
    <x v="0"/>
    <n v="15562.21"/>
    <e v="#N/A"/>
    <n v="3"/>
    <n v="0.1"/>
    <n v="855.92"/>
    <x v="2"/>
    <x v="11"/>
    <x v="5"/>
  </r>
  <r>
    <n v="570"/>
    <s v="VID100570"/>
    <s v="10-04-2022"/>
    <s v="15-04-2022"/>
    <x v="2"/>
    <s v="CUST-1570"/>
    <s v="Vikram Singh"/>
    <x v="0"/>
    <s v="India"/>
    <x v="4"/>
    <s v="Maharashtra"/>
    <n v="884153"/>
    <x v="3"/>
    <s v="PROD-2570"/>
    <x v="0"/>
    <x v="0"/>
    <s v="Office Chair"/>
    <n v="49440.36"/>
    <x v="0"/>
    <n v="49440.36"/>
    <e v="#N/A"/>
    <n v="2"/>
    <n v="0.1"/>
    <n v="2719.22"/>
    <x v="2"/>
    <x v="4"/>
    <x v="5"/>
  </r>
  <r>
    <n v="571"/>
    <s v="VID100571"/>
    <s v="13-05-2025"/>
    <s v="15-05-2025"/>
    <x v="1"/>
    <s v="CUST-1571"/>
    <s v="Rohan Das"/>
    <x v="2"/>
    <s v="India"/>
    <x v="4"/>
    <s v="Maharashtra"/>
    <n v="560827"/>
    <x v="3"/>
    <s v="PROD-2571"/>
    <x v="0"/>
    <x v="0"/>
    <s v="Office Chair"/>
    <n v="77334.100000000006"/>
    <x v="0"/>
    <n v="77334.100000000006"/>
    <e v="#N/A"/>
    <n v="6"/>
    <n v="0.3"/>
    <n v="386.67"/>
    <x v="4"/>
    <x v="0"/>
    <x v="30"/>
  </r>
  <r>
    <n v="572"/>
    <s v="VID100572"/>
    <s v="07-03-2023"/>
    <s v="10-03-2023"/>
    <x v="3"/>
    <s v="CUST-1572"/>
    <s v="Pooja Hegde"/>
    <x v="0"/>
    <s v="India"/>
    <x v="4"/>
    <s v="Maharashtra"/>
    <n v="770965"/>
    <x v="3"/>
    <s v="PROD-2572"/>
    <x v="1"/>
    <x v="2"/>
    <s v="Samsung Galaxy"/>
    <n v="93074.74"/>
    <x v="0"/>
    <n v="93074.74"/>
    <e v="#N/A"/>
    <n v="4"/>
    <n v="0.2"/>
    <n v="2792.24"/>
    <x v="3"/>
    <x v="5"/>
    <x v="8"/>
  </r>
  <r>
    <n v="573"/>
    <s v="VID100573"/>
    <s v="09-11-2022"/>
    <s v="11-11-2022"/>
    <x v="0"/>
    <s v="CUST-1573"/>
    <s v="Vikram Singh"/>
    <x v="1"/>
    <s v="India"/>
    <x v="0"/>
    <s v="Delhi"/>
    <n v="239544"/>
    <x v="0"/>
    <s v="PROD-2573"/>
    <x v="2"/>
    <x v="3"/>
    <s v="A4 Paper"/>
    <n v="97438"/>
    <x v="0"/>
    <n v="97438"/>
    <e v="#N/A"/>
    <n v="3"/>
    <n v="0.1"/>
    <n v="5359.09"/>
    <x v="2"/>
    <x v="9"/>
    <x v="18"/>
  </r>
  <r>
    <n v="574"/>
    <s v="VID100574"/>
    <s v="11-11-2025"/>
    <s v="17-11-2025"/>
    <x v="1"/>
    <s v="CUST-1574"/>
    <s v="Aarav Sharma"/>
    <x v="1"/>
    <s v="India"/>
    <x v="3"/>
    <s v="Gujarat"/>
    <n v="422516"/>
    <x v="3"/>
    <s v="PROD-2574"/>
    <x v="1"/>
    <x v="2"/>
    <s v="Samsung Galaxy"/>
    <n v="8470.75"/>
    <x v="0"/>
    <n v="8470.75"/>
    <e v="#N/A"/>
    <n v="6"/>
    <n v="0.3"/>
    <n v="42.35"/>
    <x v="4"/>
    <x v="9"/>
    <x v="23"/>
  </r>
  <r>
    <n v="575"/>
    <s v="VID100575"/>
    <s v="22-10-2023"/>
    <s v="23-10-2023"/>
    <x v="0"/>
    <s v="CUST-1575"/>
    <s v="Rahul Joshi"/>
    <x v="2"/>
    <s v="India"/>
    <x v="1"/>
    <s v="Karnataka"/>
    <n v="840315"/>
    <x v="1"/>
    <s v="PROD-2575"/>
    <x v="2"/>
    <x v="3"/>
    <s v="A4 Paper"/>
    <n v="30772.5"/>
    <x v="0"/>
    <n v="30772.5"/>
    <e v="#N/A"/>
    <n v="3"/>
    <n v="0"/>
    <n v="2461.8000000000002"/>
    <x v="3"/>
    <x v="7"/>
    <x v="2"/>
  </r>
  <r>
    <n v="576"/>
    <s v="VID100576"/>
    <s v="25-09-2025"/>
    <s v="29-09-2025"/>
    <x v="2"/>
    <s v="CUST-1576"/>
    <s v="Aarav Sharma"/>
    <x v="0"/>
    <s v="India"/>
    <x v="3"/>
    <s v="Gujarat"/>
    <n v="231391"/>
    <x v="3"/>
    <s v="PROD-2576"/>
    <x v="1"/>
    <x v="1"/>
    <s v="Dell Inspiron"/>
    <n v="53057.15"/>
    <x v="0"/>
    <n v="53057.15"/>
    <e v="#N/A"/>
    <n v="3"/>
    <n v="0"/>
    <n v="4244.57"/>
    <x v="4"/>
    <x v="10"/>
    <x v="17"/>
  </r>
  <r>
    <n v="577"/>
    <s v="VID100577"/>
    <s v="16-12-2023"/>
    <s v="20-12-2023"/>
    <x v="2"/>
    <s v="CUST-1577"/>
    <s v="Vikram Singh"/>
    <x v="0"/>
    <s v="India"/>
    <x v="3"/>
    <s v="Gujarat"/>
    <n v="776997"/>
    <x v="3"/>
    <s v="PROD-2577"/>
    <x v="1"/>
    <x v="2"/>
    <s v="Samsung Galaxy"/>
    <n v="81372.86"/>
    <x v="0"/>
    <n v="81372.86"/>
    <e v="#N/A"/>
    <n v="6"/>
    <n v="0.2"/>
    <n v="2441.19"/>
    <x v="3"/>
    <x v="1"/>
    <x v="20"/>
  </r>
  <r>
    <n v="578"/>
    <s v="VID100578"/>
    <s v="23-04-2023"/>
    <s v="26-04-2023"/>
    <x v="1"/>
    <s v="CUST-1578"/>
    <s v="Amit Verma"/>
    <x v="0"/>
    <s v="India"/>
    <x v="2"/>
    <s v="West Bengal"/>
    <n v="522504"/>
    <x v="2"/>
    <s v="PROD-2578"/>
    <x v="2"/>
    <x v="3"/>
    <s v="A4 Paper"/>
    <n v="77473.77"/>
    <x v="0"/>
    <n v="77473.77"/>
    <e v="#N/A"/>
    <n v="1"/>
    <n v="0"/>
    <n v="6197.9"/>
    <x v="3"/>
    <x v="4"/>
    <x v="24"/>
  </r>
  <r>
    <n v="579"/>
    <s v="VID100579"/>
    <s v="30-12-2024"/>
    <s v="04-01-2025"/>
    <x v="1"/>
    <s v="CUST-1579"/>
    <s v="Diya Nair"/>
    <x v="0"/>
    <s v="India"/>
    <x v="3"/>
    <s v="Gujarat"/>
    <n v="259097"/>
    <x v="3"/>
    <s v="PROD-2579"/>
    <x v="1"/>
    <x v="1"/>
    <s v="Dell Inspiron"/>
    <n v="29500.48"/>
    <x v="0"/>
    <n v="29500.48"/>
    <e v="#N/A"/>
    <n v="9"/>
    <n v="0.1"/>
    <n v="1622.53"/>
    <x v="1"/>
    <x v="1"/>
    <x v="16"/>
  </r>
  <r>
    <n v="580"/>
    <s v="VID100580"/>
    <s v="19-11-2022"/>
    <s v="21-11-2022"/>
    <x v="3"/>
    <s v="CUST-1580"/>
    <s v="Priya Patel"/>
    <x v="0"/>
    <s v="India"/>
    <x v="0"/>
    <s v="Delhi"/>
    <n v="427283"/>
    <x v="0"/>
    <s v="PROD-2580"/>
    <x v="0"/>
    <x v="0"/>
    <s v="Office Chair"/>
    <n v="99540.94"/>
    <x v="0"/>
    <n v="99540.94"/>
    <e v="#N/A"/>
    <n v="2"/>
    <n v="0.3"/>
    <n v="497.7"/>
    <x v="2"/>
    <x v="9"/>
    <x v="27"/>
  </r>
  <r>
    <n v="581"/>
    <s v="VID100581"/>
    <s v="10-10-2021"/>
    <s v="17-10-2021"/>
    <x v="2"/>
    <s v="CUST-1581"/>
    <s v="Diya Nair"/>
    <x v="1"/>
    <s v="India"/>
    <x v="3"/>
    <s v="Gujarat"/>
    <n v="597382"/>
    <x v="3"/>
    <s v="PROD-2581"/>
    <x v="2"/>
    <x v="3"/>
    <s v="A4 Paper"/>
    <n v="38158.769999999997"/>
    <x v="0"/>
    <n v="38158.769999999997"/>
    <e v="#N/A"/>
    <n v="3"/>
    <n v="0.1"/>
    <n v="2098.73"/>
    <x v="0"/>
    <x v="7"/>
    <x v="5"/>
  </r>
  <r>
    <n v="582"/>
    <s v="VID100582"/>
    <s v="01-10-2024"/>
    <s v="02-10-2024"/>
    <x v="2"/>
    <s v="CUST-1582"/>
    <s v="Diya Nair"/>
    <x v="0"/>
    <s v="India"/>
    <x v="0"/>
    <s v="Delhi"/>
    <n v="300007"/>
    <x v="0"/>
    <s v="PROD-2582"/>
    <x v="0"/>
    <x v="0"/>
    <s v="Office Chair"/>
    <n v="68241.7"/>
    <x v="0"/>
    <n v="68241.7"/>
    <e v="#N/A"/>
    <n v="5"/>
    <n v="0"/>
    <n v="5459.34"/>
    <x v="1"/>
    <x v="7"/>
    <x v="11"/>
  </r>
  <r>
    <n v="583"/>
    <s v="VID100583"/>
    <s v="19-07-2025"/>
    <s v="26-07-2025"/>
    <x v="0"/>
    <s v="CUST-1583"/>
    <s v="Ananya Mishra"/>
    <x v="0"/>
    <s v="India"/>
    <x v="3"/>
    <s v="Gujarat"/>
    <n v="894587"/>
    <x v="3"/>
    <s v="PROD-2583"/>
    <x v="2"/>
    <x v="3"/>
    <s v="A4 Paper"/>
    <n v="6126.4"/>
    <x v="0"/>
    <n v="6126.4"/>
    <e v="#N/A"/>
    <n v="8"/>
    <n v="0.1"/>
    <n v="336.95"/>
    <x v="4"/>
    <x v="6"/>
    <x v="27"/>
  </r>
  <r>
    <n v="584"/>
    <s v="VID100584"/>
    <s v="29-04-2024"/>
    <s v="05-05-2024"/>
    <x v="3"/>
    <s v="CUST-1584"/>
    <s v="Priya Patel"/>
    <x v="2"/>
    <s v="India"/>
    <x v="4"/>
    <s v="Maharashtra"/>
    <n v="540600"/>
    <x v="3"/>
    <s v="PROD-2584"/>
    <x v="0"/>
    <x v="0"/>
    <s v="Office Chair"/>
    <n v="89660.35"/>
    <x v="0"/>
    <n v="89660.35"/>
    <e v="#N/A"/>
    <n v="5"/>
    <n v="0"/>
    <n v="7172.83"/>
    <x v="1"/>
    <x v="4"/>
    <x v="19"/>
  </r>
  <r>
    <n v="585"/>
    <s v="VID100585"/>
    <s v="07-02-2024"/>
    <s v="08-02-2024"/>
    <x v="2"/>
    <s v="CUST-1585"/>
    <s v="Vikram Singh"/>
    <x v="1"/>
    <s v="India"/>
    <x v="0"/>
    <s v="Delhi"/>
    <n v="373909"/>
    <x v="0"/>
    <s v="PROD-2585"/>
    <x v="0"/>
    <x v="0"/>
    <s v="Office Chair"/>
    <n v="9105.66"/>
    <x v="0"/>
    <n v="9105.66"/>
    <e v="#N/A"/>
    <n v="4"/>
    <n v="0"/>
    <n v="728.45"/>
    <x v="1"/>
    <x v="11"/>
    <x v="8"/>
  </r>
  <r>
    <n v="586"/>
    <s v="VID100586"/>
    <s v="04-03-2022"/>
    <s v="09-03-2022"/>
    <x v="2"/>
    <s v="CUST-1586"/>
    <s v="Sneha Reddy"/>
    <x v="0"/>
    <s v="India"/>
    <x v="1"/>
    <s v="Karnataka"/>
    <n v="397766"/>
    <x v="1"/>
    <s v="PROD-2586"/>
    <x v="1"/>
    <x v="2"/>
    <s v="Samsung Galaxy"/>
    <n v="9522.26"/>
    <x v="0"/>
    <n v="9522.26"/>
    <e v="#N/A"/>
    <n v="5"/>
    <n v="0"/>
    <n v="761.78"/>
    <x v="2"/>
    <x v="5"/>
    <x v="22"/>
  </r>
  <r>
    <n v="587"/>
    <s v="VID100587"/>
    <s v="19-03-2022"/>
    <s v="25-03-2022"/>
    <x v="1"/>
    <s v="CUST-1587"/>
    <s v="Priya Patel"/>
    <x v="1"/>
    <s v="India"/>
    <x v="4"/>
    <s v="Maharashtra"/>
    <n v="397365"/>
    <x v="3"/>
    <s v="PROD-2587"/>
    <x v="2"/>
    <x v="3"/>
    <s v="A4 Paper"/>
    <n v="19103.509999999998"/>
    <x v="0"/>
    <n v="19103.509999999998"/>
    <e v="#N/A"/>
    <n v="1"/>
    <n v="0.2"/>
    <n v="573.11"/>
    <x v="2"/>
    <x v="5"/>
    <x v="27"/>
  </r>
  <r>
    <n v="588"/>
    <s v="VID100588"/>
    <s v="03-03-2022"/>
    <s v="08-03-2022"/>
    <x v="3"/>
    <s v="CUST-1588"/>
    <s v="Ananya Mishra"/>
    <x v="0"/>
    <s v="India"/>
    <x v="1"/>
    <s v="Karnataka"/>
    <n v="160808"/>
    <x v="1"/>
    <s v="PROD-2588"/>
    <x v="0"/>
    <x v="0"/>
    <s v="Office Chair"/>
    <n v="41828.69"/>
    <x v="0"/>
    <n v="41828.69"/>
    <e v="#N/A"/>
    <n v="7"/>
    <n v="0.2"/>
    <n v="1254.8599999999999"/>
    <x v="2"/>
    <x v="5"/>
    <x v="9"/>
  </r>
  <r>
    <n v="589"/>
    <s v="VID100589"/>
    <s v="30-01-2021"/>
    <s v="04-02-2021"/>
    <x v="1"/>
    <s v="CUST-1589"/>
    <s v="Vikram Singh"/>
    <x v="2"/>
    <s v="India"/>
    <x v="0"/>
    <s v="Delhi"/>
    <n v="648145"/>
    <x v="0"/>
    <s v="PROD-2589"/>
    <x v="1"/>
    <x v="2"/>
    <s v="Samsung Galaxy"/>
    <n v="64986.83"/>
    <x v="0"/>
    <n v="64986.83"/>
    <e v="#N/A"/>
    <n v="9"/>
    <n v="0.1"/>
    <n v="3574.28"/>
    <x v="0"/>
    <x v="8"/>
    <x v="16"/>
  </r>
  <r>
    <n v="590"/>
    <s v="VID100590"/>
    <s v="23-05-2021"/>
    <s v="27-05-2021"/>
    <x v="1"/>
    <s v="CUST-1590"/>
    <s v="Rohan Das"/>
    <x v="2"/>
    <s v="India"/>
    <x v="2"/>
    <s v="West Bengal"/>
    <n v="458554"/>
    <x v="2"/>
    <s v="PROD-2590"/>
    <x v="1"/>
    <x v="2"/>
    <s v="Samsung Galaxy"/>
    <n v="63456.34"/>
    <x v="0"/>
    <n v="63456.34"/>
    <e v="#N/A"/>
    <n v="8"/>
    <n v="0.1"/>
    <n v="3490.1"/>
    <x v="0"/>
    <x v="0"/>
    <x v="24"/>
  </r>
  <r>
    <n v="591"/>
    <s v="VID100591"/>
    <s v="21-08-2025"/>
    <s v="23-08-2025"/>
    <x v="0"/>
    <s v="CUST-1591"/>
    <s v="Sneha Reddy"/>
    <x v="2"/>
    <s v="India"/>
    <x v="2"/>
    <s v="West Bengal"/>
    <n v="616079"/>
    <x v="2"/>
    <s v="PROD-2591"/>
    <x v="1"/>
    <x v="2"/>
    <s v="Samsung Galaxy"/>
    <n v="30210.41"/>
    <x v="0"/>
    <n v="30210.41"/>
    <e v="#N/A"/>
    <n v="7"/>
    <n v="0.1"/>
    <n v="1661.57"/>
    <x v="4"/>
    <x v="2"/>
    <x v="26"/>
  </r>
  <r>
    <n v="592"/>
    <s v="VID100592"/>
    <s v="07-12-2022"/>
    <s v="10-12-2022"/>
    <x v="0"/>
    <s v="CUST-1592"/>
    <s v="Priya Patel"/>
    <x v="1"/>
    <s v="India"/>
    <x v="1"/>
    <s v="Karnataka"/>
    <n v="235383"/>
    <x v="1"/>
    <s v="PROD-2592"/>
    <x v="2"/>
    <x v="3"/>
    <s v="A4 Paper"/>
    <n v="28951.61"/>
    <x v="0"/>
    <n v="28951.61"/>
    <e v="#N/A"/>
    <n v="2"/>
    <n v="0.2"/>
    <n v="868.55"/>
    <x v="2"/>
    <x v="1"/>
    <x v="8"/>
  </r>
  <r>
    <n v="593"/>
    <s v="VID100593"/>
    <s v="10-11-2022"/>
    <s v="13-11-2022"/>
    <x v="3"/>
    <s v="CUST-1593"/>
    <s v="Rohan Das"/>
    <x v="2"/>
    <s v="India"/>
    <x v="4"/>
    <s v="Maharashtra"/>
    <n v="920990"/>
    <x v="3"/>
    <s v="PROD-2593"/>
    <x v="2"/>
    <x v="3"/>
    <s v="A4 Paper"/>
    <n v="60306.82"/>
    <x v="0"/>
    <n v="60306.82"/>
    <e v="#N/A"/>
    <n v="9"/>
    <n v="0.3"/>
    <n v="301.52999999999997"/>
    <x v="2"/>
    <x v="9"/>
    <x v="5"/>
  </r>
  <r>
    <n v="594"/>
    <s v="VID100594"/>
    <s v="23-07-2025"/>
    <s v="27-07-2025"/>
    <x v="0"/>
    <s v="CUST-1594"/>
    <s v="Pooja Hegde"/>
    <x v="0"/>
    <s v="India"/>
    <x v="0"/>
    <s v="Delhi"/>
    <n v="143388"/>
    <x v="0"/>
    <s v="PROD-2594"/>
    <x v="1"/>
    <x v="1"/>
    <s v="Dell Inspiron"/>
    <n v="60042.34"/>
    <x v="0"/>
    <n v="60042.34"/>
    <e v="#N/A"/>
    <n v="5"/>
    <n v="0.1"/>
    <n v="3302.33"/>
    <x v="4"/>
    <x v="6"/>
    <x v="24"/>
  </r>
  <r>
    <n v="595"/>
    <s v="VID100595"/>
    <s v="30-08-2023"/>
    <s v="31-08-2023"/>
    <x v="2"/>
    <s v="CUST-1595"/>
    <s v="Sneha Reddy"/>
    <x v="0"/>
    <s v="India"/>
    <x v="0"/>
    <s v="Delhi"/>
    <n v="477590"/>
    <x v="0"/>
    <s v="PROD-2595"/>
    <x v="2"/>
    <x v="3"/>
    <s v="A4 Paper"/>
    <n v="91735.4"/>
    <x v="0"/>
    <n v="91735.4"/>
    <e v="#N/A"/>
    <n v="6"/>
    <n v="0.3"/>
    <n v="458.68"/>
    <x v="3"/>
    <x v="2"/>
    <x v="16"/>
  </r>
  <r>
    <n v="596"/>
    <s v="VID100596"/>
    <s v="29-11-2024"/>
    <s v="04-12-2024"/>
    <x v="2"/>
    <s v="CUST-1596"/>
    <s v="Priya Patel"/>
    <x v="0"/>
    <s v="India"/>
    <x v="4"/>
    <s v="Maharashtra"/>
    <n v="809123"/>
    <x v="3"/>
    <s v="PROD-2596"/>
    <x v="0"/>
    <x v="0"/>
    <s v="Office Chair"/>
    <n v="88522.4"/>
    <x v="0"/>
    <n v="88522.4"/>
    <e v="#N/A"/>
    <n v="6"/>
    <n v="0.1"/>
    <n v="4868.7299999999996"/>
    <x v="1"/>
    <x v="9"/>
    <x v="19"/>
  </r>
  <r>
    <n v="597"/>
    <s v="VID100597"/>
    <s v="01-07-2024"/>
    <s v="06-07-2024"/>
    <x v="3"/>
    <s v="CUST-1597"/>
    <s v="Vikram Singh"/>
    <x v="2"/>
    <s v="India"/>
    <x v="3"/>
    <s v="Gujarat"/>
    <n v="317162"/>
    <x v="3"/>
    <s v="PROD-2597"/>
    <x v="1"/>
    <x v="2"/>
    <s v="Samsung Galaxy"/>
    <n v="26776.63"/>
    <x v="0"/>
    <n v="26776.63"/>
    <e v="#N/A"/>
    <n v="5"/>
    <n v="0"/>
    <n v="2142.13"/>
    <x v="1"/>
    <x v="6"/>
    <x v="11"/>
  </r>
  <r>
    <n v="598"/>
    <s v="VID100598"/>
    <s v="22-06-2024"/>
    <s v="28-06-2024"/>
    <x v="0"/>
    <s v="CUST-1598"/>
    <s v="Ananya Mishra"/>
    <x v="2"/>
    <s v="India"/>
    <x v="2"/>
    <s v="West Bengal"/>
    <n v="525392"/>
    <x v="2"/>
    <s v="PROD-2598"/>
    <x v="1"/>
    <x v="2"/>
    <s v="Samsung Galaxy"/>
    <n v="79032.81"/>
    <x v="0"/>
    <n v="79032.81"/>
    <e v="#N/A"/>
    <n v="8"/>
    <n v="0.2"/>
    <n v="2370.98"/>
    <x v="1"/>
    <x v="3"/>
    <x v="2"/>
  </r>
  <r>
    <n v="599"/>
    <s v="VID100599"/>
    <s v="25-07-2021"/>
    <s v="29-07-2021"/>
    <x v="0"/>
    <s v="CUST-1599"/>
    <s v="Pooja Hegde"/>
    <x v="1"/>
    <s v="India"/>
    <x v="0"/>
    <s v="Delhi"/>
    <n v="523319"/>
    <x v="0"/>
    <s v="PROD-2599"/>
    <x v="1"/>
    <x v="2"/>
    <s v="Samsung Galaxy"/>
    <n v="84317.58"/>
    <x v="0"/>
    <n v="84317.58"/>
    <e v="#N/A"/>
    <n v="7"/>
    <n v="0.3"/>
    <n v="421.59"/>
    <x v="0"/>
    <x v="6"/>
    <x v="17"/>
  </r>
  <r>
    <n v="600"/>
    <s v="VID100600"/>
    <s v="24-05-2021"/>
    <s v="30-05-2021"/>
    <x v="1"/>
    <s v="CUST-1600"/>
    <s v="Ananya Mishra"/>
    <x v="2"/>
    <s v="India"/>
    <x v="3"/>
    <s v="Gujarat"/>
    <n v="165312"/>
    <x v="3"/>
    <s v="PROD-2600"/>
    <x v="0"/>
    <x v="0"/>
    <s v="Office Chair"/>
    <n v="82427.05"/>
    <x v="0"/>
    <n v="82427.05"/>
    <e v="#N/A"/>
    <n v="1"/>
    <n v="0.2"/>
    <n v="2472.81"/>
    <x v="0"/>
    <x v="0"/>
    <x v="14"/>
  </r>
  <r>
    <n v="601"/>
    <s v="VID100601"/>
    <s v="19-09-2025"/>
    <s v="21-09-2025"/>
    <x v="3"/>
    <s v="CUST-1601"/>
    <s v="Rahul Joshi"/>
    <x v="1"/>
    <s v="India"/>
    <x v="1"/>
    <s v="Karnataka"/>
    <n v="166783"/>
    <x v="1"/>
    <s v="PROD-2601"/>
    <x v="2"/>
    <x v="3"/>
    <s v="A4 Paper"/>
    <n v="92138.53"/>
    <x v="0"/>
    <n v="92138.53"/>
    <e v="#N/A"/>
    <n v="7"/>
    <n v="0.1"/>
    <n v="5067.62"/>
    <x v="4"/>
    <x v="10"/>
    <x v="27"/>
  </r>
  <r>
    <n v="602"/>
    <s v="VID100602"/>
    <s v="28-05-2025"/>
    <s v="29-05-2025"/>
    <x v="2"/>
    <s v="CUST-1602"/>
    <s v="Pooja Hegde"/>
    <x v="1"/>
    <s v="India"/>
    <x v="0"/>
    <s v="Delhi"/>
    <n v="939449"/>
    <x v="0"/>
    <s v="PROD-2602"/>
    <x v="1"/>
    <x v="1"/>
    <s v="Dell Inspiron"/>
    <n v="49561.88"/>
    <x v="0"/>
    <n v="49561.88"/>
    <e v="#N/A"/>
    <n v="5"/>
    <n v="0.3"/>
    <n v="247.81"/>
    <x v="4"/>
    <x v="0"/>
    <x v="13"/>
  </r>
  <r>
    <n v="603"/>
    <s v="VID100603"/>
    <s v="01-01-2025"/>
    <s v="08-01-2025"/>
    <x v="0"/>
    <s v="CUST-1603"/>
    <s v="Sneha Reddy"/>
    <x v="1"/>
    <s v="India"/>
    <x v="3"/>
    <s v="Gujarat"/>
    <n v="301068"/>
    <x v="3"/>
    <s v="PROD-2603"/>
    <x v="2"/>
    <x v="3"/>
    <s v="A4 Paper"/>
    <n v="89794.61"/>
    <x v="0"/>
    <n v="89794.61"/>
    <e v="#N/A"/>
    <n v="8"/>
    <n v="0.3"/>
    <n v="448.97"/>
    <x v="4"/>
    <x v="8"/>
    <x v="11"/>
  </r>
  <r>
    <n v="604"/>
    <s v="VID100604"/>
    <s v="13-07-2021"/>
    <s v="17-07-2021"/>
    <x v="2"/>
    <s v="CUST-1604"/>
    <s v="Pooja Hegde"/>
    <x v="2"/>
    <s v="India"/>
    <x v="4"/>
    <s v="Maharashtra"/>
    <n v="353427"/>
    <x v="3"/>
    <s v="PROD-2604"/>
    <x v="1"/>
    <x v="1"/>
    <s v="Dell Inspiron"/>
    <n v="58652.85"/>
    <x v="0"/>
    <n v="58652.85"/>
    <e v="#N/A"/>
    <n v="9"/>
    <n v="0"/>
    <n v="4692.2299999999996"/>
    <x v="0"/>
    <x v="6"/>
    <x v="30"/>
  </r>
  <r>
    <n v="605"/>
    <s v="VID100605"/>
    <s v="19-12-2025"/>
    <s v="21-12-2025"/>
    <x v="0"/>
    <s v="CUST-1605"/>
    <s v="Aarav Sharma"/>
    <x v="1"/>
    <s v="India"/>
    <x v="0"/>
    <s v="Delhi"/>
    <n v="378973"/>
    <x v="0"/>
    <s v="PROD-2605"/>
    <x v="0"/>
    <x v="0"/>
    <s v="Office Chair"/>
    <n v="37326.620000000003"/>
    <x v="0"/>
    <n v="37326.620000000003"/>
    <e v="#N/A"/>
    <n v="10"/>
    <n v="0"/>
    <n v="2986.13"/>
    <x v="4"/>
    <x v="1"/>
    <x v="27"/>
  </r>
  <r>
    <n v="606"/>
    <s v="VID100606"/>
    <s v="21-03-2021"/>
    <s v="24-03-2021"/>
    <x v="1"/>
    <s v="CUST-1606"/>
    <s v="Amit Verma"/>
    <x v="0"/>
    <s v="India"/>
    <x v="3"/>
    <s v="Gujarat"/>
    <n v="846319"/>
    <x v="3"/>
    <s v="PROD-2606"/>
    <x v="1"/>
    <x v="1"/>
    <s v="Dell Inspiron"/>
    <n v="98030.04"/>
    <x v="0"/>
    <n v="98030.04"/>
    <e v="#N/A"/>
    <n v="2"/>
    <n v="0.1"/>
    <n v="5391.65"/>
    <x v="0"/>
    <x v="5"/>
    <x v="26"/>
  </r>
  <r>
    <n v="607"/>
    <s v="VID100607"/>
    <s v="20-01-2021"/>
    <s v="22-01-2021"/>
    <x v="2"/>
    <s v="CUST-1607"/>
    <s v="Aarav Sharma"/>
    <x v="1"/>
    <s v="India"/>
    <x v="4"/>
    <s v="Maharashtra"/>
    <n v="976725"/>
    <x v="3"/>
    <s v="PROD-2607"/>
    <x v="1"/>
    <x v="1"/>
    <s v="Dell Inspiron"/>
    <n v="99638.09"/>
    <x v="0"/>
    <n v="99638.09"/>
    <e v="#N/A"/>
    <n v="6"/>
    <n v="0"/>
    <n v="7971.05"/>
    <x v="0"/>
    <x v="8"/>
    <x v="0"/>
  </r>
  <r>
    <n v="608"/>
    <s v="VID100608"/>
    <s v="20-04-2023"/>
    <s v="23-04-2023"/>
    <x v="2"/>
    <s v="CUST-1608"/>
    <s v="Amit Verma"/>
    <x v="2"/>
    <s v="India"/>
    <x v="2"/>
    <s v="West Bengal"/>
    <n v="575763"/>
    <x v="2"/>
    <s v="PROD-2608"/>
    <x v="2"/>
    <x v="3"/>
    <s v="A4 Paper"/>
    <n v="80742.740000000005"/>
    <x v="0"/>
    <n v="80742.740000000005"/>
    <e v="#N/A"/>
    <n v="10"/>
    <n v="0"/>
    <n v="6459.42"/>
    <x v="3"/>
    <x v="4"/>
    <x v="0"/>
  </r>
  <r>
    <n v="609"/>
    <s v="VID100609"/>
    <s v="01-04-2022"/>
    <s v="05-04-2022"/>
    <x v="0"/>
    <s v="CUST-1609"/>
    <s v="Sneha Reddy"/>
    <x v="2"/>
    <s v="India"/>
    <x v="2"/>
    <s v="West Bengal"/>
    <n v="238797"/>
    <x v="2"/>
    <s v="PROD-2609"/>
    <x v="2"/>
    <x v="3"/>
    <s v="A4 Paper"/>
    <n v="1340.81"/>
    <x v="0"/>
    <n v="1340.81"/>
    <e v="#N/A"/>
    <n v="2"/>
    <n v="0.2"/>
    <n v="40.22"/>
    <x v="2"/>
    <x v="4"/>
    <x v="11"/>
  </r>
  <r>
    <n v="610"/>
    <s v="VID100610"/>
    <s v="02-05-2021"/>
    <s v="03-05-2021"/>
    <x v="0"/>
    <s v="CUST-1610"/>
    <s v="Amit Verma"/>
    <x v="1"/>
    <s v="India"/>
    <x v="3"/>
    <s v="Gujarat"/>
    <n v="725504"/>
    <x v="3"/>
    <s v="PROD-2610"/>
    <x v="1"/>
    <x v="2"/>
    <s v="Samsung Galaxy"/>
    <n v="10154.040000000001"/>
    <x v="0"/>
    <n v="10154.040000000001"/>
    <e v="#N/A"/>
    <n v="9"/>
    <n v="0"/>
    <n v="812.32"/>
    <x v="0"/>
    <x v="0"/>
    <x v="10"/>
  </r>
  <r>
    <n v="611"/>
    <s v="VID100611"/>
    <s v="18-06-2024"/>
    <s v="24-06-2024"/>
    <x v="3"/>
    <s v="CUST-1611"/>
    <s v="Sneha Reddy"/>
    <x v="2"/>
    <s v="India"/>
    <x v="2"/>
    <s v="West Bengal"/>
    <n v="527452"/>
    <x v="2"/>
    <s v="PROD-2611"/>
    <x v="1"/>
    <x v="2"/>
    <s v="Samsung Galaxy"/>
    <n v="77640.67"/>
    <x v="0"/>
    <n v="77640.67"/>
    <e v="#N/A"/>
    <n v="2"/>
    <n v="0.2"/>
    <n v="2329.2199999999998"/>
    <x v="1"/>
    <x v="3"/>
    <x v="12"/>
  </r>
  <r>
    <n v="612"/>
    <s v="VID100612"/>
    <s v="10-02-2023"/>
    <s v="16-02-2023"/>
    <x v="3"/>
    <s v="CUST-1612"/>
    <s v="Rohan Das"/>
    <x v="0"/>
    <s v="India"/>
    <x v="1"/>
    <s v="Karnataka"/>
    <n v="484842"/>
    <x v="1"/>
    <s v="PROD-2612"/>
    <x v="1"/>
    <x v="1"/>
    <s v="Dell Inspiron"/>
    <n v="16869.78"/>
    <x v="0"/>
    <n v="16869.78"/>
    <e v="#N/A"/>
    <n v="6"/>
    <n v="0.1"/>
    <n v="927.84"/>
    <x v="3"/>
    <x v="11"/>
    <x v="5"/>
  </r>
  <r>
    <n v="613"/>
    <s v="VID100613"/>
    <s v="14-05-2021"/>
    <s v="16-05-2021"/>
    <x v="3"/>
    <s v="CUST-1613"/>
    <s v="Diya Nair"/>
    <x v="2"/>
    <s v="India"/>
    <x v="2"/>
    <s v="West Bengal"/>
    <n v="546573"/>
    <x v="2"/>
    <s v="PROD-2613"/>
    <x v="2"/>
    <x v="3"/>
    <s v="A4 Paper"/>
    <n v="95740.2"/>
    <x v="0"/>
    <n v="95740.2"/>
    <e v="#N/A"/>
    <n v="2"/>
    <n v="0.2"/>
    <n v="2872.21"/>
    <x v="0"/>
    <x v="0"/>
    <x v="6"/>
  </r>
  <r>
    <n v="614"/>
    <s v="VID100614"/>
    <s v="09-01-2025"/>
    <s v="15-01-2025"/>
    <x v="3"/>
    <s v="CUST-1614"/>
    <s v="Priya Patel"/>
    <x v="2"/>
    <s v="India"/>
    <x v="1"/>
    <s v="Karnataka"/>
    <n v="262773"/>
    <x v="1"/>
    <s v="PROD-2614"/>
    <x v="1"/>
    <x v="1"/>
    <s v="Dell Inspiron"/>
    <n v="64063.42"/>
    <x v="0"/>
    <n v="64063.42"/>
    <e v="#N/A"/>
    <n v="8"/>
    <n v="0"/>
    <n v="5125.07"/>
    <x v="4"/>
    <x v="8"/>
    <x v="18"/>
  </r>
  <r>
    <n v="615"/>
    <s v="VID100615"/>
    <s v="24-02-2025"/>
    <s v="01-03-2025"/>
    <x v="3"/>
    <s v="CUST-1615"/>
    <s v="Diya Nair"/>
    <x v="0"/>
    <s v="India"/>
    <x v="0"/>
    <s v="Delhi"/>
    <n v="576661"/>
    <x v="0"/>
    <s v="PROD-2615"/>
    <x v="2"/>
    <x v="3"/>
    <s v="A4 Paper"/>
    <n v="75831.600000000006"/>
    <x v="0"/>
    <n v="75831.600000000006"/>
    <e v="#N/A"/>
    <n v="2"/>
    <n v="0.2"/>
    <n v="2274.9499999999998"/>
    <x v="4"/>
    <x v="11"/>
    <x v="14"/>
  </r>
  <r>
    <n v="616"/>
    <s v="VID100616"/>
    <s v="17-12-2023"/>
    <s v="22-12-2023"/>
    <x v="3"/>
    <s v="CUST-1616"/>
    <s v="Priya Patel"/>
    <x v="1"/>
    <s v="India"/>
    <x v="2"/>
    <s v="West Bengal"/>
    <n v="161295"/>
    <x v="2"/>
    <s v="PROD-2616"/>
    <x v="1"/>
    <x v="1"/>
    <s v="Dell Inspiron"/>
    <n v="84793.919999999998"/>
    <x v="0"/>
    <n v="84793.919999999998"/>
    <e v="#N/A"/>
    <n v="5"/>
    <n v="0"/>
    <n v="6783.51"/>
    <x v="3"/>
    <x v="1"/>
    <x v="29"/>
  </r>
  <r>
    <n v="617"/>
    <s v="VID100617"/>
    <s v="28-01-2021"/>
    <s v="31-01-2021"/>
    <x v="3"/>
    <s v="CUST-1617"/>
    <s v="Rohan Das"/>
    <x v="0"/>
    <s v="India"/>
    <x v="1"/>
    <s v="Karnataka"/>
    <n v="582903"/>
    <x v="1"/>
    <s v="PROD-2617"/>
    <x v="1"/>
    <x v="2"/>
    <s v="Samsung Galaxy"/>
    <n v="18619.41"/>
    <x v="0"/>
    <n v="18619.41"/>
    <e v="#N/A"/>
    <n v="4"/>
    <n v="0.3"/>
    <n v="93.1"/>
    <x v="0"/>
    <x v="8"/>
    <x v="13"/>
  </r>
  <r>
    <n v="618"/>
    <s v="VID100618"/>
    <s v="24-10-2023"/>
    <s v="30-10-2023"/>
    <x v="3"/>
    <s v="CUST-1618"/>
    <s v="Diya Nair"/>
    <x v="1"/>
    <s v="India"/>
    <x v="2"/>
    <s v="West Bengal"/>
    <n v="753614"/>
    <x v="2"/>
    <s v="PROD-2618"/>
    <x v="2"/>
    <x v="3"/>
    <s v="A4 Paper"/>
    <n v="24795.05"/>
    <x v="0"/>
    <n v="24795.05"/>
    <e v="#N/A"/>
    <n v="1"/>
    <n v="0.3"/>
    <n v="123.98"/>
    <x v="3"/>
    <x v="7"/>
    <x v="14"/>
  </r>
  <r>
    <n v="619"/>
    <s v="VID100619"/>
    <s v="02-09-2025"/>
    <s v="07-09-2025"/>
    <x v="3"/>
    <s v="CUST-1619"/>
    <s v="Aarav Sharma"/>
    <x v="1"/>
    <s v="India"/>
    <x v="2"/>
    <s v="West Bengal"/>
    <n v="972462"/>
    <x v="2"/>
    <s v="PROD-2619"/>
    <x v="1"/>
    <x v="2"/>
    <s v="Samsung Galaxy"/>
    <n v="96332.5"/>
    <x v="0"/>
    <n v="96332.5"/>
    <e v="#N/A"/>
    <n v="7"/>
    <n v="0.3"/>
    <n v="481.66"/>
    <x v="4"/>
    <x v="10"/>
    <x v="10"/>
  </r>
  <r>
    <n v="620"/>
    <s v="VID100620"/>
    <s v="07-01-2024"/>
    <s v="09-01-2024"/>
    <x v="3"/>
    <s v="CUST-1620"/>
    <s v="Vikram Singh"/>
    <x v="0"/>
    <s v="India"/>
    <x v="1"/>
    <s v="Karnataka"/>
    <n v="221873"/>
    <x v="1"/>
    <s v="PROD-2620"/>
    <x v="2"/>
    <x v="3"/>
    <s v="A4 Paper"/>
    <n v="84284.75"/>
    <x v="0"/>
    <n v="84284.75"/>
    <e v="#N/A"/>
    <n v="2"/>
    <n v="0.1"/>
    <n v="4635.66"/>
    <x v="1"/>
    <x v="8"/>
    <x v="8"/>
  </r>
  <r>
    <n v="621"/>
    <s v="VID100621"/>
    <s v="10-06-2023"/>
    <s v="17-06-2023"/>
    <x v="0"/>
    <s v="CUST-1621"/>
    <s v="Rohan Das"/>
    <x v="0"/>
    <s v="India"/>
    <x v="0"/>
    <s v="Delhi"/>
    <n v="644092"/>
    <x v="0"/>
    <s v="PROD-2621"/>
    <x v="1"/>
    <x v="2"/>
    <s v="Samsung Galaxy"/>
    <n v="20726.830000000002"/>
    <x v="0"/>
    <n v="20726.830000000002"/>
    <e v="#N/A"/>
    <n v="2"/>
    <n v="0.3"/>
    <n v="103.63"/>
    <x v="3"/>
    <x v="3"/>
    <x v="5"/>
  </r>
  <r>
    <n v="622"/>
    <s v="VID100622"/>
    <s v="01-03-2025"/>
    <s v="03-03-2025"/>
    <x v="1"/>
    <s v="CUST-1622"/>
    <s v="Vikram Singh"/>
    <x v="1"/>
    <s v="India"/>
    <x v="2"/>
    <s v="West Bengal"/>
    <n v="709542"/>
    <x v="2"/>
    <s v="PROD-2622"/>
    <x v="1"/>
    <x v="2"/>
    <s v="Samsung Galaxy"/>
    <n v="79763.73"/>
    <x v="0"/>
    <n v="79763.73"/>
    <e v="#N/A"/>
    <n v="7"/>
    <n v="0"/>
    <n v="6381.1"/>
    <x v="4"/>
    <x v="5"/>
    <x v="11"/>
  </r>
  <r>
    <n v="623"/>
    <s v="VID100623"/>
    <s v="11-01-2021"/>
    <s v="18-01-2021"/>
    <x v="1"/>
    <s v="CUST-1623"/>
    <s v="Aarav Sharma"/>
    <x v="1"/>
    <s v="India"/>
    <x v="2"/>
    <s v="West Bengal"/>
    <n v="630903"/>
    <x v="2"/>
    <s v="PROD-2623"/>
    <x v="0"/>
    <x v="0"/>
    <s v="Office Chair"/>
    <n v="80531.13"/>
    <x v="0"/>
    <n v="80531.13"/>
    <e v="#N/A"/>
    <n v="6"/>
    <n v="0.2"/>
    <n v="2415.9299999999998"/>
    <x v="0"/>
    <x v="8"/>
    <x v="23"/>
  </r>
  <r>
    <n v="624"/>
    <s v="VID100624"/>
    <s v="03-02-2021"/>
    <s v="05-02-2021"/>
    <x v="3"/>
    <s v="CUST-1624"/>
    <s v="Amit Verma"/>
    <x v="0"/>
    <s v="India"/>
    <x v="2"/>
    <s v="West Bengal"/>
    <n v="135206"/>
    <x v="2"/>
    <s v="PROD-2624"/>
    <x v="0"/>
    <x v="0"/>
    <s v="Office Chair"/>
    <n v="47445.14"/>
    <x v="0"/>
    <n v="47445.14"/>
    <e v="#N/A"/>
    <n v="6"/>
    <n v="0.1"/>
    <n v="2609.48"/>
    <x v="0"/>
    <x v="11"/>
    <x v="9"/>
  </r>
  <r>
    <n v="625"/>
    <s v="VID100625"/>
    <s v="05-10-2023"/>
    <s v="07-10-2023"/>
    <x v="3"/>
    <s v="CUST-1625"/>
    <s v="Priya Patel"/>
    <x v="1"/>
    <s v="India"/>
    <x v="0"/>
    <s v="Delhi"/>
    <n v="473080"/>
    <x v="0"/>
    <s v="PROD-2625"/>
    <x v="0"/>
    <x v="0"/>
    <s v="Office Chair"/>
    <n v="81742.16"/>
    <x v="0"/>
    <n v="81742.16"/>
    <e v="#N/A"/>
    <n v="3"/>
    <n v="0.2"/>
    <n v="2452.2600000000002"/>
    <x v="3"/>
    <x v="7"/>
    <x v="25"/>
  </r>
  <r>
    <n v="626"/>
    <s v="VID100626"/>
    <s v="02-04-2023"/>
    <s v="07-04-2023"/>
    <x v="2"/>
    <s v="CUST-1626"/>
    <s v="Priya Patel"/>
    <x v="2"/>
    <s v="India"/>
    <x v="4"/>
    <s v="Maharashtra"/>
    <n v="589942"/>
    <x v="3"/>
    <s v="PROD-2626"/>
    <x v="2"/>
    <x v="3"/>
    <s v="A4 Paper"/>
    <n v="28237.5"/>
    <x v="0"/>
    <n v="28237.5"/>
    <e v="#N/A"/>
    <n v="5"/>
    <n v="0.2"/>
    <n v="847.12"/>
    <x v="3"/>
    <x v="4"/>
    <x v="10"/>
  </r>
  <r>
    <n v="627"/>
    <s v="VID100627"/>
    <s v="17-08-2022"/>
    <s v="18-08-2022"/>
    <x v="1"/>
    <s v="CUST-1627"/>
    <s v="Rahul Joshi"/>
    <x v="2"/>
    <s v="India"/>
    <x v="4"/>
    <s v="Maharashtra"/>
    <n v="339399"/>
    <x v="3"/>
    <s v="PROD-2627"/>
    <x v="1"/>
    <x v="1"/>
    <s v="Dell Inspiron"/>
    <n v="72196.100000000006"/>
    <x v="0"/>
    <n v="72196.100000000006"/>
    <e v="#N/A"/>
    <n v="6"/>
    <n v="0.2"/>
    <n v="2165.88"/>
    <x v="2"/>
    <x v="2"/>
    <x v="29"/>
  </r>
  <r>
    <n v="628"/>
    <s v="VID100628"/>
    <s v="15-04-2022"/>
    <s v="18-04-2022"/>
    <x v="0"/>
    <s v="CUST-1628"/>
    <s v="Amit Verma"/>
    <x v="0"/>
    <s v="India"/>
    <x v="2"/>
    <s v="West Bengal"/>
    <n v="772159"/>
    <x v="2"/>
    <s v="PROD-2628"/>
    <x v="0"/>
    <x v="0"/>
    <s v="Office Chair"/>
    <n v="2196.04"/>
    <x v="0"/>
    <n v="2196.04"/>
    <e v="#N/A"/>
    <n v="2"/>
    <n v="0.3"/>
    <n v="10.98"/>
    <x v="2"/>
    <x v="4"/>
    <x v="28"/>
  </r>
  <r>
    <n v="629"/>
    <s v="VID100629"/>
    <s v="16-01-2021"/>
    <s v="22-01-2021"/>
    <x v="2"/>
    <s v="CUST-1629"/>
    <s v="Vikram Singh"/>
    <x v="0"/>
    <s v="India"/>
    <x v="1"/>
    <s v="Karnataka"/>
    <n v="616831"/>
    <x v="1"/>
    <s v="PROD-2629"/>
    <x v="1"/>
    <x v="2"/>
    <s v="Samsung Galaxy"/>
    <n v="6863.07"/>
    <x v="0"/>
    <n v="6863.07"/>
    <e v="#N/A"/>
    <n v="3"/>
    <n v="0.2"/>
    <n v="205.89"/>
    <x v="0"/>
    <x v="8"/>
    <x v="20"/>
  </r>
  <r>
    <n v="630"/>
    <s v="VID100630"/>
    <s v="08-11-2024"/>
    <s v="12-11-2024"/>
    <x v="3"/>
    <s v="CUST-1630"/>
    <s v="Amit Verma"/>
    <x v="0"/>
    <s v="India"/>
    <x v="4"/>
    <s v="Maharashtra"/>
    <n v="759466"/>
    <x v="3"/>
    <s v="PROD-2630"/>
    <x v="2"/>
    <x v="3"/>
    <s v="A4 Paper"/>
    <n v="72526.210000000006"/>
    <x v="0"/>
    <n v="72526.210000000006"/>
    <e v="#N/A"/>
    <n v="3"/>
    <n v="0.2"/>
    <n v="2175.79"/>
    <x v="1"/>
    <x v="9"/>
    <x v="3"/>
  </r>
  <r>
    <n v="631"/>
    <s v="VID100631"/>
    <s v="10-05-2024"/>
    <s v="15-05-2024"/>
    <x v="2"/>
    <s v="CUST-1631"/>
    <s v="Amit Verma"/>
    <x v="0"/>
    <s v="India"/>
    <x v="2"/>
    <s v="West Bengal"/>
    <n v="937702"/>
    <x v="2"/>
    <s v="PROD-2631"/>
    <x v="1"/>
    <x v="1"/>
    <s v="Dell Inspiron"/>
    <n v="51169.78"/>
    <x v="0"/>
    <n v="51169.78"/>
    <e v="#N/A"/>
    <n v="7"/>
    <n v="0.1"/>
    <n v="2814.34"/>
    <x v="1"/>
    <x v="0"/>
    <x v="5"/>
  </r>
  <r>
    <n v="632"/>
    <s v="VID100632"/>
    <s v="22-03-2023"/>
    <s v="24-03-2023"/>
    <x v="1"/>
    <s v="CUST-1632"/>
    <s v="Aarav Sharma"/>
    <x v="1"/>
    <s v="India"/>
    <x v="3"/>
    <s v="Gujarat"/>
    <n v="640547"/>
    <x v="3"/>
    <s v="PROD-2632"/>
    <x v="1"/>
    <x v="2"/>
    <s v="Samsung Galaxy"/>
    <n v="14762.6"/>
    <x v="0"/>
    <n v="14762.6"/>
    <e v="#N/A"/>
    <n v="5"/>
    <n v="0.2"/>
    <n v="442.88"/>
    <x v="3"/>
    <x v="5"/>
    <x v="2"/>
  </r>
  <r>
    <n v="633"/>
    <s v="VID100633"/>
    <s v="08-11-2022"/>
    <s v="12-11-2022"/>
    <x v="1"/>
    <s v="CUST-1633"/>
    <s v="Priya Patel"/>
    <x v="1"/>
    <s v="India"/>
    <x v="1"/>
    <s v="Karnataka"/>
    <n v="430893"/>
    <x v="1"/>
    <s v="PROD-2633"/>
    <x v="1"/>
    <x v="2"/>
    <s v="Samsung Galaxy"/>
    <n v="93652.6"/>
    <x v="0"/>
    <n v="93652.6"/>
    <e v="#N/A"/>
    <n v="2"/>
    <n v="0.3"/>
    <n v="468.26"/>
    <x v="2"/>
    <x v="9"/>
    <x v="3"/>
  </r>
  <r>
    <n v="634"/>
    <s v="VID100634"/>
    <s v="29-08-2021"/>
    <s v="03-09-2021"/>
    <x v="0"/>
    <s v="CUST-1634"/>
    <s v="Diya Nair"/>
    <x v="2"/>
    <s v="India"/>
    <x v="2"/>
    <s v="West Bengal"/>
    <n v="794035"/>
    <x v="2"/>
    <s v="PROD-2634"/>
    <x v="1"/>
    <x v="1"/>
    <s v="Dell Inspiron"/>
    <n v="41249.980000000003"/>
    <x v="0"/>
    <n v="41249.980000000003"/>
    <e v="#N/A"/>
    <n v="10"/>
    <n v="0.2"/>
    <n v="1237.5"/>
    <x v="0"/>
    <x v="2"/>
    <x v="19"/>
  </r>
  <r>
    <n v="635"/>
    <s v="VID100635"/>
    <s v="22-08-2022"/>
    <s v="25-08-2022"/>
    <x v="1"/>
    <s v="CUST-1635"/>
    <s v="Amit Verma"/>
    <x v="1"/>
    <s v="India"/>
    <x v="2"/>
    <s v="West Bengal"/>
    <n v="814741"/>
    <x v="2"/>
    <s v="PROD-2635"/>
    <x v="1"/>
    <x v="2"/>
    <s v="Samsung Galaxy"/>
    <n v="76869.77"/>
    <x v="0"/>
    <n v="76869.77"/>
    <e v="#N/A"/>
    <n v="3"/>
    <n v="0.2"/>
    <n v="2306.09"/>
    <x v="2"/>
    <x v="2"/>
    <x v="2"/>
  </r>
  <r>
    <n v="636"/>
    <s v="VID100636"/>
    <s v="07-03-2025"/>
    <s v="11-03-2025"/>
    <x v="1"/>
    <s v="CUST-1636"/>
    <s v="Priya Patel"/>
    <x v="1"/>
    <s v="India"/>
    <x v="3"/>
    <s v="Gujarat"/>
    <n v="724099"/>
    <x v="3"/>
    <s v="PROD-2636"/>
    <x v="1"/>
    <x v="1"/>
    <s v="Dell Inspiron"/>
    <n v="66474.47"/>
    <x v="0"/>
    <n v="66474.47"/>
    <e v="#N/A"/>
    <n v="6"/>
    <n v="0.1"/>
    <n v="3656.1"/>
    <x v="4"/>
    <x v="5"/>
    <x v="8"/>
  </r>
  <r>
    <n v="637"/>
    <s v="VID100637"/>
    <s v="29-05-2021"/>
    <s v="01-06-2021"/>
    <x v="1"/>
    <s v="CUST-1637"/>
    <s v="Vikram Singh"/>
    <x v="2"/>
    <s v="India"/>
    <x v="0"/>
    <s v="Delhi"/>
    <n v="131161"/>
    <x v="0"/>
    <s v="PROD-2637"/>
    <x v="0"/>
    <x v="0"/>
    <s v="Office Chair"/>
    <n v="78672.09"/>
    <x v="0"/>
    <n v="78672.09"/>
    <e v="#N/A"/>
    <n v="4"/>
    <n v="0"/>
    <n v="6293.77"/>
    <x v="0"/>
    <x v="0"/>
    <x v="19"/>
  </r>
  <r>
    <n v="638"/>
    <s v="VID100638"/>
    <s v="25-08-2024"/>
    <s v="29-08-2024"/>
    <x v="3"/>
    <s v="CUST-1638"/>
    <s v="Aarav Sharma"/>
    <x v="2"/>
    <s v="India"/>
    <x v="0"/>
    <s v="Delhi"/>
    <n v="280281"/>
    <x v="0"/>
    <s v="PROD-2638"/>
    <x v="0"/>
    <x v="0"/>
    <s v="Office Chair"/>
    <n v="54169.95"/>
    <x v="0"/>
    <n v="54169.95"/>
    <e v="#N/A"/>
    <n v="5"/>
    <n v="0.2"/>
    <n v="1625.1"/>
    <x v="1"/>
    <x v="2"/>
    <x v="17"/>
  </r>
  <r>
    <n v="639"/>
    <s v="VID100639"/>
    <s v="24-02-2022"/>
    <s v="28-02-2022"/>
    <x v="2"/>
    <s v="CUST-1639"/>
    <s v="Rohan Das"/>
    <x v="0"/>
    <s v="India"/>
    <x v="2"/>
    <s v="West Bengal"/>
    <n v="724394"/>
    <x v="2"/>
    <s v="PROD-2639"/>
    <x v="0"/>
    <x v="0"/>
    <s v="Office Chair"/>
    <n v="52601.22"/>
    <x v="0"/>
    <n v="52601.22"/>
    <e v="#N/A"/>
    <n v="6"/>
    <n v="0.2"/>
    <n v="1578.04"/>
    <x v="2"/>
    <x v="11"/>
    <x v="14"/>
  </r>
  <r>
    <n v="640"/>
    <s v="VID100640"/>
    <s v="05-09-2025"/>
    <s v="09-09-2025"/>
    <x v="2"/>
    <s v="CUST-1640"/>
    <s v="Vikram Singh"/>
    <x v="1"/>
    <s v="India"/>
    <x v="0"/>
    <s v="Delhi"/>
    <n v="849055"/>
    <x v="0"/>
    <s v="PROD-2640"/>
    <x v="1"/>
    <x v="2"/>
    <s v="Samsung Galaxy"/>
    <n v="3692.89"/>
    <x v="0"/>
    <n v="3692.89"/>
    <e v="#N/A"/>
    <n v="10"/>
    <n v="0"/>
    <n v="295.43"/>
    <x v="4"/>
    <x v="10"/>
    <x v="25"/>
  </r>
  <r>
    <n v="641"/>
    <s v="VID100641"/>
    <s v="11-10-2021"/>
    <s v="16-10-2021"/>
    <x v="2"/>
    <s v="CUST-1641"/>
    <s v="Pooja Hegde"/>
    <x v="2"/>
    <s v="India"/>
    <x v="4"/>
    <s v="Maharashtra"/>
    <n v="880153"/>
    <x v="3"/>
    <s v="PROD-2641"/>
    <x v="1"/>
    <x v="2"/>
    <s v="Samsung Galaxy"/>
    <n v="53157.48"/>
    <x v="0"/>
    <n v="53157.48"/>
    <e v="#N/A"/>
    <n v="9"/>
    <n v="0.1"/>
    <n v="2923.66"/>
    <x v="0"/>
    <x v="7"/>
    <x v="23"/>
  </r>
  <r>
    <n v="642"/>
    <s v="VID100642"/>
    <s v="10-07-2022"/>
    <s v="11-07-2022"/>
    <x v="1"/>
    <s v="CUST-1642"/>
    <s v="Priya Patel"/>
    <x v="0"/>
    <s v="India"/>
    <x v="1"/>
    <s v="Karnataka"/>
    <n v="165092"/>
    <x v="1"/>
    <s v="PROD-2642"/>
    <x v="0"/>
    <x v="0"/>
    <s v="Office Chair"/>
    <n v="47181.02"/>
    <x v="0"/>
    <n v="47181.02"/>
    <e v="#N/A"/>
    <n v="1"/>
    <n v="0"/>
    <n v="3774.48"/>
    <x v="2"/>
    <x v="6"/>
    <x v="5"/>
  </r>
  <r>
    <n v="643"/>
    <s v="VID100643"/>
    <s v="24-09-2021"/>
    <s v="26-09-2021"/>
    <x v="3"/>
    <s v="CUST-1643"/>
    <s v="Sneha Reddy"/>
    <x v="2"/>
    <s v="India"/>
    <x v="3"/>
    <s v="Gujarat"/>
    <n v="635251"/>
    <x v="3"/>
    <s v="PROD-2643"/>
    <x v="2"/>
    <x v="3"/>
    <s v="A4 Paper"/>
    <n v="26709.67"/>
    <x v="0"/>
    <n v="26709.67"/>
    <e v="#N/A"/>
    <n v="3"/>
    <n v="0.3"/>
    <n v="133.55000000000001"/>
    <x v="0"/>
    <x v="10"/>
    <x v="14"/>
  </r>
  <r>
    <n v="644"/>
    <s v="VID100644"/>
    <s v="10-06-2021"/>
    <s v="17-06-2021"/>
    <x v="0"/>
    <s v="CUST-1644"/>
    <s v="Sneha Reddy"/>
    <x v="2"/>
    <s v="India"/>
    <x v="1"/>
    <s v="Karnataka"/>
    <n v="664693"/>
    <x v="1"/>
    <s v="PROD-2644"/>
    <x v="1"/>
    <x v="2"/>
    <s v="Samsung Galaxy"/>
    <n v="31242"/>
    <x v="0"/>
    <n v="31242"/>
    <e v="#N/A"/>
    <n v="5"/>
    <n v="0.1"/>
    <n v="1718.31"/>
    <x v="0"/>
    <x v="3"/>
    <x v="5"/>
  </r>
  <r>
    <n v="645"/>
    <s v="VID100645"/>
    <s v="14-11-2021"/>
    <s v="20-11-2021"/>
    <x v="3"/>
    <s v="CUST-1645"/>
    <s v="Ananya Mishra"/>
    <x v="1"/>
    <s v="India"/>
    <x v="3"/>
    <s v="Gujarat"/>
    <n v="261496"/>
    <x v="3"/>
    <s v="PROD-2645"/>
    <x v="1"/>
    <x v="1"/>
    <s v="Dell Inspiron"/>
    <n v="64449.3"/>
    <x v="0"/>
    <n v="64449.3"/>
    <e v="#N/A"/>
    <n v="4"/>
    <n v="0"/>
    <n v="5155.9399999999996"/>
    <x v="0"/>
    <x v="9"/>
    <x v="6"/>
  </r>
  <r>
    <n v="646"/>
    <s v="VID100646"/>
    <s v="28-06-2022"/>
    <s v="02-07-2022"/>
    <x v="0"/>
    <s v="CUST-1646"/>
    <s v="Priya Patel"/>
    <x v="2"/>
    <s v="India"/>
    <x v="1"/>
    <s v="Karnataka"/>
    <n v="127703"/>
    <x v="1"/>
    <s v="PROD-2646"/>
    <x v="1"/>
    <x v="1"/>
    <s v="Dell Inspiron"/>
    <n v="45245.14"/>
    <x v="0"/>
    <n v="45245.14"/>
    <e v="#N/A"/>
    <n v="1"/>
    <n v="0"/>
    <n v="3619.61"/>
    <x v="2"/>
    <x v="3"/>
    <x v="13"/>
  </r>
  <r>
    <n v="647"/>
    <s v="VID100647"/>
    <s v="28-07-2024"/>
    <s v="02-08-2024"/>
    <x v="1"/>
    <s v="CUST-1647"/>
    <s v="Rahul Joshi"/>
    <x v="0"/>
    <s v="India"/>
    <x v="2"/>
    <s v="West Bengal"/>
    <n v="867020"/>
    <x v="2"/>
    <s v="PROD-2647"/>
    <x v="0"/>
    <x v="0"/>
    <s v="Office Chair"/>
    <n v="50647.11"/>
    <x v="0"/>
    <n v="50647.11"/>
    <e v="#N/A"/>
    <n v="9"/>
    <n v="0"/>
    <n v="4051.77"/>
    <x v="1"/>
    <x v="6"/>
    <x v="13"/>
  </r>
  <r>
    <n v="648"/>
    <s v="VID100648"/>
    <s v="27-04-2021"/>
    <s v="04-05-2021"/>
    <x v="2"/>
    <s v="CUST-1648"/>
    <s v="Rohan Das"/>
    <x v="2"/>
    <s v="India"/>
    <x v="1"/>
    <s v="Karnataka"/>
    <n v="874995"/>
    <x v="1"/>
    <s v="PROD-2648"/>
    <x v="1"/>
    <x v="2"/>
    <s v="Samsung Galaxy"/>
    <n v="98751.29"/>
    <x v="0"/>
    <n v="98751.29"/>
    <e v="#N/A"/>
    <n v="1"/>
    <n v="0.1"/>
    <n v="5431.32"/>
    <x v="0"/>
    <x v="4"/>
    <x v="7"/>
  </r>
  <r>
    <n v="649"/>
    <s v="VID100649"/>
    <s v="10-07-2025"/>
    <s v="16-07-2025"/>
    <x v="2"/>
    <s v="CUST-1649"/>
    <s v="Rahul Joshi"/>
    <x v="2"/>
    <s v="India"/>
    <x v="2"/>
    <s v="West Bengal"/>
    <n v="313431"/>
    <x v="2"/>
    <s v="PROD-2649"/>
    <x v="1"/>
    <x v="2"/>
    <s v="Samsung Galaxy"/>
    <n v="29538.46"/>
    <x v="0"/>
    <n v="29538.46"/>
    <e v="#N/A"/>
    <n v="9"/>
    <n v="0"/>
    <n v="2363.08"/>
    <x v="4"/>
    <x v="6"/>
    <x v="5"/>
  </r>
  <r>
    <n v="650"/>
    <s v="VID100650"/>
    <s v="02-04-2021"/>
    <s v="06-04-2021"/>
    <x v="2"/>
    <s v="CUST-1650"/>
    <s v="Sneha Reddy"/>
    <x v="0"/>
    <s v="India"/>
    <x v="3"/>
    <s v="Gujarat"/>
    <n v="830877"/>
    <x v="3"/>
    <s v="PROD-2650"/>
    <x v="2"/>
    <x v="3"/>
    <s v="A4 Paper"/>
    <n v="68065.350000000006"/>
    <x v="0"/>
    <n v="68065.350000000006"/>
    <e v="#N/A"/>
    <n v="7"/>
    <n v="0.2"/>
    <n v="2041.96"/>
    <x v="0"/>
    <x v="4"/>
    <x v="10"/>
  </r>
  <r>
    <n v="651"/>
    <s v="VID100651"/>
    <s v="02-02-2024"/>
    <s v="04-02-2024"/>
    <x v="1"/>
    <s v="CUST-1651"/>
    <s v="Pooja Hegde"/>
    <x v="2"/>
    <s v="India"/>
    <x v="0"/>
    <s v="Delhi"/>
    <n v="901274"/>
    <x v="0"/>
    <s v="PROD-2651"/>
    <x v="2"/>
    <x v="3"/>
    <s v="A4 Paper"/>
    <n v="86735.87"/>
    <x v="0"/>
    <n v="86735.87"/>
    <e v="#N/A"/>
    <n v="4"/>
    <n v="0"/>
    <n v="6938.87"/>
    <x v="1"/>
    <x v="11"/>
    <x v="10"/>
  </r>
  <r>
    <n v="652"/>
    <s v="VID100652"/>
    <s v="09-01-2024"/>
    <s v="13-01-2024"/>
    <x v="0"/>
    <s v="CUST-1652"/>
    <s v="Aarav Sharma"/>
    <x v="2"/>
    <s v="India"/>
    <x v="2"/>
    <s v="West Bengal"/>
    <n v="926916"/>
    <x v="2"/>
    <s v="PROD-2652"/>
    <x v="0"/>
    <x v="0"/>
    <s v="Office Chair"/>
    <n v="13023.61"/>
    <x v="0"/>
    <n v="13023.61"/>
    <e v="#N/A"/>
    <n v="2"/>
    <n v="0"/>
    <n v="1041.8900000000001"/>
    <x v="1"/>
    <x v="8"/>
    <x v="18"/>
  </r>
  <r>
    <n v="653"/>
    <s v="VID100653"/>
    <s v="03-12-2021"/>
    <s v="10-12-2021"/>
    <x v="0"/>
    <s v="CUST-1653"/>
    <s v="Pooja Hegde"/>
    <x v="2"/>
    <s v="India"/>
    <x v="1"/>
    <s v="Karnataka"/>
    <n v="677054"/>
    <x v="1"/>
    <s v="PROD-2653"/>
    <x v="1"/>
    <x v="2"/>
    <s v="Samsung Galaxy"/>
    <n v="66106.759999999995"/>
    <x v="0"/>
    <n v="66106.759999999995"/>
    <e v="#N/A"/>
    <n v="6"/>
    <n v="0.3"/>
    <n v="330.53"/>
    <x v="0"/>
    <x v="1"/>
    <x v="9"/>
  </r>
  <r>
    <n v="654"/>
    <s v="VID100654"/>
    <s v="26-10-2024"/>
    <s v="01-11-2024"/>
    <x v="1"/>
    <s v="CUST-1654"/>
    <s v="Vikram Singh"/>
    <x v="0"/>
    <s v="India"/>
    <x v="2"/>
    <s v="West Bengal"/>
    <n v="416663"/>
    <x v="2"/>
    <s v="PROD-2654"/>
    <x v="2"/>
    <x v="3"/>
    <s v="A4 Paper"/>
    <n v="74369.16"/>
    <x v="0"/>
    <n v="74369.16"/>
    <e v="#N/A"/>
    <n v="9"/>
    <n v="0.1"/>
    <n v="4090.3"/>
    <x v="1"/>
    <x v="7"/>
    <x v="21"/>
  </r>
  <r>
    <n v="655"/>
    <s v="VID100655"/>
    <s v="04-08-2022"/>
    <s v="11-08-2022"/>
    <x v="0"/>
    <s v="CUST-1655"/>
    <s v="Sneha Reddy"/>
    <x v="1"/>
    <s v="India"/>
    <x v="1"/>
    <s v="Karnataka"/>
    <n v="263308"/>
    <x v="1"/>
    <s v="PROD-2655"/>
    <x v="1"/>
    <x v="1"/>
    <s v="Dell Inspiron"/>
    <n v="89825.57"/>
    <x v="0"/>
    <n v="89825.57"/>
    <e v="#N/A"/>
    <n v="9"/>
    <n v="0.2"/>
    <n v="2694.77"/>
    <x v="2"/>
    <x v="2"/>
    <x v="22"/>
  </r>
  <r>
    <n v="656"/>
    <s v="VID100656"/>
    <s v="21-11-2023"/>
    <s v="28-11-2023"/>
    <x v="1"/>
    <s v="CUST-1656"/>
    <s v="Priya Patel"/>
    <x v="2"/>
    <s v="India"/>
    <x v="1"/>
    <s v="Karnataka"/>
    <n v="363377"/>
    <x v="1"/>
    <s v="PROD-2656"/>
    <x v="2"/>
    <x v="3"/>
    <s v="A4 Paper"/>
    <n v="47351.42"/>
    <x v="0"/>
    <n v="47351.42"/>
    <e v="#N/A"/>
    <n v="7"/>
    <n v="0.3"/>
    <n v="236.76"/>
    <x v="3"/>
    <x v="9"/>
    <x v="26"/>
  </r>
  <r>
    <n v="657"/>
    <s v="VID100657"/>
    <s v="16-03-2023"/>
    <s v="17-03-2023"/>
    <x v="1"/>
    <s v="CUST-1657"/>
    <s v="Pooja Hegde"/>
    <x v="0"/>
    <s v="India"/>
    <x v="3"/>
    <s v="Gujarat"/>
    <n v="949085"/>
    <x v="3"/>
    <s v="PROD-2657"/>
    <x v="1"/>
    <x v="2"/>
    <s v="Samsung Galaxy"/>
    <n v="92044.36"/>
    <x v="0"/>
    <n v="92044.36"/>
    <e v="#N/A"/>
    <n v="4"/>
    <n v="0.3"/>
    <n v="460.22"/>
    <x v="3"/>
    <x v="5"/>
    <x v="20"/>
  </r>
  <r>
    <n v="658"/>
    <s v="VID100658"/>
    <s v="21-05-2022"/>
    <s v="27-05-2022"/>
    <x v="1"/>
    <s v="CUST-1658"/>
    <s v="Rahul Joshi"/>
    <x v="1"/>
    <s v="India"/>
    <x v="0"/>
    <s v="Delhi"/>
    <n v="944893"/>
    <x v="0"/>
    <s v="PROD-2658"/>
    <x v="2"/>
    <x v="3"/>
    <s v="A4 Paper"/>
    <n v="40421.43"/>
    <x v="0"/>
    <n v="40421.43"/>
    <e v="#N/A"/>
    <n v="3"/>
    <n v="0.1"/>
    <n v="2223.1799999999998"/>
    <x v="2"/>
    <x v="0"/>
    <x v="26"/>
  </r>
  <r>
    <n v="659"/>
    <s v="VID100659"/>
    <s v="13-11-2022"/>
    <s v="18-11-2022"/>
    <x v="3"/>
    <s v="CUST-1659"/>
    <s v="Rohan Das"/>
    <x v="1"/>
    <s v="India"/>
    <x v="4"/>
    <s v="Maharashtra"/>
    <n v="638670"/>
    <x v="3"/>
    <s v="PROD-2659"/>
    <x v="1"/>
    <x v="1"/>
    <s v="Dell Inspiron"/>
    <n v="51853.14"/>
    <x v="0"/>
    <n v="51853.14"/>
    <e v="#N/A"/>
    <n v="4"/>
    <n v="0.1"/>
    <n v="2851.92"/>
    <x v="2"/>
    <x v="9"/>
    <x v="30"/>
  </r>
  <r>
    <n v="660"/>
    <s v="VID100660"/>
    <s v="25-11-2023"/>
    <s v="01-12-2023"/>
    <x v="3"/>
    <s v="CUST-1660"/>
    <s v="Vikram Singh"/>
    <x v="1"/>
    <s v="India"/>
    <x v="2"/>
    <s v="West Bengal"/>
    <n v="208107"/>
    <x v="2"/>
    <s v="PROD-2660"/>
    <x v="2"/>
    <x v="3"/>
    <s v="A4 Paper"/>
    <n v="99663.62"/>
    <x v="0"/>
    <n v="99663.62"/>
    <e v="#N/A"/>
    <n v="10"/>
    <n v="0.1"/>
    <n v="5481.5"/>
    <x v="3"/>
    <x v="9"/>
    <x v="17"/>
  </r>
  <r>
    <n v="661"/>
    <s v="VID100661"/>
    <s v="19-01-2024"/>
    <s v="24-01-2024"/>
    <x v="3"/>
    <s v="CUST-1661"/>
    <s v="Rohan Das"/>
    <x v="1"/>
    <s v="India"/>
    <x v="3"/>
    <s v="Gujarat"/>
    <n v="548371"/>
    <x v="3"/>
    <s v="PROD-2661"/>
    <x v="1"/>
    <x v="1"/>
    <s v="Dell Inspiron"/>
    <n v="36389.19"/>
    <x v="0"/>
    <n v="36389.19"/>
    <e v="#N/A"/>
    <n v="8"/>
    <n v="0.1"/>
    <n v="2001.41"/>
    <x v="1"/>
    <x v="8"/>
    <x v="27"/>
  </r>
  <r>
    <n v="662"/>
    <s v="VID100662"/>
    <s v="22-09-2025"/>
    <s v="23-09-2025"/>
    <x v="3"/>
    <s v="CUST-1662"/>
    <s v="Pooja Hegde"/>
    <x v="0"/>
    <s v="India"/>
    <x v="2"/>
    <s v="West Bengal"/>
    <n v="418043"/>
    <x v="2"/>
    <s v="PROD-2662"/>
    <x v="1"/>
    <x v="2"/>
    <s v="Samsung Galaxy"/>
    <n v="96181.18"/>
    <x v="0"/>
    <n v="96181.18"/>
    <e v="#N/A"/>
    <n v="10"/>
    <n v="0.2"/>
    <n v="2885.44"/>
    <x v="4"/>
    <x v="10"/>
    <x v="2"/>
  </r>
  <r>
    <n v="663"/>
    <s v="VID100663"/>
    <s v="06-06-2022"/>
    <s v="11-06-2022"/>
    <x v="1"/>
    <s v="CUST-1663"/>
    <s v="Pooja Hegde"/>
    <x v="1"/>
    <s v="India"/>
    <x v="0"/>
    <s v="Delhi"/>
    <n v="177330"/>
    <x v="0"/>
    <s v="PROD-2663"/>
    <x v="0"/>
    <x v="0"/>
    <s v="Office Chair"/>
    <n v="43967.88"/>
    <x v="0"/>
    <n v="43967.88"/>
    <e v="#N/A"/>
    <n v="10"/>
    <n v="0"/>
    <n v="3517.43"/>
    <x v="2"/>
    <x v="3"/>
    <x v="15"/>
  </r>
  <r>
    <n v="664"/>
    <s v="VID100664"/>
    <s v="24-10-2024"/>
    <s v="25-10-2024"/>
    <x v="3"/>
    <s v="CUST-1664"/>
    <s v="Vikram Singh"/>
    <x v="2"/>
    <s v="India"/>
    <x v="0"/>
    <s v="Delhi"/>
    <n v="779063"/>
    <x v="0"/>
    <s v="PROD-2664"/>
    <x v="1"/>
    <x v="2"/>
    <s v="Samsung Galaxy"/>
    <n v="18693.05"/>
    <x v="0"/>
    <n v="18693.05"/>
    <e v="#N/A"/>
    <n v="10"/>
    <n v="0.2"/>
    <n v="560.79"/>
    <x v="1"/>
    <x v="7"/>
    <x v="14"/>
  </r>
  <r>
    <n v="665"/>
    <s v="VID100665"/>
    <s v="21-03-2024"/>
    <s v="25-03-2024"/>
    <x v="2"/>
    <s v="CUST-1665"/>
    <s v="Pooja Hegde"/>
    <x v="2"/>
    <s v="India"/>
    <x v="4"/>
    <s v="Maharashtra"/>
    <n v="415526"/>
    <x v="3"/>
    <s v="PROD-2665"/>
    <x v="1"/>
    <x v="1"/>
    <s v="Dell Inspiron"/>
    <n v="18174.740000000002"/>
    <x v="0"/>
    <n v="18174.740000000002"/>
    <e v="#N/A"/>
    <n v="7"/>
    <n v="0"/>
    <n v="1453.98"/>
    <x v="1"/>
    <x v="5"/>
    <x v="26"/>
  </r>
  <r>
    <n v="666"/>
    <s v="VID100666"/>
    <s v="19-02-2021"/>
    <s v="26-02-2021"/>
    <x v="0"/>
    <s v="CUST-1666"/>
    <s v="Rohan Das"/>
    <x v="2"/>
    <s v="India"/>
    <x v="1"/>
    <s v="Karnataka"/>
    <n v="843877"/>
    <x v="1"/>
    <s v="PROD-2666"/>
    <x v="1"/>
    <x v="2"/>
    <s v="Samsung Galaxy"/>
    <n v="46812.46"/>
    <x v="0"/>
    <n v="46812.46"/>
    <e v="#N/A"/>
    <n v="8"/>
    <n v="0.3"/>
    <n v="234.06"/>
    <x v="0"/>
    <x v="11"/>
    <x v="27"/>
  </r>
  <r>
    <n v="667"/>
    <s v="VID100667"/>
    <s v="23-10-2025"/>
    <s v="27-10-2025"/>
    <x v="0"/>
    <s v="CUST-1667"/>
    <s v="Rohan Das"/>
    <x v="2"/>
    <s v="India"/>
    <x v="2"/>
    <s v="West Bengal"/>
    <n v="325178"/>
    <x v="2"/>
    <s v="PROD-2667"/>
    <x v="1"/>
    <x v="2"/>
    <s v="Samsung Galaxy"/>
    <n v="62886.89"/>
    <x v="0"/>
    <n v="62886.89"/>
    <e v="#N/A"/>
    <n v="6"/>
    <n v="0.3"/>
    <n v="314.43"/>
    <x v="4"/>
    <x v="7"/>
    <x v="24"/>
  </r>
  <r>
    <n v="668"/>
    <s v="VID100668"/>
    <s v="08-10-2023"/>
    <s v="10-10-2023"/>
    <x v="2"/>
    <s v="CUST-1668"/>
    <s v="Amit Verma"/>
    <x v="1"/>
    <s v="India"/>
    <x v="1"/>
    <s v="Karnataka"/>
    <n v="967232"/>
    <x v="1"/>
    <s v="PROD-2668"/>
    <x v="1"/>
    <x v="2"/>
    <s v="Samsung Galaxy"/>
    <n v="74518.179999999993"/>
    <x v="0"/>
    <n v="74518.179999999993"/>
    <e v="#N/A"/>
    <n v="8"/>
    <n v="0.3"/>
    <n v="372.59"/>
    <x v="3"/>
    <x v="7"/>
    <x v="3"/>
  </r>
  <r>
    <n v="669"/>
    <s v="VID100669"/>
    <s v="09-10-2021"/>
    <s v="13-10-2021"/>
    <x v="2"/>
    <s v="CUST-1669"/>
    <s v="Vikram Singh"/>
    <x v="2"/>
    <s v="India"/>
    <x v="4"/>
    <s v="Maharashtra"/>
    <n v="212550"/>
    <x v="3"/>
    <s v="PROD-2669"/>
    <x v="1"/>
    <x v="1"/>
    <s v="Dell Inspiron"/>
    <n v="18500.46"/>
    <x v="0"/>
    <n v="18500.46"/>
    <e v="#N/A"/>
    <n v="3"/>
    <n v="0.3"/>
    <n v="92.5"/>
    <x v="0"/>
    <x v="7"/>
    <x v="18"/>
  </r>
  <r>
    <n v="670"/>
    <s v="VID100670"/>
    <s v="18-03-2025"/>
    <s v="24-03-2025"/>
    <x v="3"/>
    <s v="CUST-1670"/>
    <s v="Rahul Joshi"/>
    <x v="2"/>
    <s v="India"/>
    <x v="2"/>
    <s v="West Bengal"/>
    <n v="985098"/>
    <x v="2"/>
    <s v="PROD-2670"/>
    <x v="1"/>
    <x v="2"/>
    <s v="Samsung Galaxy"/>
    <n v="88497.66"/>
    <x v="0"/>
    <n v="88497.66"/>
    <e v="#N/A"/>
    <n v="8"/>
    <n v="0.1"/>
    <n v="4867.37"/>
    <x v="4"/>
    <x v="5"/>
    <x v="12"/>
  </r>
  <r>
    <n v="671"/>
    <s v="VID100671"/>
    <s v="01-02-2021"/>
    <s v="07-02-2021"/>
    <x v="3"/>
    <s v="CUST-1671"/>
    <s v="Priya Patel"/>
    <x v="2"/>
    <s v="India"/>
    <x v="4"/>
    <s v="Maharashtra"/>
    <n v="732601"/>
    <x v="3"/>
    <s v="PROD-2671"/>
    <x v="1"/>
    <x v="1"/>
    <s v="Dell Inspiron"/>
    <n v="37346.449999999997"/>
    <x v="0"/>
    <n v="37346.449999999997"/>
    <e v="#N/A"/>
    <n v="7"/>
    <n v="0.1"/>
    <n v="2054.0500000000002"/>
    <x v="0"/>
    <x v="11"/>
    <x v="11"/>
  </r>
  <r>
    <n v="672"/>
    <s v="VID100672"/>
    <s v="11-06-2023"/>
    <s v="15-06-2023"/>
    <x v="3"/>
    <s v="CUST-1672"/>
    <s v="Rohan Das"/>
    <x v="0"/>
    <s v="India"/>
    <x v="0"/>
    <s v="Delhi"/>
    <n v="119634"/>
    <x v="0"/>
    <s v="PROD-2672"/>
    <x v="2"/>
    <x v="3"/>
    <s v="A4 Paper"/>
    <n v="70730.210000000006"/>
    <x v="0"/>
    <n v="70730.210000000006"/>
    <e v="#N/A"/>
    <n v="4"/>
    <n v="0"/>
    <n v="5658.42"/>
    <x v="3"/>
    <x v="3"/>
    <x v="23"/>
  </r>
  <r>
    <n v="673"/>
    <s v="VID100673"/>
    <s v="30-12-2024"/>
    <s v="03-01-2025"/>
    <x v="1"/>
    <s v="CUST-1673"/>
    <s v="Rohan Das"/>
    <x v="1"/>
    <s v="India"/>
    <x v="2"/>
    <s v="West Bengal"/>
    <n v="859910"/>
    <x v="2"/>
    <s v="PROD-2673"/>
    <x v="1"/>
    <x v="2"/>
    <s v="Samsung Galaxy"/>
    <n v="31350.42"/>
    <x v="0"/>
    <n v="31350.42"/>
    <e v="#N/A"/>
    <n v="4"/>
    <n v="0.1"/>
    <n v="1724.27"/>
    <x v="1"/>
    <x v="1"/>
    <x v="16"/>
  </r>
  <r>
    <n v="674"/>
    <s v="VID100674"/>
    <s v="30-09-2022"/>
    <s v="06-10-2022"/>
    <x v="0"/>
    <s v="CUST-1674"/>
    <s v="Rohan Das"/>
    <x v="0"/>
    <s v="India"/>
    <x v="4"/>
    <s v="Maharashtra"/>
    <n v="454607"/>
    <x v="3"/>
    <s v="PROD-2674"/>
    <x v="1"/>
    <x v="2"/>
    <s v="Samsung Galaxy"/>
    <n v="95957.42"/>
    <x v="0"/>
    <n v="95957.42"/>
    <e v="#N/A"/>
    <n v="5"/>
    <n v="0.2"/>
    <n v="2878.72"/>
    <x v="2"/>
    <x v="10"/>
    <x v="16"/>
  </r>
  <r>
    <n v="675"/>
    <s v="VID100675"/>
    <s v="05-03-2023"/>
    <s v="11-03-2023"/>
    <x v="3"/>
    <s v="CUST-1675"/>
    <s v="Amit Verma"/>
    <x v="0"/>
    <s v="India"/>
    <x v="4"/>
    <s v="Maharashtra"/>
    <n v="518582"/>
    <x v="3"/>
    <s v="PROD-2675"/>
    <x v="0"/>
    <x v="0"/>
    <s v="Office Chair"/>
    <n v="27301.63"/>
    <x v="0"/>
    <n v="27301.63"/>
    <e v="#N/A"/>
    <n v="9"/>
    <n v="0.2"/>
    <n v="819.05"/>
    <x v="3"/>
    <x v="5"/>
    <x v="25"/>
  </r>
  <r>
    <n v="676"/>
    <s v="VID100676"/>
    <s v="15-02-2021"/>
    <s v="17-02-2021"/>
    <x v="2"/>
    <s v="CUST-1676"/>
    <s v="Rohan Das"/>
    <x v="0"/>
    <s v="India"/>
    <x v="0"/>
    <s v="Delhi"/>
    <n v="357678"/>
    <x v="0"/>
    <s v="PROD-2676"/>
    <x v="0"/>
    <x v="0"/>
    <s v="Office Chair"/>
    <n v="8934.32"/>
    <x v="0"/>
    <n v="8934.32"/>
    <e v="#N/A"/>
    <n v="7"/>
    <n v="0.3"/>
    <n v="44.67"/>
    <x v="0"/>
    <x v="11"/>
    <x v="28"/>
  </r>
  <r>
    <n v="677"/>
    <s v="VID100677"/>
    <s v="28-11-2023"/>
    <s v="04-12-2023"/>
    <x v="0"/>
    <s v="CUST-1677"/>
    <s v="Rahul Joshi"/>
    <x v="2"/>
    <s v="India"/>
    <x v="1"/>
    <s v="Karnataka"/>
    <n v="195200"/>
    <x v="1"/>
    <s v="PROD-2677"/>
    <x v="1"/>
    <x v="1"/>
    <s v="Dell Inspiron"/>
    <n v="20597.14"/>
    <x v="0"/>
    <n v="20597.14"/>
    <e v="#N/A"/>
    <n v="3"/>
    <n v="0.3"/>
    <n v="102.99"/>
    <x v="3"/>
    <x v="9"/>
    <x v="13"/>
  </r>
  <r>
    <n v="678"/>
    <s v="VID100678"/>
    <s v="27-07-2024"/>
    <s v="28-07-2024"/>
    <x v="1"/>
    <s v="CUST-1678"/>
    <s v="Sneha Reddy"/>
    <x v="2"/>
    <s v="India"/>
    <x v="2"/>
    <s v="West Bengal"/>
    <n v="426523"/>
    <x v="2"/>
    <s v="PROD-2678"/>
    <x v="1"/>
    <x v="1"/>
    <s v="Dell Inspiron"/>
    <n v="55895.54"/>
    <x v="0"/>
    <n v="55895.54"/>
    <e v="#N/A"/>
    <n v="6"/>
    <n v="0.3"/>
    <n v="279.48"/>
    <x v="1"/>
    <x v="6"/>
    <x v="7"/>
  </r>
  <r>
    <n v="679"/>
    <s v="VID100679"/>
    <s v="30-09-2022"/>
    <s v="01-10-2022"/>
    <x v="0"/>
    <s v="CUST-1679"/>
    <s v="Ananya Mishra"/>
    <x v="0"/>
    <s v="India"/>
    <x v="1"/>
    <s v="Karnataka"/>
    <n v="228476"/>
    <x v="1"/>
    <s v="PROD-2679"/>
    <x v="0"/>
    <x v="0"/>
    <s v="Office Chair"/>
    <n v="59879.65"/>
    <x v="0"/>
    <n v="59879.65"/>
    <e v="#N/A"/>
    <n v="2"/>
    <n v="0.3"/>
    <n v="299.39999999999998"/>
    <x v="2"/>
    <x v="10"/>
    <x v="16"/>
  </r>
  <r>
    <n v="680"/>
    <s v="VID100680"/>
    <s v="30-12-2025"/>
    <s v="31-12-2025"/>
    <x v="1"/>
    <s v="CUST-1680"/>
    <s v="Priya Patel"/>
    <x v="2"/>
    <s v="India"/>
    <x v="0"/>
    <s v="Delhi"/>
    <n v="865898"/>
    <x v="0"/>
    <s v="PROD-2680"/>
    <x v="1"/>
    <x v="2"/>
    <s v="Samsung Galaxy"/>
    <n v="83476.97"/>
    <x v="0"/>
    <n v="83476.97"/>
    <e v="#N/A"/>
    <n v="7"/>
    <n v="0"/>
    <n v="6678.16"/>
    <x v="4"/>
    <x v="1"/>
    <x v="16"/>
  </r>
  <r>
    <n v="681"/>
    <s v="VID100681"/>
    <s v="21-03-2025"/>
    <s v="26-03-2025"/>
    <x v="1"/>
    <s v="CUST-1681"/>
    <s v="Pooja Hegde"/>
    <x v="1"/>
    <s v="India"/>
    <x v="4"/>
    <s v="Maharashtra"/>
    <n v="579181"/>
    <x v="3"/>
    <s v="PROD-2681"/>
    <x v="0"/>
    <x v="0"/>
    <s v="Office Chair"/>
    <n v="99334.55"/>
    <x v="0"/>
    <n v="99334.55"/>
    <e v="#N/A"/>
    <n v="4"/>
    <n v="0.3"/>
    <n v="496.67"/>
    <x v="4"/>
    <x v="5"/>
    <x v="26"/>
  </r>
  <r>
    <n v="682"/>
    <s v="VID100682"/>
    <s v="19-08-2025"/>
    <s v="23-08-2025"/>
    <x v="2"/>
    <s v="CUST-1682"/>
    <s v="Ananya Mishra"/>
    <x v="0"/>
    <s v="India"/>
    <x v="3"/>
    <s v="Gujarat"/>
    <n v="767859"/>
    <x v="3"/>
    <s v="PROD-2682"/>
    <x v="2"/>
    <x v="3"/>
    <s v="A4 Paper"/>
    <n v="35562"/>
    <x v="0"/>
    <n v="35562"/>
    <e v="#N/A"/>
    <n v="9"/>
    <n v="0.1"/>
    <n v="1955.91"/>
    <x v="4"/>
    <x v="2"/>
    <x v="27"/>
  </r>
  <r>
    <n v="683"/>
    <s v="VID100683"/>
    <s v="08-12-2023"/>
    <s v="12-12-2023"/>
    <x v="2"/>
    <s v="CUST-1683"/>
    <s v="Ananya Mishra"/>
    <x v="1"/>
    <s v="India"/>
    <x v="2"/>
    <s v="West Bengal"/>
    <n v="269837"/>
    <x v="2"/>
    <s v="PROD-2683"/>
    <x v="0"/>
    <x v="0"/>
    <s v="Office Chair"/>
    <n v="82513.06"/>
    <x v="0"/>
    <n v="82513.06"/>
    <e v="#N/A"/>
    <n v="5"/>
    <n v="0.1"/>
    <n v="4538.22"/>
    <x v="3"/>
    <x v="1"/>
    <x v="3"/>
  </r>
  <r>
    <n v="684"/>
    <s v="VID100684"/>
    <s v="08-02-2021"/>
    <s v="15-02-2021"/>
    <x v="0"/>
    <s v="CUST-1684"/>
    <s v="Vikram Singh"/>
    <x v="0"/>
    <s v="India"/>
    <x v="4"/>
    <s v="Maharashtra"/>
    <n v="543897"/>
    <x v="3"/>
    <s v="PROD-2684"/>
    <x v="2"/>
    <x v="3"/>
    <s v="A4 Paper"/>
    <n v="53201.54"/>
    <x v="0"/>
    <n v="53201.54"/>
    <e v="#N/A"/>
    <n v="7"/>
    <n v="0.1"/>
    <n v="2926.08"/>
    <x v="0"/>
    <x v="11"/>
    <x v="3"/>
  </r>
  <r>
    <n v="685"/>
    <s v="VID100685"/>
    <s v="25-11-2024"/>
    <s v="02-12-2024"/>
    <x v="2"/>
    <s v="CUST-1685"/>
    <s v="Sneha Reddy"/>
    <x v="0"/>
    <s v="India"/>
    <x v="2"/>
    <s v="West Bengal"/>
    <n v="557094"/>
    <x v="2"/>
    <s v="PROD-2685"/>
    <x v="1"/>
    <x v="1"/>
    <s v="Dell Inspiron"/>
    <n v="86393.71"/>
    <x v="0"/>
    <n v="86393.71"/>
    <e v="#N/A"/>
    <n v="5"/>
    <n v="0.3"/>
    <n v="431.97"/>
    <x v="1"/>
    <x v="9"/>
    <x v="17"/>
  </r>
  <r>
    <n v="686"/>
    <s v="VID100686"/>
    <s v="21-09-2023"/>
    <s v="25-09-2023"/>
    <x v="3"/>
    <s v="CUST-1686"/>
    <s v="Rahul Joshi"/>
    <x v="0"/>
    <s v="India"/>
    <x v="4"/>
    <s v="Maharashtra"/>
    <n v="506317"/>
    <x v="3"/>
    <s v="PROD-2686"/>
    <x v="1"/>
    <x v="1"/>
    <s v="Dell Inspiron"/>
    <n v="3861.44"/>
    <x v="0"/>
    <n v="3861.44"/>
    <e v="#N/A"/>
    <n v="9"/>
    <n v="0.2"/>
    <n v="115.84"/>
    <x v="3"/>
    <x v="10"/>
    <x v="26"/>
  </r>
  <r>
    <n v="687"/>
    <s v="VID100687"/>
    <s v="05-07-2021"/>
    <s v="12-07-2021"/>
    <x v="1"/>
    <s v="CUST-1687"/>
    <s v="Aarav Sharma"/>
    <x v="1"/>
    <s v="India"/>
    <x v="0"/>
    <s v="Delhi"/>
    <n v="929882"/>
    <x v="0"/>
    <s v="PROD-2687"/>
    <x v="1"/>
    <x v="2"/>
    <s v="Samsung Galaxy"/>
    <n v="3029.74"/>
    <x v="0"/>
    <n v="3029.74"/>
    <e v="#N/A"/>
    <n v="1"/>
    <n v="0.2"/>
    <n v="90.89"/>
    <x v="0"/>
    <x v="6"/>
    <x v="25"/>
  </r>
  <r>
    <n v="688"/>
    <s v="VID100688"/>
    <s v="13-05-2021"/>
    <s v="16-05-2021"/>
    <x v="1"/>
    <s v="CUST-1688"/>
    <s v="Ananya Mishra"/>
    <x v="1"/>
    <s v="India"/>
    <x v="1"/>
    <s v="Karnataka"/>
    <n v="359882"/>
    <x v="1"/>
    <s v="PROD-2688"/>
    <x v="2"/>
    <x v="3"/>
    <s v="A4 Paper"/>
    <n v="25218.400000000001"/>
    <x v="0"/>
    <n v="25218.400000000001"/>
    <e v="#N/A"/>
    <n v="10"/>
    <n v="0"/>
    <n v="2017.47"/>
    <x v="0"/>
    <x v="0"/>
    <x v="30"/>
  </r>
  <r>
    <n v="689"/>
    <s v="VID100689"/>
    <s v="14-06-2024"/>
    <s v="21-06-2024"/>
    <x v="0"/>
    <s v="CUST-1689"/>
    <s v="Ananya Mishra"/>
    <x v="1"/>
    <s v="India"/>
    <x v="2"/>
    <s v="West Bengal"/>
    <n v="763086"/>
    <x v="2"/>
    <s v="PROD-2689"/>
    <x v="1"/>
    <x v="2"/>
    <s v="Samsung Galaxy"/>
    <n v="82026.67"/>
    <x v="0"/>
    <n v="82026.67"/>
    <e v="#N/A"/>
    <n v="1"/>
    <n v="0.2"/>
    <n v="2460.8000000000002"/>
    <x v="1"/>
    <x v="3"/>
    <x v="6"/>
  </r>
  <r>
    <n v="690"/>
    <s v="VID100690"/>
    <s v="15-06-2022"/>
    <s v="18-06-2022"/>
    <x v="0"/>
    <s v="CUST-1690"/>
    <s v="Amit Verma"/>
    <x v="2"/>
    <s v="India"/>
    <x v="2"/>
    <s v="West Bengal"/>
    <n v="838667"/>
    <x v="2"/>
    <s v="PROD-2690"/>
    <x v="1"/>
    <x v="1"/>
    <s v="Dell Inspiron"/>
    <n v="15568.05"/>
    <x v="0"/>
    <n v="15568.05"/>
    <e v="#N/A"/>
    <n v="6"/>
    <n v="0.1"/>
    <n v="856.24"/>
    <x v="2"/>
    <x v="3"/>
    <x v="28"/>
  </r>
  <r>
    <n v="691"/>
    <s v="VID100691"/>
    <s v="16-07-2021"/>
    <s v="18-07-2021"/>
    <x v="2"/>
    <s v="CUST-1691"/>
    <s v="Diya Nair"/>
    <x v="1"/>
    <s v="India"/>
    <x v="1"/>
    <s v="Karnataka"/>
    <n v="667261"/>
    <x v="1"/>
    <s v="PROD-2691"/>
    <x v="0"/>
    <x v="0"/>
    <s v="Office Chair"/>
    <n v="1922.8"/>
    <x v="0"/>
    <n v="1922.8"/>
    <e v="#N/A"/>
    <n v="2"/>
    <n v="0"/>
    <n v="153.82"/>
    <x v="0"/>
    <x v="6"/>
    <x v="20"/>
  </r>
  <r>
    <n v="692"/>
    <s v="VID100692"/>
    <s v="07-10-2021"/>
    <s v="09-10-2021"/>
    <x v="2"/>
    <s v="CUST-1692"/>
    <s v="Priya Patel"/>
    <x v="1"/>
    <s v="India"/>
    <x v="2"/>
    <s v="West Bengal"/>
    <n v="671265"/>
    <x v="2"/>
    <s v="PROD-2692"/>
    <x v="1"/>
    <x v="2"/>
    <s v="Samsung Galaxy"/>
    <n v="72932.78"/>
    <x v="0"/>
    <n v="72932.78"/>
    <e v="#N/A"/>
    <n v="9"/>
    <n v="0.1"/>
    <n v="4011.3"/>
    <x v="0"/>
    <x v="7"/>
    <x v="8"/>
  </r>
  <r>
    <n v="693"/>
    <s v="VID100693"/>
    <s v="03-10-2023"/>
    <s v="05-10-2023"/>
    <x v="3"/>
    <s v="CUST-1693"/>
    <s v="Priya Patel"/>
    <x v="2"/>
    <s v="India"/>
    <x v="4"/>
    <s v="Maharashtra"/>
    <n v="187607"/>
    <x v="3"/>
    <s v="PROD-2693"/>
    <x v="0"/>
    <x v="0"/>
    <s v="Office Chair"/>
    <n v="94066.99"/>
    <x v="0"/>
    <n v="94066.99"/>
    <e v="#N/A"/>
    <n v="8"/>
    <n v="0.1"/>
    <n v="5173.68"/>
    <x v="3"/>
    <x v="7"/>
    <x v="9"/>
  </r>
  <r>
    <n v="694"/>
    <s v="VID100694"/>
    <s v="23-02-2021"/>
    <s v="28-02-2021"/>
    <x v="0"/>
    <s v="CUST-1694"/>
    <s v="Priya Patel"/>
    <x v="0"/>
    <s v="India"/>
    <x v="4"/>
    <s v="Maharashtra"/>
    <n v="627565"/>
    <x v="3"/>
    <s v="PROD-2694"/>
    <x v="2"/>
    <x v="3"/>
    <s v="A4 Paper"/>
    <n v="45497.21"/>
    <x v="0"/>
    <n v="45497.21"/>
    <e v="#N/A"/>
    <n v="3"/>
    <n v="0.1"/>
    <n v="2502.35"/>
    <x v="0"/>
    <x v="11"/>
    <x v="24"/>
  </r>
  <r>
    <n v="695"/>
    <s v="VID100695"/>
    <s v="11-02-2021"/>
    <s v="16-02-2021"/>
    <x v="1"/>
    <s v="CUST-1695"/>
    <s v="Amit Verma"/>
    <x v="1"/>
    <s v="India"/>
    <x v="3"/>
    <s v="Gujarat"/>
    <n v="214960"/>
    <x v="3"/>
    <s v="PROD-2695"/>
    <x v="1"/>
    <x v="1"/>
    <s v="Dell Inspiron"/>
    <n v="59747.37"/>
    <x v="0"/>
    <n v="59747.37"/>
    <e v="#N/A"/>
    <n v="10"/>
    <n v="0.3"/>
    <n v="298.74"/>
    <x v="0"/>
    <x v="11"/>
    <x v="23"/>
  </r>
  <r>
    <n v="696"/>
    <s v="VID100696"/>
    <s v="21-02-2023"/>
    <s v="23-02-2023"/>
    <x v="3"/>
    <s v="CUST-1696"/>
    <s v="Aarav Sharma"/>
    <x v="0"/>
    <s v="India"/>
    <x v="3"/>
    <s v="Gujarat"/>
    <n v="177414"/>
    <x v="3"/>
    <s v="PROD-2696"/>
    <x v="1"/>
    <x v="1"/>
    <s v="Dell Inspiron"/>
    <n v="44301.52"/>
    <x v="0"/>
    <n v="44301.52"/>
    <e v="#N/A"/>
    <n v="5"/>
    <n v="0"/>
    <n v="3544.12"/>
    <x v="3"/>
    <x v="11"/>
    <x v="26"/>
  </r>
  <r>
    <n v="697"/>
    <s v="VID100697"/>
    <s v="09-05-2022"/>
    <s v="11-05-2022"/>
    <x v="2"/>
    <s v="CUST-1697"/>
    <s v="Ananya Mishra"/>
    <x v="1"/>
    <s v="India"/>
    <x v="2"/>
    <s v="West Bengal"/>
    <n v="436237"/>
    <x v="2"/>
    <s v="PROD-2697"/>
    <x v="2"/>
    <x v="3"/>
    <s v="A4 Paper"/>
    <n v="97021.67"/>
    <x v="0"/>
    <n v="97021.67"/>
    <e v="#N/A"/>
    <n v="8"/>
    <n v="0.1"/>
    <n v="5336.19"/>
    <x v="2"/>
    <x v="0"/>
    <x v="18"/>
  </r>
  <r>
    <n v="698"/>
    <s v="VID100698"/>
    <s v="04-11-2022"/>
    <s v="06-11-2022"/>
    <x v="2"/>
    <s v="CUST-1698"/>
    <s v="Rohan Das"/>
    <x v="2"/>
    <s v="India"/>
    <x v="2"/>
    <s v="West Bengal"/>
    <n v="148685"/>
    <x v="2"/>
    <s v="PROD-2698"/>
    <x v="1"/>
    <x v="2"/>
    <s v="Samsung Galaxy"/>
    <n v="99310.31"/>
    <x v="0"/>
    <n v="99310.31"/>
    <e v="#N/A"/>
    <n v="2"/>
    <n v="0.3"/>
    <n v="496.55"/>
    <x v="2"/>
    <x v="9"/>
    <x v="22"/>
  </r>
  <r>
    <n v="699"/>
    <s v="VID100699"/>
    <s v="24-06-2022"/>
    <s v="25-06-2022"/>
    <x v="1"/>
    <s v="CUST-1699"/>
    <s v="Rohan Das"/>
    <x v="0"/>
    <s v="India"/>
    <x v="0"/>
    <s v="Delhi"/>
    <n v="823498"/>
    <x v="0"/>
    <s v="PROD-2699"/>
    <x v="1"/>
    <x v="2"/>
    <s v="Samsung Galaxy"/>
    <n v="80074.899999999994"/>
    <x v="0"/>
    <n v="80074.899999999994"/>
    <e v="#N/A"/>
    <n v="4"/>
    <n v="0.3"/>
    <n v="400.37"/>
    <x v="2"/>
    <x v="3"/>
    <x v="14"/>
  </r>
  <r>
    <n v="700"/>
    <s v="VID100700"/>
    <s v="29-04-2022"/>
    <s v="03-05-2022"/>
    <x v="3"/>
    <s v="CUST-1700"/>
    <s v="Ananya Mishra"/>
    <x v="2"/>
    <s v="India"/>
    <x v="3"/>
    <s v="Gujarat"/>
    <n v="942850"/>
    <x v="3"/>
    <s v="PROD-2700"/>
    <x v="0"/>
    <x v="0"/>
    <s v="Office Chair"/>
    <n v="15613.73"/>
    <x v="0"/>
    <n v="15613.73"/>
    <e v="#N/A"/>
    <n v="2"/>
    <n v="0"/>
    <n v="1249.0999999999999"/>
    <x v="2"/>
    <x v="4"/>
    <x v="19"/>
  </r>
  <r>
    <n v="701"/>
    <s v="VID100701"/>
    <s v="07-12-2022"/>
    <s v="14-12-2022"/>
    <x v="1"/>
    <s v="CUST-1701"/>
    <s v="Vikram Singh"/>
    <x v="0"/>
    <s v="India"/>
    <x v="0"/>
    <s v="Delhi"/>
    <n v="186303"/>
    <x v="0"/>
    <s v="PROD-2701"/>
    <x v="1"/>
    <x v="1"/>
    <s v="Dell Inspiron"/>
    <n v="23627.93"/>
    <x v="0"/>
    <n v="23627.93"/>
    <e v="#N/A"/>
    <n v="4"/>
    <n v="0"/>
    <n v="1890.23"/>
    <x v="2"/>
    <x v="1"/>
    <x v="8"/>
  </r>
  <r>
    <n v="702"/>
    <s v="VID100702"/>
    <s v="10-08-2023"/>
    <s v="15-08-2023"/>
    <x v="3"/>
    <s v="CUST-1702"/>
    <s v="Sneha Reddy"/>
    <x v="0"/>
    <s v="India"/>
    <x v="1"/>
    <s v="Karnataka"/>
    <n v="226611"/>
    <x v="1"/>
    <s v="PROD-2702"/>
    <x v="2"/>
    <x v="3"/>
    <s v="A4 Paper"/>
    <n v="29303.55"/>
    <x v="0"/>
    <n v="29303.55"/>
    <e v="#N/A"/>
    <n v="6"/>
    <n v="0.1"/>
    <n v="1611.7"/>
    <x v="3"/>
    <x v="2"/>
    <x v="5"/>
  </r>
  <r>
    <n v="703"/>
    <s v="VID100703"/>
    <s v="24-05-2021"/>
    <s v="31-05-2021"/>
    <x v="3"/>
    <s v="CUST-1703"/>
    <s v="Rohan Das"/>
    <x v="2"/>
    <s v="India"/>
    <x v="4"/>
    <s v="Maharashtra"/>
    <n v="843107"/>
    <x v="3"/>
    <s v="PROD-2703"/>
    <x v="1"/>
    <x v="1"/>
    <s v="Dell Inspiron"/>
    <n v="55352.67"/>
    <x v="0"/>
    <n v="55352.67"/>
    <e v="#N/A"/>
    <n v="4"/>
    <n v="0.2"/>
    <n v="1660.58"/>
    <x v="0"/>
    <x v="0"/>
    <x v="14"/>
  </r>
  <r>
    <n v="704"/>
    <s v="VID100704"/>
    <s v="27-08-2023"/>
    <s v="03-09-2023"/>
    <x v="2"/>
    <s v="CUST-1704"/>
    <s v="Diya Nair"/>
    <x v="0"/>
    <s v="India"/>
    <x v="4"/>
    <s v="Maharashtra"/>
    <n v="962676"/>
    <x v="3"/>
    <s v="PROD-2704"/>
    <x v="0"/>
    <x v="0"/>
    <s v="Office Chair"/>
    <n v="51421.34"/>
    <x v="0"/>
    <n v="51421.34"/>
    <e v="#N/A"/>
    <n v="6"/>
    <n v="0.3"/>
    <n v="257.11"/>
    <x v="3"/>
    <x v="2"/>
    <x v="7"/>
  </r>
  <r>
    <n v="705"/>
    <s v="VID100705"/>
    <s v="21-12-2023"/>
    <s v="26-12-2023"/>
    <x v="3"/>
    <s v="CUST-1705"/>
    <s v="Rahul Joshi"/>
    <x v="0"/>
    <s v="India"/>
    <x v="4"/>
    <s v="Maharashtra"/>
    <n v="981002"/>
    <x v="3"/>
    <s v="PROD-2705"/>
    <x v="1"/>
    <x v="1"/>
    <s v="Dell Inspiron"/>
    <n v="47071.02"/>
    <x v="0"/>
    <n v="47071.02"/>
    <e v="#N/A"/>
    <n v="7"/>
    <n v="0.3"/>
    <n v="235.36"/>
    <x v="3"/>
    <x v="1"/>
    <x v="26"/>
  </r>
  <r>
    <n v="706"/>
    <s v="VID100706"/>
    <s v="15-07-2022"/>
    <s v="20-07-2022"/>
    <x v="1"/>
    <s v="CUST-1706"/>
    <s v="Pooja Hegde"/>
    <x v="2"/>
    <s v="India"/>
    <x v="2"/>
    <s v="West Bengal"/>
    <n v="674205"/>
    <x v="2"/>
    <s v="PROD-2706"/>
    <x v="1"/>
    <x v="1"/>
    <s v="Dell Inspiron"/>
    <n v="32631.52"/>
    <x v="0"/>
    <n v="32631.52"/>
    <e v="#N/A"/>
    <n v="4"/>
    <n v="0.2"/>
    <n v="978.95"/>
    <x v="2"/>
    <x v="6"/>
    <x v="28"/>
  </r>
  <r>
    <n v="707"/>
    <s v="VID100707"/>
    <s v="06-11-2023"/>
    <s v="10-11-2023"/>
    <x v="1"/>
    <s v="CUST-1707"/>
    <s v="Vikram Singh"/>
    <x v="2"/>
    <s v="India"/>
    <x v="3"/>
    <s v="Gujarat"/>
    <n v="813112"/>
    <x v="3"/>
    <s v="PROD-2707"/>
    <x v="0"/>
    <x v="0"/>
    <s v="Office Chair"/>
    <n v="27560.080000000002"/>
    <x v="0"/>
    <n v="27560.080000000002"/>
    <e v="#N/A"/>
    <n v="5"/>
    <n v="0.2"/>
    <n v="826.8"/>
    <x v="3"/>
    <x v="9"/>
    <x v="15"/>
  </r>
  <r>
    <n v="708"/>
    <s v="VID100708"/>
    <s v="29-03-2023"/>
    <s v="05-04-2023"/>
    <x v="2"/>
    <s v="CUST-1708"/>
    <s v="Amit Verma"/>
    <x v="0"/>
    <s v="India"/>
    <x v="1"/>
    <s v="Karnataka"/>
    <n v="938351"/>
    <x v="1"/>
    <s v="PROD-2708"/>
    <x v="0"/>
    <x v="0"/>
    <s v="Office Chair"/>
    <n v="53264.43"/>
    <x v="0"/>
    <n v="53264.43"/>
    <e v="#N/A"/>
    <n v="2"/>
    <n v="0.2"/>
    <n v="1597.93"/>
    <x v="3"/>
    <x v="5"/>
    <x v="19"/>
  </r>
  <r>
    <n v="709"/>
    <s v="VID100709"/>
    <s v="09-06-2025"/>
    <s v="12-06-2025"/>
    <x v="0"/>
    <s v="CUST-1709"/>
    <s v="Amit Verma"/>
    <x v="0"/>
    <s v="India"/>
    <x v="4"/>
    <s v="Maharashtra"/>
    <n v="427632"/>
    <x v="3"/>
    <s v="PROD-2709"/>
    <x v="0"/>
    <x v="0"/>
    <s v="Office Chair"/>
    <n v="33038.660000000003"/>
    <x v="0"/>
    <n v="33038.660000000003"/>
    <e v="#N/A"/>
    <n v="6"/>
    <n v="0.3"/>
    <n v="165.19"/>
    <x v="4"/>
    <x v="3"/>
    <x v="18"/>
  </r>
  <r>
    <n v="710"/>
    <s v="VID100710"/>
    <s v="14-08-2024"/>
    <s v="17-08-2024"/>
    <x v="1"/>
    <s v="CUST-1710"/>
    <s v="Diya Nair"/>
    <x v="2"/>
    <s v="India"/>
    <x v="3"/>
    <s v="Gujarat"/>
    <n v="133392"/>
    <x v="3"/>
    <s v="PROD-2710"/>
    <x v="1"/>
    <x v="1"/>
    <s v="Dell Inspiron"/>
    <n v="77032.240000000005"/>
    <x v="0"/>
    <n v="77032.240000000005"/>
    <e v="#N/A"/>
    <n v="6"/>
    <n v="0.3"/>
    <n v="385.16"/>
    <x v="1"/>
    <x v="2"/>
    <x v="6"/>
  </r>
  <r>
    <n v="711"/>
    <s v="VID100711"/>
    <s v="15-04-2021"/>
    <s v="17-04-2021"/>
    <x v="2"/>
    <s v="CUST-1711"/>
    <s v="Diya Nair"/>
    <x v="0"/>
    <s v="India"/>
    <x v="4"/>
    <s v="Maharashtra"/>
    <n v="853091"/>
    <x v="3"/>
    <s v="PROD-2711"/>
    <x v="2"/>
    <x v="3"/>
    <s v="A4 Paper"/>
    <n v="85600.97"/>
    <x v="0"/>
    <n v="85600.97"/>
    <e v="#N/A"/>
    <n v="7"/>
    <n v="0"/>
    <n v="6848.08"/>
    <x v="0"/>
    <x v="4"/>
    <x v="28"/>
  </r>
  <r>
    <n v="712"/>
    <s v="VID100712"/>
    <s v="22-04-2022"/>
    <s v="29-04-2022"/>
    <x v="3"/>
    <s v="CUST-1712"/>
    <s v="Sneha Reddy"/>
    <x v="1"/>
    <s v="India"/>
    <x v="4"/>
    <s v="Maharashtra"/>
    <n v="304274"/>
    <x v="3"/>
    <s v="PROD-2712"/>
    <x v="1"/>
    <x v="1"/>
    <s v="Dell Inspiron"/>
    <n v="51461.61"/>
    <x v="0"/>
    <n v="51461.61"/>
    <e v="#N/A"/>
    <n v="7"/>
    <n v="0.3"/>
    <n v="257.31"/>
    <x v="2"/>
    <x v="4"/>
    <x v="2"/>
  </r>
  <r>
    <n v="713"/>
    <s v="VID100713"/>
    <s v="25-10-2023"/>
    <s v="31-10-2023"/>
    <x v="3"/>
    <s v="CUST-1713"/>
    <s v="Priya Patel"/>
    <x v="0"/>
    <s v="India"/>
    <x v="4"/>
    <s v="Maharashtra"/>
    <n v="886005"/>
    <x v="3"/>
    <s v="PROD-2713"/>
    <x v="1"/>
    <x v="2"/>
    <s v="Samsung Galaxy"/>
    <n v="64689.599999999999"/>
    <x v="0"/>
    <n v="64689.599999999999"/>
    <e v="#N/A"/>
    <n v="5"/>
    <n v="0.3"/>
    <n v="323.45"/>
    <x v="3"/>
    <x v="7"/>
    <x v="17"/>
  </r>
  <r>
    <n v="714"/>
    <s v="VID100714"/>
    <s v="15-06-2024"/>
    <s v="16-06-2024"/>
    <x v="0"/>
    <s v="CUST-1714"/>
    <s v="Amit Verma"/>
    <x v="2"/>
    <s v="India"/>
    <x v="2"/>
    <s v="West Bengal"/>
    <n v="613059"/>
    <x v="2"/>
    <s v="PROD-2714"/>
    <x v="1"/>
    <x v="1"/>
    <s v="Dell Inspiron"/>
    <n v="8083.01"/>
    <x v="0"/>
    <n v="8083.01"/>
    <e v="#N/A"/>
    <n v="5"/>
    <n v="0.1"/>
    <n v="444.57"/>
    <x v="1"/>
    <x v="3"/>
    <x v="28"/>
  </r>
  <r>
    <n v="715"/>
    <s v="VID100715"/>
    <s v="23-10-2022"/>
    <s v="26-10-2022"/>
    <x v="1"/>
    <s v="CUST-1715"/>
    <s v="Rahul Joshi"/>
    <x v="1"/>
    <s v="India"/>
    <x v="2"/>
    <s v="West Bengal"/>
    <n v="466129"/>
    <x v="2"/>
    <s v="PROD-2715"/>
    <x v="1"/>
    <x v="2"/>
    <s v="Samsung Galaxy"/>
    <n v="99770.46"/>
    <x v="0"/>
    <n v="99770.46"/>
    <e v="#N/A"/>
    <n v="8"/>
    <n v="0.3"/>
    <n v="498.85"/>
    <x v="2"/>
    <x v="7"/>
    <x v="24"/>
  </r>
  <r>
    <n v="716"/>
    <s v="VID100716"/>
    <s v="28-06-2023"/>
    <s v="30-06-2023"/>
    <x v="3"/>
    <s v="CUST-1716"/>
    <s v="Rahul Joshi"/>
    <x v="1"/>
    <s v="India"/>
    <x v="3"/>
    <s v="Gujarat"/>
    <n v="224710"/>
    <x v="3"/>
    <s v="PROD-2716"/>
    <x v="1"/>
    <x v="2"/>
    <s v="Samsung Galaxy"/>
    <n v="73710.649999999994"/>
    <x v="0"/>
    <n v="73710.649999999994"/>
    <e v="#N/A"/>
    <n v="6"/>
    <n v="0.2"/>
    <n v="2211.3200000000002"/>
    <x v="3"/>
    <x v="3"/>
    <x v="13"/>
  </r>
  <r>
    <n v="717"/>
    <s v="VID100717"/>
    <s v="18-01-2021"/>
    <s v="20-01-2021"/>
    <x v="2"/>
    <s v="CUST-1717"/>
    <s v="Amit Verma"/>
    <x v="1"/>
    <s v="India"/>
    <x v="4"/>
    <s v="Maharashtra"/>
    <n v="572771"/>
    <x v="3"/>
    <s v="PROD-2717"/>
    <x v="1"/>
    <x v="1"/>
    <s v="Dell Inspiron"/>
    <n v="28467.87"/>
    <x v="0"/>
    <n v="28467.87"/>
    <e v="#N/A"/>
    <n v="10"/>
    <n v="0"/>
    <n v="2277.4299999999998"/>
    <x v="0"/>
    <x v="8"/>
    <x v="12"/>
  </r>
  <r>
    <n v="718"/>
    <s v="VID100718"/>
    <s v="03-11-2023"/>
    <s v="07-11-2023"/>
    <x v="1"/>
    <s v="CUST-1718"/>
    <s v="Aarav Sharma"/>
    <x v="1"/>
    <s v="India"/>
    <x v="1"/>
    <s v="Karnataka"/>
    <n v="365746"/>
    <x v="1"/>
    <s v="PROD-2718"/>
    <x v="2"/>
    <x v="3"/>
    <s v="A4 Paper"/>
    <n v="34129.980000000003"/>
    <x v="0"/>
    <n v="34129.980000000003"/>
    <e v="#N/A"/>
    <n v="2"/>
    <n v="0.2"/>
    <n v="1023.9"/>
    <x v="3"/>
    <x v="9"/>
    <x v="9"/>
  </r>
  <r>
    <n v="719"/>
    <s v="VID100719"/>
    <s v="06-04-2023"/>
    <s v="12-04-2023"/>
    <x v="0"/>
    <s v="CUST-1719"/>
    <s v="Diya Nair"/>
    <x v="0"/>
    <s v="India"/>
    <x v="2"/>
    <s v="West Bengal"/>
    <n v="245318"/>
    <x v="2"/>
    <s v="PROD-2719"/>
    <x v="0"/>
    <x v="0"/>
    <s v="Office Chair"/>
    <n v="18818.47"/>
    <x v="0"/>
    <n v="18818.47"/>
    <e v="#N/A"/>
    <n v="10"/>
    <n v="0.2"/>
    <n v="564.54999999999995"/>
    <x v="3"/>
    <x v="4"/>
    <x v="15"/>
  </r>
  <r>
    <n v="720"/>
    <s v="VID100720"/>
    <s v="11-07-2025"/>
    <s v="12-07-2025"/>
    <x v="0"/>
    <s v="CUST-1720"/>
    <s v="Sneha Reddy"/>
    <x v="1"/>
    <s v="India"/>
    <x v="4"/>
    <s v="Maharashtra"/>
    <n v="761565"/>
    <x v="3"/>
    <s v="PROD-2720"/>
    <x v="0"/>
    <x v="0"/>
    <s v="Office Chair"/>
    <n v="64202.86"/>
    <x v="0"/>
    <n v="64202.86"/>
    <e v="#N/A"/>
    <n v="10"/>
    <n v="0.1"/>
    <n v="3531.16"/>
    <x v="4"/>
    <x v="6"/>
    <x v="23"/>
  </r>
  <r>
    <n v="721"/>
    <s v="VID100721"/>
    <s v="07-10-2024"/>
    <s v="12-10-2024"/>
    <x v="1"/>
    <s v="CUST-1721"/>
    <s v="Vikram Singh"/>
    <x v="0"/>
    <s v="India"/>
    <x v="4"/>
    <s v="Maharashtra"/>
    <n v="406873"/>
    <x v="3"/>
    <s v="PROD-2721"/>
    <x v="2"/>
    <x v="3"/>
    <s v="A4 Paper"/>
    <n v="19156.38"/>
    <x v="0"/>
    <n v="19156.38"/>
    <e v="#N/A"/>
    <n v="6"/>
    <n v="0.1"/>
    <n v="1053.5999999999999"/>
    <x v="1"/>
    <x v="7"/>
    <x v="8"/>
  </r>
  <r>
    <n v="722"/>
    <s v="VID100722"/>
    <s v="28-02-2023"/>
    <s v="06-03-2023"/>
    <x v="1"/>
    <s v="CUST-1722"/>
    <s v="Sneha Reddy"/>
    <x v="0"/>
    <s v="India"/>
    <x v="4"/>
    <s v="Maharashtra"/>
    <n v="355058"/>
    <x v="3"/>
    <s v="PROD-2722"/>
    <x v="1"/>
    <x v="2"/>
    <s v="Samsung Galaxy"/>
    <n v="40021.32"/>
    <x v="0"/>
    <n v="40021.32"/>
    <e v="#N/A"/>
    <n v="4"/>
    <n v="0.3"/>
    <n v="200.11"/>
    <x v="3"/>
    <x v="11"/>
    <x v="13"/>
  </r>
  <r>
    <n v="723"/>
    <s v="VID100723"/>
    <s v="14-08-2024"/>
    <s v="17-08-2024"/>
    <x v="0"/>
    <s v="CUST-1723"/>
    <s v="Pooja Hegde"/>
    <x v="0"/>
    <s v="India"/>
    <x v="2"/>
    <s v="West Bengal"/>
    <n v="777619"/>
    <x v="2"/>
    <s v="PROD-2723"/>
    <x v="0"/>
    <x v="0"/>
    <s v="Office Chair"/>
    <n v="38457.29"/>
    <x v="0"/>
    <n v="38457.29"/>
    <e v="#N/A"/>
    <n v="9"/>
    <n v="0.3"/>
    <n v="192.29"/>
    <x v="1"/>
    <x v="2"/>
    <x v="6"/>
  </r>
  <r>
    <n v="724"/>
    <s v="VID100724"/>
    <s v="02-08-2022"/>
    <s v="08-08-2022"/>
    <x v="0"/>
    <s v="CUST-1724"/>
    <s v="Diya Nair"/>
    <x v="2"/>
    <s v="India"/>
    <x v="0"/>
    <s v="Delhi"/>
    <n v="211209"/>
    <x v="0"/>
    <s v="PROD-2724"/>
    <x v="1"/>
    <x v="1"/>
    <s v="Dell Inspiron"/>
    <n v="45593.67"/>
    <x v="0"/>
    <n v="45593.67"/>
    <e v="#N/A"/>
    <n v="3"/>
    <n v="0.3"/>
    <n v="227.97"/>
    <x v="2"/>
    <x v="2"/>
    <x v="10"/>
  </r>
  <r>
    <n v="725"/>
    <s v="VID100725"/>
    <s v="12-04-2022"/>
    <s v="16-04-2022"/>
    <x v="0"/>
    <s v="CUST-1725"/>
    <s v="Priya Patel"/>
    <x v="2"/>
    <s v="India"/>
    <x v="4"/>
    <s v="Maharashtra"/>
    <n v="343367"/>
    <x v="3"/>
    <s v="PROD-2725"/>
    <x v="1"/>
    <x v="2"/>
    <s v="Samsung Galaxy"/>
    <n v="78542.33"/>
    <x v="0"/>
    <n v="78542.33"/>
    <e v="#N/A"/>
    <n v="8"/>
    <n v="0.1"/>
    <n v="4319.83"/>
    <x v="2"/>
    <x v="4"/>
    <x v="1"/>
  </r>
  <r>
    <n v="726"/>
    <s v="VID100726"/>
    <s v="14-02-2025"/>
    <s v="19-02-2025"/>
    <x v="0"/>
    <s v="CUST-1726"/>
    <s v="Amit Verma"/>
    <x v="1"/>
    <s v="India"/>
    <x v="4"/>
    <s v="Maharashtra"/>
    <n v="309167"/>
    <x v="3"/>
    <s v="PROD-2726"/>
    <x v="0"/>
    <x v="0"/>
    <s v="Office Chair"/>
    <n v="91156.86"/>
    <x v="0"/>
    <n v="91156.86"/>
    <e v="#N/A"/>
    <n v="10"/>
    <n v="0.3"/>
    <n v="455.78"/>
    <x v="4"/>
    <x v="11"/>
    <x v="6"/>
  </r>
  <r>
    <n v="727"/>
    <s v="VID100727"/>
    <s v="23-05-2022"/>
    <s v="25-05-2022"/>
    <x v="0"/>
    <s v="CUST-1727"/>
    <s v="Aarav Sharma"/>
    <x v="0"/>
    <s v="India"/>
    <x v="2"/>
    <s v="West Bengal"/>
    <n v="152682"/>
    <x v="2"/>
    <s v="PROD-2727"/>
    <x v="1"/>
    <x v="2"/>
    <s v="Samsung Galaxy"/>
    <n v="92055.84"/>
    <x v="0"/>
    <n v="92055.84"/>
    <e v="#N/A"/>
    <n v="9"/>
    <n v="0.1"/>
    <n v="5063.07"/>
    <x v="2"/>
    <x v="0"/>
    <x v="24"/>
  </r>
  <r>
    <n v="728"/>
    <s v="VID100728"/>
    <s v="13-12-2021"/>
    <s v="18-12-2021"/>
    <x v="3"/>
    <s v="CUST-1728"/>
    <s v="Vikram Singh"/>
    <x v="2"/>
    <s v="India"/>
    <x v="0"/>
    <s v="Delhi"/>
    <n v="812196"/>
    <x v="0"/>
    <s v="PROD-2728"/>
    <x v="0"/>
    <x v="0"/>
    <s v="Office Chair"/>
    <n v="29281.62"/>
    <x v="0"/>
    <n v="29281.62"/>
    <e v="#N/A"/>
    <n v="8"/>
    <n v="0.3"/>
    <n v="146.41"/>
    <x v="0"/>
    <x v="1"/>
    <x v="30"/>
  </r>
  <r>
    <n v="729"/>
    <s v="VID100729"/>
    <s v="01-04-2025"/>
    <s v="05-04-2025"/>
    <x v="2"/>
    <s v="CUST-1729"/>
    <s v="Priya Patel"/>
    <x v="2"/>
    <s v="India"/>
    <x v="0"/>
    <s v="Delhi"/>
    <n v="312575"/>
    <x v="0"/>
    <s v="PROD-2729"/>
    <x v="2"/>
    <x v="3"/>
    <s v="A4 Paper"/>
    <n v="76889.91"/>
    <x v="0"/>
    <n v="76889.91"/>
    <e v="#N/A"/>
    <n v="5"/>
    <n v="0"/>
    <n v="6151.19"/>
    <x v="4"/>
    <x v="4"/>
    <x v="11"/>
  </r>
  <r>
    <n v="730"/>
    <s v="VID100730"/>
    <s v="07-05-2024"/>
    <s v="12-05-2024"/>
    <x v="0"/>
    <s v="CUST-1730"/>
    <s v="Rohan Das"/>
    <x v="0"/>
    <s v="India"/>
    <x v="1"/>
    <s v="Karnataka"/>
    <n v="567526"/>
    <x v="1"/>
    <s v="PROD-2730"/>
    <x v="1"/>
    <x v="1"/>
    <s v="Dell Inspiron"/>
    <n v="79821.990000000005"/>
    <x v="0"/>
    <n v="79821.990000000005"/>
    <e v="#N/A"/>
    <n v="1"/>
    <n v="0.2"/>
    <n v="2394.66"/>
    <x v="1"/>
    <x v="0"/>
    <x v="8"/>
  </r>
  <r>
    <n v="731"/>
    <s v="VID100731"/>
    <s v="18-06-2024"/>
    <s v="24-06-2024"/>
    <x v="1"/>
    <s v="CUST-1731"/>
    <s v="Ananya Mishra"/>
    <x v="1"/>
    <s v="India"/>
    <x v="0"/>
    <s v="Delhi"/>
    <n v="908968"/>
    <x v="0"/>
    <s v="PROD-2731"/>
    <x v="2"/>
    <x v="3"/>
    <s v="A4 Paper"/>
    <n v="27528.02"/>
    <x v="0"/>
    <n v="27528.02"/>
    <e v="#N/A"/>
    <n v="3"/>
    <n v="0.2"/>
    <n v="825.84"/>
    <x v="1"/>
    <x v="3"/>
    <x v="12"/>
  </r>
  <r>
    <n v="732"/>
    <s v="VID100732"/>
    <s v="21-02-2024"/>
    <s v="27-02-2024"/>
    <x v="0"/>
    <s v="CUST-1732"/>
    <s v="Ananya Mishra"/>
    <x v="1"/>
    <s v="India"/>
    <x v="3"/>
    <s v="Gujarat"/>
    <n v="289010"/>
    <x v="3"/>
    <s v="PROD-2732"/>
    <x v="1"/>
    <x v="2"/>
    <s v="Samsung Galaxy"/>
    <n v="20602.18"/>
    <x v="0"/>
    <n v="20602.18"/>
    <e v="#N/A"/>
    <n v="9"/>
    <n v="0"/>
    <n v="1648.17"/>
    <x v="1"/>
    <x v="11"/>
    <x v="26"/>
  </r>
  <r>
    <n v="733"/>
    <s v="VID100733"/>
    <s v="20-02-2025"/>
    <s v="23-02-2025"/>
    <x v="2"/>
    <s v="CUST-1733"/>
    <s v="Diya Nair"/>
    <x v="2"/>
    <s v="India"/>
    <x v="0"/>
    <s v="Delhi"/>
    <n v="212971"/>
    <x v="0"/>
    <s v="PROD-2733"/>
    <x v="1"/>
    <x v="2"/>
    <s v="Samsung Galaxy"/>
    <n v="62050.03"/>
    <x v="0"/>
    <n v="62050.03"/>
    <e v="#N/A"/>
    <n v="9"/>
    <n v="0"/>
    <n v="4964"/>
    <x v="4"/>
    <x v="11"/>
    <x v="0"/>
  </r>
  <r>
    <n v="734"/>
    <s v="VID100734"/>
    <s v="08-02-2023"/>
    <s v="10-02-2023"/>
    <x v="3"/>
    <s v="CUST-1734"/>
    <s v="Pooja Hegde"/>
    <x v="2"/>
    <s v="India"/>
    <x v="3"/>
    <s v="Gujarat"/>
    <n v="317226"/>
    <x v="3"/>
    <s v="PROD-2734"/>
    <x v="1"/>
    <x v="2"/>
    <s v="Samsung Galaxy"/>
    <n v="64842.95"/>
    <x v="0"/>
    <n v="64842.95"/>
    <e v="#N/A"/>
    <n v="8"/>
    <n v="0.1"/>
    <n v="3566.36"/>
    <x v="3"/>
    <x v="11"/>
    <x v="3"/>
  </r>
  <r>
    <n v="735"/>
    <s v="VID100735"/>
    <s v="09-12-2022"/>
    <s v="14-12-2022"/>
    <x v="0"/>
    <s v="CUST-1735"/>
    <s v="Rohan Das"/>
    <x v="0"/>
    <s v="India"/>
    <x v="2"/>
    <s v="West Bengal"/>
    <n v="307770"/>
    <x v="2"/>
    <s v="PROD-2735"/>
    <x v="1"/>
    <x v="2"/>
    <s v="Samsung Galaxy"/>
    <n v="38074.19"/>
    <x v="0"/>
    <n v="38074.19"/>
    <e v="#N/A"/>
    <n v="5"/>
    <n v="0.3"/>
    <n v="190.37"/>
    <x v="2"/>
    <x v="1"/>
    <x v="18"/>
  </r>
  <r>
    <n v="736"/>
    <s v="VID100736"/>
    <s v="31-10-2021"/>
    <s v="03-11-2021"/>
    <x v="3"/>
    <s v="CUST-1736"/>
    <s v="Aarav Sharma"/>
    <x v="1"/>
    <s v="India"/>
    <x v="3"/>
    <s v="Gujarat"/>
    <n v="218819"/>
    <x v="3"/>
    <s v="PROD-2736"/>
    <x v="0"/>
    <x v="0"/>
    <s v="Office Chair"/>
    <n v="58547.46"/>
    <x v="0"/>
    <n v="58547.46"/>
    <e v="#N/A"/>
    <n v="7"/>
    <n v="0.3"/>
    <n v="292.74"/>
    <x v="0"/>
    <x v="7"/>
    <x v="4"/>
  </r>
  <r>
    <n v="737"/>
    <s v="VID100737"/>
    <s v="08-08-2025"/>
    <s v="09-08-2025"/>
    <x v="0"/>
    <s v="CUST-1737"/>
    <s v="Amit Verma"/>
    <x v="1"/>
    <s v="India"/>
    <x v="1"/>
    <s v="Karnataka"/>
    <n v="190388"/>
    <x v="1"/>
    <s v="PROD-2737"/>
    <x v="1"/>
    <x v="1"/>
    <s v="Dell Inspiron"/>
    <n v="98095.15"/>
    <x v="0"/>
    <n v="98095.15"/>
    <e v="#N/A"/>
    <n v="3"/>
    <n v="0.1"/>
    <n v="5395.23"/>
    <x v="4"/>
    <x v="2"/>
    <x v="3"/>
  </r>
  <r>
    <n v="738"/>
    <s v="VID100738"/>
    <s v="06-01-2024"/>
    <s v="12-01-2024"/>
    <x v="2"/>
    <s v="CUST-1738"/>
    <s v="Diya Nair"/>
    <x v="1"/>
    <s v="India"/>
    <x v="0"/>
    <s v="Delhi"/>
    <n v="772223"/>
    <x v="0"/>
    <s v="PROD-2738"/>
    <x v="2"/>
    <x v="3"/>
    <s v="A4 Paper"/>
    <n v="97656.62"/>
    <x v="0"/>
    <n v="97656.62"/>
    <e v="#N/A"/>
    <n v="6"/>
    <n v="0.3"/>
    <n v="488.28"/>
    <x v="1"/>
    <x v="8"/>
    <x v="15"/>
  </r>
  <r>
    <n v="739"/>
    <s v="VID100739"/>
    <s v="09-06-2022"/>
    <s v="10-06-2022"/>
    <x v="2"/>
    <s v="CUST-1739"/>
    <s v="Rohan Das"/>
    <x v="1"/>
    <s v="India"/>
    <x v="4"/>
    <s v="Maharashtra"/>
    <n v="984602"/>
    <x v="3"/>
    <s v="PROD-2739"/>
    <x v="0"/>
    <x v="0"/>
    <s v="Office Chair"/>
    <n v="87193.76"/>
    <x v="0"/>
    <n v="87193.76"/>
    <e v="#N/A"/>
    <n v="4"/>
    <n v="0.3"/>
    <n v="435.97"/>
    <x v="2"/>
    <x v="3"/>
    <x v="18"/>
  </r>
  <r>
    <n v="740"/>
    <s v="VID100740"/>
    <s v="12-10-2021"/>
    <s v="17-10-2021"/>
    <x v="0"/>
    <s v="CUST-1740"/>
    <s v="Pooja Hegde"/>
    <x v="1"/>
    <s v="India"/>
    <x v="4"/>
    <s v="Maharashtra"/>
    <n v="229568"/>
    <x v="3"/>
    <s v="PROD-2740"/>
    <x v="1"/>
    <x v="2"/>
    <s v="Samsung Galaxy"/>
    <n v="86569.11"/>
    <x v="0"/>
    <n v="86569.11"/>
    <e v="#N/A"/>
    <n v="5"/>
    <n v="0.1"/>
    <n v="4761.3"/>
    <x v="0"/>
    <x v="7"/>
    <x v="1"/>
  </r>
  <r>
    <n v="741"/>
    <s v="VID100741"/>
    <s v="11-08-2025"/>
    <s v="14-08-2025"/>
    <x v="1"/>
    <s v="CUST-1741"/>
    <s v="Rohan Das"/>
    <x v="2"/>
    <s v="India"/>
    <x v="4"/>
    <s v="Maharashtra"/>
    <n v="771634"/>
    <x v="3"/>
    <s v="PROD-2741"/>
    <x v="2"/>
    <x v="3"/>
    <s v="A4 Paper"/>
    <n v="83067.460000000006"/>
    <x v="0"/>
    <n v="83067.460000000006"/>
    <e v="#N/A"/>
    <n v="3"/>
    <n v="0.3"/>
    <n v="415.34"/>
    <x v="4"/>
    <x v="2"/>
    <x v="23"/>
  </r>
  <r>
    <n v="742"/>
    <s v="VID100742"/>
    <s v="14-02-2024"/>
    <s v="21-02-2024"/>
    <x v="3"/>
    <s v="CUST-1742"/>
    <s v="Ananya Mishra"/>
    <x v="1"/>
    <s v="India"/>
    <x v="0"/>
    <s v="Delhi"/>
    <n v="468161"/>
    <x v="0"/>
    <s v="PROD-2742"/>
    <x v="1"/>
    <x v="2"/>
    <s v="Samsung Galaxy"/>
    <n v="63937.98"/>
    <x v="0"/>
    <n v="63937.98"/>
    <e v="#N/A"/>
    <n v="8"/>
    <n v="0.1"/>
    <n v="3516.59"/>
    <x v="1"/>
    <x v="11"/>
    <x v="6"/>
  </r>
  <r>
    <n v="743"/>
    <s v="VID100743"/>
    <s v="24-05-2024"/>
    <s v="28-05-2024"/>
    <x v="3"/>
    <s v="CUST-1743"/>
    <s v="Amit Verma"/>
    <x v="0"/>
    <s v="India"/>
    <x v="4"/>
    <s v="Maharashtra"/>
    <n v="623609"/>
    <x v="3"/>
    <s v="PROD-2743"/>
    <x v="1"/>
    <x v="1"/>
    <s v="Dell Inspiron"/>
    <n v="85982.21"/>
    <x v="0"/>
    <n v="85982.21"/>
    <e v="#N/A"/>
    <n v="1"/>
    <n v="0.3"/>
    <n v="429.91"/>
    <x v="1"/>
    <x v="0"/>
    <x v="14"/>
  </r>
  <r>
    <n v="744"/>
    <s v="VID100744"/>
    <s v="13-06-2023"/>
    <s v="20-06-2023"/>
    <x v="3"/>
    <s v="CUST-1744"/>
    <s v="Priya Patel"/>
    <x v="2"/>
    <s v="India"/>
    <x v="0"/>
    <s v="Delhi"/>
    <n v="536241"/>
    <x v="0"/>
    <s v="PROD-2744"/>
    <x v="2"/>
    <x v="3"/>
    <s v="A4 Paper"/>
    <n v="32054.93"/>
    <x v="0"/>
    <n v="32054.93"/>
    <e v="#N/A"/>
    <n v="3"/>
    <n v="0.3"/>
    <n v="160.27000000000001"/>
    <x v="3"/>
    <x v="3"/>
    <x v="30"/>
  </r>
  <r>
    <n v="745"/>
    <s v="VID100745"/>
    <s v="27-05-2024"/>
    <s v="30-05-2024"/>
    <x v="1"/>
    <s v="CUST-1745"/>
    <s v="Ananya Mishra"/>
    <x v="2"/>
    <s v="India"/>
    <x v="0"/>
    <s v="Delhi"/>
    <n v="585392"/>
    <x v="0"/>
    <s v="PROD-2745"/>
    <x v="1"/>
    <x v="2"/>
    <s v="Samsung Galaxy"/>
    <n v="76768.490000000005"/>
    <x v="0"/>
    <n v="76768.490000000005"/>
    <e v="#N/A"/>
    <n v="3"/>
    <n v="0.3"/>
    <n v="383.84"/>
    <x v="1"/>
    <x v="0"/>
    <x v="7"/>
  </r>
  <r>
    <n v="746"/>
    <s v="VID100746"/>
    <s v="01-11-2025"/>
    <s v="04-11-2025"/>
    <x v="2"/>
    <s v="CUST-1746"/>
    <s v="Priya Patel"/>
    <x v="0"/>
    <s v="India"/>
    <x v="4"/>
    <s v="Maharashtra"/>
    <n v="816100"/>
    <x v="3"/>
    <s v="PROD-2746"/>
    <x v="0"/>
    <x v="0"/>
    <s v="Office Chair"/>
    <n v="56512.35"/>
    <x v="0"/>
    <n v="56512.35"/>
    <e v="#N/A"/>
    <n v="5"/>
    <n v="0.1"/>
    <n v="3108.18"/>
    <x v="4"/>
    <x v="9"/>
    <x v="11"/>
  </r>
  <r>
    <n v="747"/>
    <s v="VID100747"/>
    <s v="14-06-2021"/>
    <s v="17-06-2021"/>
    <x v="3"/>
    <s v="CUST-1747"/>
    <s v="Priya Patel"/>
    <x v="0"/>
    <s v="India"/>
    <x v="2"/>
    <s v="West Bengal"/>
    <n v="153632"/>
    <x v="2"/>
    <s v="PROD-2747"/>
    <x v="1"/>
    <x v="1"/>
    <s v="Dell Inspiron"/>
    <n v="96878.05"/>
    <x v="0"/>
    <n v="96878.05"/>
    <e v="#N/A"/>
    <n v="1"/>
    <n v="0"/>
    <n v="7750.24"/>
    <x v="0"/>
    <x v="3"/>
    <x v="6"/>
  </r>
  <r>
    <n v="748"/>
    <s v="VID100748"/>
    <s v="14-09-2021"/>
    <s v="17-09-2021"/>
    <x v="2"/>
    <s v="CUST-1748"/>
    <s v="Pooja Hegde"/>
    <x v="0"/>
    <s v="India"/>
    <x v="2"/>
    <s v="West Bengal"/>
    <n v="421149"/>
    <x v="2"/>
    <s v="PROD-2748"/>
    <x v="1"/>
    <x v="1"/>
    <s v="Dell Inspiron"/>
    <n v="25366.68"/>
    <x v="0"/>
    <n v="25366.68"/>
    <e v="#N/A"/>
    <n v="5"/>
    <n v="0.2"/>
    <n v="761"/>
    <x v="0"/>
    <x v="10"/>
    <x v="6"/>
  </r>
  <r>
    <n v="749"/>
    <s v="VID100749"/>
    <s v="17-08-2025"/>
    <s v="18-08-2025"/>
    <x v="2"/>
    <s v="CUST-1749"/>
    <s v="Diya Nair"/>
    <x v="0"/>
    <s v="India"/>
    <x v="2"/>
    <s v="West Bengal"/>
    <n v="287987"/>
    <x v="2"/>
    <s v="PROD-2749"/>
    <x v="1"/>
    <x v="1"/>
    <s v="Dell Inspiron"/>
    <n v="81659.7"/>
    <x v="0"/>
    <n v="81659.7"/>
    <e v="#N/A"/>
    <n v="6"/>
    <n v="0.1"/>
    <n v="4491.28"/>
    <x v="4"/>
    <x v="2"/>
    <x v="29"/>
  </r>
  <r>
    <n v="750"/>
    <s v="VID100750"/>
    <s v="06-08-2021"/>
    <s v="07-08-2021"/>
    <x v="2"/>
    <s v="CUST-1750"/>
    <s v="Vikram Singh"/>
    <x v="1"/>
    <s v="India"/>
    <x v="2"/>
    <s v="West Bengal"/>
    <n v="770950"/>
    <x v="2"/>
    <s v="PROD-2750"/>
    <x v="1"/>
    <x v="2"/>
    <s v="Samsung Galaxy"/>
    <n v="92640.26"/>
    <x v="0"/>
    <n v="92640.26"/>
    <e v="#N/A"/>
    <n v="2"/>
    <n v="0.2"/>
    <n v="2779.21"/>
    <x v="0"/>
    <x v="2"/>
    <x v="15"/>
  </r>
  <r>
    <n v="751"/>
    <s v="VID100751"/>
    <s v="20-11-2024"/>
    <s v="26-11-2024"/>
    <x v="0"/>
    <s v="CUST-1751"/>
    <s v="Ananya Mishra"/>
    <x v="2"/>
    <s v="India"/>
    <x v="4"/>
    <s v="Maharashtra"/>
    <n v="704939"/>
    <x v="3"/>
    <s v="PROD-2751"/>
    <x v="0"/>
    <x v="0"/>
    <s v="Office Chair"/>
    <n v="90378.07"/>
    <x v="0"/>
    <n v="90378.07"/>
    <e v="#N/A"/>
    <n v="10"/>
    <n v="0.1"/>
    <n v="4970.79"/>
    <x v="1"/>
    <x v="9"/>
    <x v="0"/>
  </r>
  <r>
    <n v="752"/>
    <s v="VID100752"/>
    <s v="18-06-2024"/>
    <s v="23-06-2024"/>
    <x v="1"/>
    <s v="CUST-1752"/>
    <s v="Diya Nair"/>
    <x v="2"/>
    <s v="India"/>
    <x v="0"/>
    <s v="Delhi"/>
    <n v="942348"/>
    <x v="0"/>
    <s v="PROD-2752"/>
    <x v="0"/>
    <x v="0"/>
    <s v="Office Chair"/>
    <n v="76776.58"/>
    <x v="0"/>
    <n v="76776.58"/>
    <e v="#N/A"/>
    <n v="1"/>
    <n v="0.1"/>
    <n v="4222.71"/>
    <x v="1"/>
    <x v="3"/>
    <x v="12"/>
  </r>
  <r>
    <n v="753"/>
    <s v="VID100753"/>
    <s v="28-08-2024"/>
    <s v="01-09-2024"/>
    <x v="0"/>
    <s v="CUST-1753"/>
    <s v="Aarav Sharma"/>
    <x v="0"/>
    <s v="India"/>
    <x v="0"/>
    <s v="Delhi"/>
    <n v="938903"/>
    <x v="0"/>
    <s v="PROD-2753"/>
    <x v="0"/>
    <x v="0"/>
    <s v="Office Chair"/>
    <n v="25594.82"/>
    <x v="0"/>
    <n v="25594.82"/>
    <e v="#N/A"/>
    <n v="10"/>
    <n v="0.2"/>
    <n v="767.84"/>
    <x v="1"/>
    <x v="2"/>
    <x v="13"/>
  </r>
  <r>
    <n v="754"/>
    <s v="VID100754"/>
    <s v="30-07-2021"/>
    <s v="03-08-2021"/>
    <x v="3"/>
    <s v="CUST-1754"/>
    <s v="Priya Patel"/>
    <x v="2"/>
    <s v="India"/>
    <x v="3"/>
    <s v="Gujarat"/>
    <n v="456073"/>
    <x v="3"/>
    <s v="PROD-2754"/>
    <x v="2"/>
    <x v="3"/>
    <s v="A4 Paper"/>
    <n v="76022.259999999995"/>
    <x v="0"/>
    <n v="76022.259999999995"/>
    <e v="#N/A"/>
    <n v="9"/>
    <n v="0.1"/>
    <n v="4181.22"/>
    <x v="0"/>
    <x v="6"/>
    <x v="16"/>
  </r>
  <r>
    <n v="755"/>
    <s v="VID100755"/>
    <s v="13-12-2024"/>
    <s v="18-12-2024"/>
    <x v="0"/>
    <s v="CUST-1755"/>
    <s v="Priya Patel"/>
    <x v="0"/>
    <s v="India"/>
    <x v="2"/>
    <s v="West Bengal"/>
    <n v="944371"/>
    <x v="2"/>
    <s v="PROD-2755"/>
    <x v="0"/>
    <x v="0"/>
    <s v="Office Chair"/>
    <n v="31574.58"/>
    <x v="0"/>
    <n v="31574.58"/>
    <e v="#N/A"/>
    <n v="6"/>
    <n v="0.1"/>
    <n v="1736.6"/>
    <x v="1"/>
    <x v="1"/>
    <x v="30"/>
  </r>
  <r>
    <n v="756"/>
    <s v="VID100756"/>
    <s v="25-11-2025"/>
    <s v="28-11-2025"/>
    <x v="0"/>
    <s v="CUST-1756"/>
    <s v="Ananya Mishra"/>
    <x v="2"/>
    <s v="India"/>
    <x v="0"/>
    <s v="Delhi"/>
    <n v="180717"/>
    <x v="0"/>
    <s v="PROD-2756"/>
    <x v="1"/>
    <x v="2"/>
    <s v="Samsung Galaxy"/>
    <n v="21171.51"/>
    <x v="0"/>
    <n v="21171.51"/>
    <e v="#N/A"/>
    <n v="1"/>
    <n v="0"/>
    <n v="1693.72"/>
    <x v="4"/>
    <x v="9"/>
    <x v="17"/>
  </r>
  <r>
    <n v="757"/>
    <s v="VID100757"/>
    <s v="29-04-2024"/>
    <s v="03-05-2024"/>
    <x v="0"/>
    <s v="CUST-1757"/>
    <s v="Aarav Sharma"/>
    <x v="0"/>
    <s v="India"/>
    <x v="0"/>
    <s v="Delhi"/>
    <n v="458569"/>
    <x v="0"/>
    <s v="PROD-2757"/>
    <x v="1"/>
    <x v="1"/>
    <s v="Dell Inspiron"/>
    <n v="68334.06"/>
    <x v="0"/>
    <n v="68334.06"/>
    <e v="#N/A"/>
    <n v="3"/>
    <n v="0.1"/>
    <n v="3758.37"/>
    <x v="1"/>
    <x v="4"/>
    <x v="19"/>
  </r>
  <r>
    <n v="758"/>
    <s v="VID100758"/>
    <s v="24-03-2021"/>
    <s v="31-03-2021"/>
    <x v="3"/>
    <s v="CUST-1758"/>
    <s v="Sneha Reddy"/>
    <x v="1"/>
    <s v="India"/>
    <x v="1"/>
    <s v="Karnataka"/>
    <n v="431757"/>
    <x v="1"/>
    <s v="PROD-2758"/>
    <x v="1"/>
    <x v="1"/>
    <s v="Dell Inspiron"/>
    <n v="69466.28"/>
    <x v="0"/>
    <n v="69466.28"/>
    <e v="#N/A"/>
    <n v="9"/>
    <n v="0"/>
    <n v="5557.3"/>
    <x v="0"/>
    <x v="5"/>
    <x v="14"/>
  </r>
  <r>
    <n v="759"/>
    <s v="VID100759"/>
    <s v="10-10-2022"/>
    <s v="13-10-2022"/>
    <x v="2"/>
    <s v="CUST-1759"/>
    <s v="Sneha Reddy"/>
    <x v="1"/>
    <s v="India"/>
    <x v="4"/>
    <s v="Maharashtra"/>
    <n v="608669"/>
    <x v="3"/>
    <s v="PROD-2759"/>
    <x v="2"/>
    <x v="3"/>
    <s v="A4 Paper"/>
    <n v="48076.07"/>
    <x v="0"/>
    <n v="48076.07"/>
    <e v="#N/A"/>
    <n v="4"/>
    <n v="0"/>
    <n v="3846.09"/>
    <x v="2"/>
    <x v="7"/>
    <x v="5"/>
  </r>
  <r>
    <n v="760"/>
    <s v="VID100760"/>
    <s v="25-02-2023"/>
    <s v="02-03-2023"/>
    <x v="3"/>
    <s v="CUST-1760"/>
    <s v="Sneha Reddy"/>
    <x v="1"/>
    <s v="India"/>
    <x v="2"/>
    <s v="West Bengal"/>
    <n v="771655"/>
    <x v="2"/>
    <s v="PROD-2760"/>
    <x v="2"/>
    <x v="3"/>
    <s v="A4 Paper"/>
    <n v="40079.699999999997"/>
    <x v="0"/>
    <n v="40079.699999999997"/>
    <e v="#N/A"/>
    <n v="1"/>
    <n v="0.2"/>
    <n v="1202.3900000000001"/>
    <x v="3"/>
    <x v="11"/>
    <x v="17"/>
  </r>
  <r>
    <n v="761"/>
    <s v="VID100761"/>
    <s v="03-09-2024"/>
    <s v="08-09-2024"/>
    <x v="0"/>
    <s v="CUST-1761"/>
    <s v="Ananya Mishra"/>
    <x v="1"/>
    <s v="India"/>
    <x v="2"/>
    <s v="West Bengal"/>
    <n v="815539"/>
    <x v="2"/>
    <s v="PROD-2761"/>
    <x v="2"/>
    <x v="3"/>
    <s v="A4 Paper"/>
    <n v="66934.03"/>
    <x v="0"/>
    <n v="66934.03"/>
    <e v="#N/A"/>
    <n v="9"/>
    <n v="0.3"/>
    <n v="334.67"/>
    <x v="1"/>
    <x v="10"/>
    <x v="9"/>
  </r>
  <r>
    <n v="762"/>
    <s v="VID100762"/>
    <s v="10-08-2021"/>
    <s v="15-08-2021"/>
    <x v="1"/>
    <s v="CUST-1762"/>
    <s v="Amit Verma"/>
    <x v="2"/>
    <s v="India"/>
    <x v="1"/>
    <s v="Karnataka"/>
    <n v="374386"/>
    <x v="1"/>
    <s v="PROD-2762"/>
    <x v="2"/>
    <x v="3"/>
    <s v="A4 Paper"/>
    <n v="6191.61"/>
    <x v="0"/>
    <n v="6191.61"/>
    <e v="#N/A"/>
    <n v="10"/>
    <n v="0"/>
    <n v="495.33"/>
    <x v="0"/>
    <x v="2"/>
    <x v="5"/>
  </r>
  <r>
    <n v="763"/>
    <s v="VID100763"/>
    <s v="12-07-2025"/>
    <s v="19-07-2025"/>
    <x v="2"/>
    <s v="CUST-1763"/>
    <s v="Rahul Joshi"/>
    <x v="0"/>
    <s v="India"/>
    <x v="0"/>
    <s v="Delhi"/>
    <n v="751584"/>
    <x v="0"/>
    <s v="PROD-2763"/>
    <x v="2"/>
    <x v="3"/>
    <s v="A4 Paper"/>
    <n v="91214.99"/>
    <x v="0"/>
    <n v="91214.99"/>
    <e v="#N/A"/>
    <n v="2"/>
    <n v="0.2"/>
    <n v="2736.45"/>
    <x v="4"/>
    <x v="6"/>
    <x v="1"/>
  </r>
  <r>
    <n v="764"/>
    <s v="VID100764"/>
    <s v="01-09-2025"/>
    <s v="04-09-2025"/>
    <x v="1"/>
    <s v="CUST-1764"/>
    <s v="Rahul Joshi"/>
    <x v="0"/>
    <s v="India"/>
    <x v="2"/>
    <s v="West Bengal"/>
    <n v="152506"/>
    <x v="2"/>
    <s v="PROD-2764"/>
    <x v="1"/>
    <x v="2"/>
    <s v="Samsung Galaxy"/>
    <n v="89632.34"/>
    <x v="0"/>
    <n v="89632.34"/>
    <e v="#N/A"/>
    <n v="3"/>
    <n v="0.3"/>
    <n v="448.16"/>
    <x v="4"/>
    <x v="10"/>
    <x v="11"/>
  </r>
  <r>
    <n v="765"/>
    <s v="VID100765"/>
    <s v="16-09-2023"/>
    <s v="21-09-2023"/>
    <x v="2"/>
    <s v="CUST-1765"/>
    <s v="Rohan Das"/>
    <x v="0"/>
    <s v="India"/>
    <x v="0"/>
    <s v="Delhi"/>
    <n v="590847"/>
    <x v="0"/>
    <s v="PROD-2765"/>
    <x v="1"/>
    <x v="2"/>
    <s v="Samsung Galaxy"/>
    <n v="44485.23"/>
    <x v="0"/>
    <n v="44485.23"/>
    <e v="#N/A"/>
    <n v="7"/>
    <n v="0.3"/>
    <n v="222.43"/>
    <x v="3"/>
    <x v="10"/>
    <x v="20"/>
  </r>
  <r>
    <n v="766"/>
    <s v="VID100766"/>
    <s v="25-06-2021"/>
    <s v="02-07-2021"/>
    <x v="0"/>
    <s v="CUST-1766"/>
    <s v="Rohan Das"/>
    <x v="1"/>
    <s v="India"/>
    <x v="1"/>
    <s v="Karnataka"/>
    <n v="860266"/>
    <x v="1"/>
    <s v="PROD-2766"/>
    <x v="0"/>
    <x v="0"/>
    <s v="Office Chair"/>
    <n v="22877.32"/>
    <x v="0"/>
    <n v="22877.32"/>
    <e v="#N/A"/>
    <n v="1"/>
    <n v="0.1"/>
    <n v="1258.25"/>
    <x v="0"/>
    <x v="3"/>
    <x v="17"/>
  </r>
  <r>
    <n v="767"/>
    <s v="VID100767"/>
    <s v="09-07-2024"/>
    <s v="15-07-2024"/>
    <x v="2"/>
    <s v="CUST-1767"/>
    <s v="Sneha Reddy"/>
    <x v="0"/>
    <s v="India"/>
    <x v="3"/>
    <s v="Gujarat"/>
    <n v="466921"/>
    <x v="3"/>
    <s v="PROD-2767"/>
    <x v="2"/>
    <x v="3"/>
    <s v="A4 Paper"/>
    <n v="31459.45"/>
    <x v="0"/>
    <n v="31459.45"/>
    <e v="#N/A"/>
    <n v="1"/>
    <n v="0"/>
    <n v="2516.7600000000002"/>
    <x v="1"/>
    <x v="6"/>
    <x v="18"/>
  </r>
  <r>
    <n v="768"/>
    <s v="VID100768"/>
    <s v="09-07-2024"/>
    <s v="16-07-2024"/>
    <x v="2"/>
    <s v="CUST-1768"/>
    <s v="Ananya Mishra"/>
    <x v="2"/>
    <s v="India"/>
    <x v="3"/>
    <s v="Gujarat"/>
    <n v="410451"/>
    <x v="3"/>
    <s v="PROD-2768"/>
    <x v="1"/>
    <x v="1"/>
    <s v="Dell Inspiron"/>
    <n v="71658.47"/>
    <x v="0"/>
    <n v="71658.47"/>
    <e v="#N/A"/>
    <n v="9"/>
    <n v="0.3"/>
    <n v="358.29"/>
    <x v="1"/>
    <x v="6"/>
    <x v="18"/>
  </r>
  <r>
    <n v="769"/>
    <s v="VID100769"/>
    <s v="18-01-2021"/>
    <s v="20-01-2021"/>
    <x v="3"/>
    <s v="CUST-1769"/>
    <s v="Rohan Das"/>
    <x v="1"/>
    <s v="India"/>
    <x v="3"/>
    <s v="Gujarat"/>
    <n v="229133"/>
    <x v="3"/>
    <s v="PROD-2769"/>
    <x v="2"/>
    <x v="3"/>
    <s v="A4 Paper"/>
    <n v="43960.73"/>
    <x v="0"/>
    <n v="43960.73"/>
    <e v="#N/A"/>
    <n v="8"/>
    <n v="0"/>
    <n v="3516.86"/>
    <x v="0"/>
    <x v="8"/>
    <x v="12"/>
  </r>
  <r>
    <n v="770"/>
    <s v="VID100770"/>
    <s v="27-08-2023"/>
    <s v="03-09-2023"/>
    <x v="1"/>
    <s v="CUST-1770"/>
    <s v="Priya Patel"/>
    <x v="2"/>
    <s v="India"/>
    <x v="4"/>
    <s v="Maharashtra"/>
    <n v="729675"/>
    <x v="3"/>
    <s v="PROD-2770"/>
    <x v="1"/>
    <x v="2"/>
    <s v="Samsung Galaxy"/>
    <n v="38879.71"/>
    <x v="0"/>
    <n v="38879.71"/>
    <e v="#N/A"/>
    <n v="10"/>
    <n v="0"/>
    <n v="3110.38"/>
    <x v="3"/>
    <x v="2"/>
    <x v="7"/>
  </r>
  <r>
    <n v="771"/>
    <s v="VID100771"/>
    <s v="03-02-2024"/>
    <s v="04-02-2024"/>
    <x v="3"/>
    <s v="CUST-1771"/>
    <s v="Priya Patel"/>
    <x v="2"/>
    <s v="India"/>
    <x v="1"/>
    <s v="Karnataka"/>
    <n v="725950"/>
    <x v="1"/>
    <s v="PROD-2771"/>
    <x v="1"/>
    <x v="2"/>
    <s v="Samsung Galaxy"/>
    <n v="20941.39"/>
    <x v="0"/>
    <n v="20941.39"/>
    <e v="#N/A"/>
    <n v="3"/>
    <n v="0.2"/>
    <n v="628.24"/>
    <x v="1"/>
    <x v="11"/>
    <x v="9"/>
  </r>
  <r>
    <n v="772"/>
    <s v="VID100772"/>
    <s v="20-06-2021"/>
    <s v="24-06-2021"/>
    <x v="3"/>
    <s v="CUST-1772"/>
    <s v="Diya Nair"/>
    <x v="1"/>
    <s v="India"/>
    <x v="2"/>
    <s v="West Bengal"/>
    <n v="820593"/>
    <x v="2"/>
    <s v="PROD-2772"/>
    <x v="2"/>
    <x v="3"/>
    <s v="A4 Paper"/>
    <n v="99680.34"/>
    <x v="0"/>
    <n v="99680.34"/>
    <e v="#N/A"/>
    <n v="2"/>
    <n v="0.2"/>
    <n v="2990.41"/>
    <x v="0"/>
    <x v="3"/>
    <x v="0"/>
  </r>
  <r>
    <n v="773"/>
    <s v="VID100773"/>
    <s v="01-08-2023"/>
    <s v="05-08-2023"/>
    <x v="2"/>
    <s v="CUST-1773"/>
    <s v="Pooja Hegde"/>
    <x v="1"/>
    <s v="India"/>
    <x v="1"/>
    <s v="Karnataka"/>
    <n v="721834"/>
    <x v="1"/>
    <s v="PROD-2773"/>
    <x v="2"/>
    <x v="3"/>
    <s v="A4 Paper"/>
    <n v="46225.51"/>
    <x v="0"/>
    <n v="46225.51"/>
    <e v="#N/A"/>
    <n v="6"/>
    <n v="0.2"/>
    <n v="1386.77"/>
    <x v="3"/>
    <x v="2"/>
    <x v="11"/>
  </r>
  <r>
    <n v="774"/>
    <s v="VID100774"/>
    <s v="24-07-2023"/>
    <s v="30-07-2023"/>
    <x v="2"/>
    <s v="CUST-1774"/>
    <s v="Rahul Joshi"/>
    <x v="1"/>
    <s v="India"/>
    <x v="1"/>
    <s v="Karnataka"/>
    <n v="653736"/>
    <x v="1"/>
    <s v="PROD-2774"/>
    <x v="0"/>
    <x v="0"/>
    <s v="Office Chair"/>
    <n v="9603.8700000000008"/>
    <x v="0"/>
    <n v="9603.8700000000008"/>
    <e v="#N/A"/>
    <n v="1"/>
    <n v="0.3"/>
    <n v="48.02"/>
    <x v="3"/>
    <x v="6"/>
    <x v="14"/>
  </r>
  <r>
    <n v="775"/>
    <s v="VID100775"/>
    <s v="09-01-2024"/>
    <s v="11-01-2024"/>
    <x v="1"/>
    <s v="CUST-1775"/>
    <s v="Vikram Singh"/>
    <x v="1"/>
    <s v="India"/>
    <x v="3"/>
    <s v="Gujarat"/>
    <n v="228142"/>
    <x v="3"/>
    <s v="PROD-2775"/>
    <x v="2"/>
    <x v="3"/>
    <s v="A4 Paper"/>
    <n v="27564.09"/>
    <x v="0"/>
    <n v="27564.09"/>
    <e v="#N/A"/>
    <n v="2"/>
    <n v="0"/>
    <n v="2205.13"/>
    <x v="1"/>
    <x v="8"/>
    <x v="18"/>
  </r>
  <r>
    <n v="776"/>
    <s v="VID100776"/>
    <s v="11-02-2025"/>
    <s v="14-02-2025"/>
    <x v="1"/>
    <s v="CUST-1776"/>
    <s v="Diya Nair"/>
    <x v="1"/>
    <s v="India"/>
    <x v="3"/>
    <s v="Gujarat"/>
    <n v="390982"/>
    <x v="3"/>
    <s v="PROD-2776"/>
    <x v="1"/>
    <x v="1"/>
    <s v="Dell Inspiron"/>
    <n v="12597.51"/>
    <x v="0"/>
    <n v="12597.51"/>
    <e v="#N/A"/>
    <n v="3"/>
    <n v="0"/>
    <n v="1007.8"/>
    <x v="4"/>
    <x v="11"/>
    <x v="23"/>
  </r>
  <r>
    <n v="777"/>
    <s v="VID100777"/>
    <s v="15-09-2025"/>
    <s v="16-09-2025"/>
    <x v="0"/>
    <s v="CUST-1777"/>
    <s v="Pooja Hegde"/>
    <x v="0"/>
    <s v="India"/>
    <x v="2"/>
    <s v="West Bengal"/>
    <n v="420405"/>
    <x v="2"/>
    <s v="PROD-2777"/>
    <x v="1"/>
    <x v="1"/>
    <s v="Dell Inspiron"/>
    <n v="57045.06"/>
    <x v="0"/>
    <n v="57045.06"/>
    <e v="#N/A"/>
    <n v="8"/>
    <n v="0"/>
    <n v="4563.6000000000004"/>
    <x v="4"/>
    <x v="10"/>
    <x v="28"/>
  </r>
  <r>
    <n v="778"/>
    <s v="VID100778"/>
    <s v="02-08-2021"/>
    <s v="06-08-2021"/>
    <x v="0"/>
    <s v="CUST-1778"/>
    <s v="Sneha Reddy"/>
    <x v="1"/>
    <s v="India"/>
    <x v="0"/>
    <s v="Delhi"/>
    <n v="393223"/>
    <x v="0"/>
    <s v="PROD-2778"/>
    <x v="1"/>
    <x v="2"/>
    <s v="Samsung Galaxy"/>
    <n v="71711.31"/>
    <x v="0"/>
    <n v="71711.31"/>
    <e v="#N/A"/>
    <n v="7"/>
    <n v="0.3"/>
    <n v="358.56"/>
    <x v="0"/>
    <x v="2"/>
    <x v="10"/>
  </r>
  <r>
    <n v="779"/>
    <s v="VID100779"/>
    <s v="25-10-2021"/>
    <s v="28-10-2021"/>
    <x v="3"/>
    <s v="CUST-1779"/>
    <s v="Rohan Das"/>
    <x v="1"/>
    <s v="India"/>
    <x v="4"/>
    <s v="Maharashtra"/>
    <n v="402605"/>
    <x v="3"/>
    <s v="PROD-2779"/>
    <x v="2"/>
    <x v="3"/>
    <s v="A4 Paper"/>
    <n v="19584.64"/>
    <x v="0"/>
    <n v="19584.64"/>
    <e v="#N/A"/>
    <n v="8"/>
    <n v="0"/>
    <n v="1566.77"/>
    <x v="0"/>
    <x v="7"/>
    <x v="17"/>
  </r>
  <r>
    <n v="780"/>
    <s v="VID100780"/>
    <s v="30-07-2025"/>
    <s v="06-08-2025"/>
    <x v="3"/>
    <s v="CUST-1780"/>
    <s v="Ananya Mishra"/>
    <x v="1"/>
    <s v="India"/>
    <x v="1"/>
    <s v="Karnataka"/>
    <n v="913001"/>
    <x v="1"/>
    <s v="PROD-2780"/>
    <x v="1"/>
    <x v="1"/>
    <s v="Dell Inspiron"/>
    <n v="78288.39"/>
    <x v="0"/>
    <n v="78288.39"/>
    <e v="#N/A"/>
    <n v="3"/>
    <n v="0"/>
    <n v="6263.07"/>
    <x v="4"/>
    <x v="6"/>
    <x v="16"/>
  </r>
  <r>
    <n v="781"/>
    <s v="VID100781"/>
    <s v="24-10-2023"/>
    <s v="31-10-2023"/>
    <x v="2"/>
    <s v="CUST-1781"/>
    <s v="Ananya Mishra"/>
    <x v="1"/>
    <s v="India"/>
    <x v="4"/>
    <s v="Maharashtra"/>
    <n v="685372"/>
    <x v="3"/>
    <s v="PROD-2781"/>
    <x v="1"/>
    <x v="1"/>
    <s v="Dell Inspiron"/>
    <n v="10017.040000000001"/>
    <x v="0"/>
    <n v="10017.040000000001"/>
    <e v="#N/A"/>
    <n v="10"/>
    <n v="0.2"/>
    <n v="300.51"/>
    <x v="3"/>
    <x v="7"/>
    <x v="14"/>
  </r>
  <r>
    <n v="782"/>
    <s v="VID100782"/>
    <s v="10-04-2024"/>
    <s v="13-04-2024"/>
    <x v="1"/>
    <s v="CUST-1782"/>
    <s v="Rahul Joshi"/>
    <x v="0"/>
    <s v="India"/>
    <x v="2"/>
    <s v="West Bengal"/>
    <n v="963985"/>
    <x v="2"/>
    <s v="PROD-2782"/>
    <x v="2"/>
    <x v="3"/>
    <s v="A4 Paper"/>
    <n v="21333.73"/>
    <x v="0"/>
    <n v="21333.73"/>
    <e v="#N/A"/>
    <n v="5"/>
    <n v="0.2"/>
    <n v="640.01"/>
    <x v="1"/>
    <x v="4"/>
    <x v="5"/>
  </r>
  <r>
    <n v="783"/>
    <s v="VID100783"/>
    <s v="24-05-2022"/>
    <s v="28-05-2022"/>
    <x v="1"/>
    <s v="CUST-1783"/>
    <s v="Priya Patel"/>
    <x v="1"/>
    <s v="India"/>
    <x v="1"/>
    <s v="Karnataka"/>
    <n v="785192"/>
    <x v="1"/>
    <s v="PROD-2783"/>
    <x v="0"/>
    <x v="0"/>
    <s v="Office Chair"/>
    <n v="95866.69"/>
    <x v="0"/>
    <n v="95866.69"/>
    <e v="#N/A"/>
    <n v="1"/>
    <n v="0.3"/>
    <n v="479.33"/>
    <x v="2"/>
    <x v="0"/>
    <x v="14"/>
  </r>
  <r>
    <n v="784"/>
    <s v="VID100784"/>
    <s v="01-12-2023"/>
    <s v="08-12-2023"/>
    <x v="0"/>
    <s v="CUST-1784"/>
    <s v="Priya Patel"/>
    <x v="1"/>
    <s v="India"/>
    <x v="2"/>
    <s v="West Bengal"/>
    <n v="828040"/>
    <x v="2"/>
    <s v="PROD-2784"/>
    <x v="1"/>
    <x v="2"/>
    <s v="Samsung Galaxy"/>
    <n v="63744.57"/>
    <x v="0"/>
    <n v="63744.57"/>
    <e v="#N/A"/>
    <n v="4"/>
    <n v="0.1"/>
    <n v="3505.95"/>
    <x v="3"/>
    <x v="1"/>
    <x v="11"/>
  </r>
  <r>
    <n v="785"/>
    <s v="VID100785"/>
    <s v="05-07-2021"/>
    <s v="07-07-2021"/>
    <x v="1"/>
    <s v="CUST-1785"/>
    <s v="Pooja Hegde"/>
    <x v="0"/>
    <s v="India"/>
    <x v="2"/>
    <s v="West Bengal"/>
    <n v="477395"/>
    <x v="2"/>
    <s v="PROD-2785"/>
    <x v="2"/>
    <x v="3"/>
    <s v="A4 Paper"/>
    <n v="84495.14"/>
    <x v="0"/>
    <n v="84495.14"/>
    <e v="#N/A"/>
    <n v="9"/>
    <n v="0"/>
    <n v="6759.61"/>
    <x v="0"/>
    <x v="6"/>
    <x v="25"/>
  </r>
  <r>
    <n v="786"/>
    <s v="VID100786"/>
    <s v="17-07-2022"/>
    <s v="22-07-2022"/>
    <x v="2"/>
    <s v="CUST-1786"/>
    <s v="Priya Patel"/>
    <x v="1"/>
    <s v="India"/>
    <x v="2"/>
    <s v="West Bengal"/>
    <n v="407365"/>
    <x v="2"/>
    <s v="PROD-2786"/>
    <x v="2"/>
    <x v="3"/>
    <s v="A4 Paper"/>
    <n v="47368.21"/>
    <x v="0"/>
    <n v="47368.21"/>
    <e v="#N/A"/>
    <n v="2"/>
    <n v="0.2"/>
    <n v="1421.05"/>
    <x v="2"/>
    <x v="6"/>
    <x v="29"/>
  </r>
  <r>
    <n v="787"/>
    <s v="VID100787"/>
    <s v="08-08-2025"/>
    <s v="15-08-2025"/>
    <x v="0"/>
    <s v="CUST-1787"/>
    <s v="Amit Verma"/>
    <x v="1"/>
    <s v="India"/>
    <x v="3"/>
    <s v="Gujarat"/>
    <n v="879664"/>
    <x v="3"/>
    <s v="PROD-2787"/>
    <x v="1"/>
    <x v="2"/>
    <s v="Samsung Galaxy"/>
    <n v="2976.51"/>
    <x v="0"/>
    <n v="2976.51"/>
    <e v="#N/A"/>
    <n v="5"/>
    <n v="0"/>
    <n v="238.12"/>
    <x v="4"/>
    <x v="2"/>
    <x v="3"/>
  </r>
  <r>
    <n v="788"/>
    <s v="VID100788"/>
    <s v="23-11-2024"/>
    <s v="27-11-2024"/>
    <x v="0"/>
    <s v="CUST-1788"/>
    <s v="Ananya Mishra"/>
    <x v="2"/>
    <s v="India"/>
    <x v="2"/>
    <s v="West Bengal"/>
    <n v="177537"/>
    <x v="2"/>
    <s v="PROD-2788"/>
    <x v="2"/>
    <x v="3"/>
    <s v="A4 Paper"/>
    <n v="52566.74"/>
    <x v="0"/>
    <n v="52566.74"/>
    <e v="#N/A"/>
    <n v="3"/>
    <n v="0.3"/>
    <n v="262.83"/>
    <x v="1"/>
    <x v="9"/>
    <x v="24"/>
  </r>
  <r>
    <n v="789"/>
    <s v="VID100789"/>
    <s v="12-09-2022"/>
    <s v="18-09-2022"/>
    <x v="2"/>
    <s v="CUST-1789"/>
    <s v="Rohan Das"/>
    <x v="2"/>
    <s v="India"/>
    <x v="3"/>
    <s v="Gujarat"/>
    <n v="759879"/>
    <x v="3"/>
    <s v="PROD-2789"/>
    <x v="1"/>
    <x v="1"/>
    <s v="Dell Inspiron"/>
    <n v="53488.59"/>
    <x v="0"/>
    <n v="53488.59"/>
    <e v="#N/A"/>
    <n v="10"/>
    <n v="0.1"/>
    <n v="2941.87"/>
    <x v="2"/>
    <x v="10"/>
    <x v="1"/>
  </r>
  <r>
    <n v="790"/>
    <s v="VID100790"/>
    <s v="09-12-2024"/>
    <s v="13-12-2024"/>
    <x v="2"/>
    <s v="CUST-1790"/>
    <s v="Amit Verma"/>
    <x v="1"/>
    <s v="India"/>
    <x v="3"/>
    <s v="Gujarat"/>
    <n v="938559"/>
    <x v="3"/>
    <s v="PROD-2790"/>
    <x v="1"/>
    <x v="2"/>
    <s v="Samsung Galaxy"/>
    <n v="19187.73"/>
    <x v="0"/>
    <n v="19187.73"/>
    <e v="#N/A"/>
    <n v="7"/>
    <n v="0.1"/>
    <n v="1055.33"/>
    <x v="1"/>
    <x v="1"/>
    <x v="18"/>
  </r>
  <r>
    <n v="791"/>
    <s v="VID100791"/>
    <s v="12-10-2023"/>
    <s v="14-10-2023"/>
    <x v="2"/>
    <s v="CUST-1791"/>
    <s v="Sneha Reddy"/>
    <x v="0"/>
    <s v="India"/>
    <x v="0"/>
    <s v="Delhi"/>
    <n v="685450"/>
    <x v="0"/>
    <s v="PROD-2791"/>
    <x v="2"/>
    <x v="3"/>
    <s v="A4 Paper"/>
    <n v="18983.099999999999"/>
    <x v="0"/>
    <n v="18983.099999999999"/>
    <e v="#N/A"/>
    <n v="4"/>
    <n v="0.2"/>
    <n v="569.49"/>
    <x v="3"/>
    <x v="7"/>
    <x v="1"/>
  </r>
  <r>
    <n v="792"/>
    <s v="VID100792"/>
    <s v="08-11-2024"/>
    <s v="10-11-2024"/>
    <x v="3"/>
    <s v="CUST-1792"/>
    <s v="Rohan Das"/>
    <x v="1"/>
    <s v="India"/>
    <x v="1"/>
    <s v="Karnataka"/>
    <n v="579720"/>
    <x v="1"/>
    <s v="PROD-2792"/>
    <x v="1"/>
    <x v="1"/>
    <s v="Dell Inspiron"/>
    <n v="9333.4699999999993"/>
    <x v="0"/>
    <n v="9333.4699999999993"/>
    <e v="#N/A"/>
    <n v="6"/>
    <n v="0.2"/>
    <n v="280"/>
    <x v="1"/>
    <x v="9"/>
    <x v="3"/>
  </r>
  <r>
    <n v="793"/>
    <s v="VID100793"/>
    <s v="25-04-2024"/>
    <s v="29-04-2024"/>
    <x v="2"/>
    <s v="CUST-1793"/>
    <s v="Priya Patel"/>
    <x v="2"/>
    <s v="India"/>
    <x v="1"/>
    <s v="Karnataka"/>
    <n v="773672"/>
    <x v="1"/>
    <s v="PROD-2793"/>
    <x v="1"/>
    <x v="1"/>
    <s v="Dell Inspiron"/>
    <n v="26923.65"/>
    <x v="0"/>
    <n v="26923.65"/>
    <e v="#N/A"/>
    <n v="2"/>
    <n v="0.2"/>
    <n v="807.71"/>
    <x v="1"/>
    <x v="4"/>
    <x v="17"/>
  </r>
  <r>
    <n v="794"/>
    <s v="VID100794"/>
    <s v="27-01-2023"/>
    <s v="01-02-2023"/>
    <x v="2"/>
    <s v="CUST-1794"/>
    <s v="Rahul Joshi"/>
    <x v="2"/>
    <s v="India"/>
    <x v="2"/>
    <s v="West Bengal"/>
    <n v="626867"/>
    <x v="2"/>
    <s v="PROD-2794"/>
    <x v="1"/>
    <x v="2"/>
    <s v="Samsung Galaxy"/>
    <n v="42067.46"/>
    <x v="0"/>
    <n v="42067.46"/>
    <e v="#N/A"/>
    <n v="1"/>
    <n v="0.2"/>
    <n v="1262.02"/>
    <x v="3"/>
    <x v="8"/>
    <x v="7"/>
  </r>
  <r>
    <n v="795"/>
    <s v="VID100795"/>
    <s v="21-06-2022"/>
    <s v="26-06-2022"/>
    <x v="3"/>
    <s v="CUST-1795"/>
    <s v="Rohan Das"/>
    <x v="1"/>
    <s v="India"/>
    <x v="2"/>
    <s v="West Bengal"/>
    <n v="295872"/>
    <x v="2"/>
    <s v="PROD-2795"/>
    <x v="1"/>
    <x v="1"/>
    <s v="Dell Inspiron"/>
    <n v="9262.2900000000009"/>
    <x v="0"/>
    <n v="9262.2900000000009"/>
    <e v="#N/A"/>
    <n v="9"/>
    <n v="0.1"/>
    <n v="509.43"/>
    <x v="2"/>
    <x v="3"/>
    <x v="26"/>
  </r>
  <r>
    <n v="796"/>
    <s v="VID100796"/>
    <s v="29-12-2025"/>
    <s v="05-01-2026"/>
    <x v="2"/>
    <s v="CUST-1796"/>
    <s v="Priya Patel"/>
    <x v="2"/>
    <s v="India"/>
    <x v="1"/>
    <s v="Karnataka"/>
    <n v="697842"/>
    <x v="1"/>
    <s v="PROD-2796"/>
    <x v="1"/>
    <x v="2"/>
    <s v="Samsung Galaxy"/>
    <n v="18090.75"/>
    <x v="0"/>
    <n v="18090.75"/>
    <e v="#N/A"/>
    <n v="8"/>
    <n v="0"/>
    <n v="1447.26"/>
    <x v="4"/>
    <x v="1"/>
    <x v="19"/>
  </r>
  <r>
    <n v="797"/>
    <s v="VID100797"/>
    <s v="21-09-2024"/>
    <s v="26-09-2024"/>
    <x v="0"/>
    <s v="CUST-1797"/>
    <s v="Priya Patel"/>
    <x v="0"/>
    <s v="India"/>
    <x v="0"/>
    <s v="Delhi"/>
    <n v="856605"/>
    <x v="0"/>
    <s v="PROD-2797"/>
    <x v="2"/>
    <x v="3"/>
    <s v="A4 Paper"/>
    <n v="22513.05"/>
    <x v="0"/>
    <n v="22513.05"/>
    <e v="#N/A"/>
    <n v="6"/>
    <n v="0.1"/>
    <n v="1238.22"/>
    <x v="1"/>
    <x v="10"/>
    <x v="26"/>
  </r>
  <r>
    <n v="798"/>
    <s v="VID100798"/>
    <s v="09-10-2025"/>
    <s v="11-10-2025"/>
    <x v="0"/>
    <s v="CUST-1798"/>
    <s v="Pooja Hegde"/>
    <x v="2"/>
    <s v="India"/>
    <x v="1"/>
    <s v="Karnataka"/>
    <n v="449241"/>
    <x v="1"/>
    <s v="PROD-2798"/>
    <x v="0"/>
    <x v="0"/>
    <s v="Office Chair"/>
    <n v="39650"/>
    <x v="0"/>
    <n v="39650"/>
    <e v="#N/A"/>
    <n v="2"/>
    <n v="0"/>
    <n v="3172"/>
    <x v="4"/>
    <x v="7"/>
    <x v="18"/>
  </r>
  <r>
    <n v="799"/>
    <s v="VID100799"/>
    <s v="14-12-2025"/>
    <s v="21-12-2025"/>
    <x v="1"/>
    <s v="CUST-1799"/>
    <s v="Vikram Singh"/>
    <x v="2"/>
    <s v="India"/>
    <x v="1"/>
    <s v="Karnataka"/>
    <n v="568225"/>
    <x v="1"/>
    <s v="PROD-2799"/>
    <x v="0"/>
    <x v="0"/>
    <s v="Office Chair"/>
    <n v="8213.66"/>
    <x v="0"/>
    <n v="8213.66"/>
    <e v="#N/A"/>
    <n v="1"/>
    <n v="0.3"/>
    <n v="41.07"/>
    <x v="4"/>
    <x v="1"/>
    <x v="6"/>
  </r>
  <r>
    <n v="800"/>
    <s v="VID100800"/>
    <s v="09-11-2021"/>
    <s v="12-11-2021"/>
    <x v="2"/>
    <s v="CUST-1800"/>
    <s v="Pooja Hegde"/>
    <x v="0"/>
    <s v="India"/>
    <x v="0"/>
    <s v="Delhi"/>
    <n v="490349"/>
    <x v="0"/>
    <s v="PROD-2800"/>
    <x v="2"/>
    <x v="3"/>
    <s v="A4 Paper"/>
    <n v="4697.68"/>
    <x v="0"/>
    <n v="4697.68"/>
    <e v="#N/A"/>
    <n v="7"/>
    <n v="0"/>
    <n v="375.81"/>
    <x v="0"/>
    <x v="9"/>
    <x v="18"/>
  </r>
  <r>
    <n v="801"/>
    <s v="VID100801"/>
    <s v="16-09-2025"/>
    <s v="18-09-2025"/>
    <x v="0"/>
    <s v="CUST-1801"/>
    <s v="Diya Nair"/>
    <x v="0"/>
    <s v="India"/>
    <x v="3"/>
    <s v="Gujarat"/>
    <n v="436455"/>
    <x v="3"/>
    <s v="PROD-2801"/>
    <x v="2"/>
    <x v="3"/>
    <s v="A4 Paper"/>
    <n v="66319.03"/>
    <x v="0"/>
    <n v="66319.03"/>
    <e v="#N/A"/>
    <n v="1"/>
    <n v="0.2"/>
    <n v="1989.57"/>
    <x v="4"/>
    <x v="10"/>
    <x v="20"/>
  </r>
  <r>
    <n v="802"/>
    <s v="VID100802"/>
    <s v="21-08-2021"/>
    <s v="25-08-2021"/>
    <x v="3"/>
    <s v="CUST-1802"/>
    <s v="Amit Verma"/>
    <x v="1"/>
    <s v="India"/>
    <x v="0"/>
    <s v="Delhi"/>
    <n v="141638"/>
    <x v="0"/>
    <s v="PROD-2802"/>
    <x v="1"/>
    <x v="2"/>
    <s v="Samsung Galaxy"/>
    <n v="6182.15"/>
    <x v="0"/>
    <n v="6182.15"/>
    <e v="#N/A"/>
    <n v="3"/>
    <n v="0.2"/>
    <n v="185.46"/>
    <x v="0"/>
    <x v="2"/>
    <x v="26"/>
  </r>
  <r>
    <n v="803"/>
    <s v="VID100803"/>
    <s v="27-06-2024"/>
    <s v="28-06-2024"/>
    <x v="1"/>
    <s v="CUST-1803"/>
    <s v="Rohan Das"/>
    <x v="0"/>
    <s v="India"/>
    <x v="4"/>
    <s v="Maharashtra"/>
    <n v="915993"/>
    <x v="3"/>
    <s v="PROD-2803"/>
    <x v="0"/>
    <x v="0"/>
    <s v="Office Chair"/>
    <n v="32871.67"/>
    <x v="0"/>
    <n v="32871.67"/>
    <e v="#N/A"/>
    <n v="10"/>
    <n v="0.3"/>
    <n v="164.36"/>
    <x v="1"/>
    <x v="3"/>
    <x v="7"/>
  </r>
  <r>
    <n v="804"/>
    <s v="VID100804"/>
    <s v="19-02-2021"/>
    <s v="22-02-2021"/>
    <x v="2"/>
    <s v="CUST-1804"/>
    <s v="Vikram Singh"/>
    <x v="1"/>
    <s v="India"/>
    <x v="4"/>
    <s v="Maharashtra"/>
    <n v="996760"/>
    <x v="3"/>
    <s v="PROD-2804"/>
    <x v="0"/>
    <x v="0"/>
    <s v="Office Chair"/>
    <n v="6678.6"/>
    <x v="0"/>
    <n v="6678.6"/>
    <e v="#N/A"/>
    <n v="1"/>
    <n v="0.3"/>
    <n v="33.39"/>
    <x v="0"/>
    <x v="11"/>
    <x v="27"/>
  </r>
  <r>
    <n v="805"/>
    <s v="VID100805"/>
    <s v="29-05-2023"/>
    <s v="30-05-2023"/>
    <x v="3"/>
    <s v="CUST-1805"/>
    <s v="Rohan Das"/>
    <x v="1"/>
    <s v="India"/>
    <x v="4"/>
    <s v="Maharashtra"/>
    <n v="895593"/>
    <x v="3"/>
    <s v="PROD-2805"/>
    <x v="2"/>
    <x v="3"/>
    <s v="A4 Paper"/>
    <n v="80998.740000000005"/>
    <x v="0"/>
    <n v="80998.740000000005"/>
    <e v="#N/A"/>
    <n v="3"/>
    <n v="0"/>
    <n v="6479.9"/>
    <x v="3"/>
    <x v="0"/>
    <x v="19"/>
  </r>
  <r>
    <n v="806"/>
    <s v="VID100806"/>
    <s v="29-01-2022"/>
    <s v="30-01-2022"/>
    <x v="1"/>
    <s v="CUST-1806"/>
    <s v="Rohan Das"/>
    <x v="0"/>
    <s v="India"/>
    <x v="0"/>
    <s v="Delhi"/>
    <n v="733360"/>
    <x v="0"/>
    <s v="PROD-2806"/>
    <x v="0"/>
    <x v="0"/>
    <s v="Office Chair"/>
    <n v="21900.05"/>
    <x v="0"/>
    <n v="21900.05"/>
    <e v="#N/A"/>
    <n v="7"/>
    <n v="0"/>
    <n v="1752"/>
    <x v="2"/>
    <x v="8"/>
    <x v="19"/>
  </r>
  <r>
    <n v="807"/>
    <s v="VID100807"/>
    <s v="18-04-2023"/>
    <s v="21-04-2023"/>
    <x v="2"/>
    <s v="CUST-1807"/>
    <s v="Pooja Hegde"/>
    <x v="1"/>
    <s v="India"/>
    <x v="1"/>
    <s v="Karnataka"/>
    <n v="265820"/>
    <x v="1"/>
    <s v="PROD-2807"/>
    <x v="1"/>
    <x v="1"/>
    <s v="Dell Inspiron"/>
    <n v="52622.99"/>
    <x v="0"/>
    <n v="52622.99"/>
    <e v="#N/A"/>
    <n v="9"/>
    <n v="0.2"/>
    <n v="1578.69"/>
    <x v="3"/>
    <x v="4"/>
    <x v="12"/>
  </r>
  <r>
    <n v="808"/>
    <s v="VID100808"/>
    <s v="27-12-2023"/>
    <s v="01-01-2024"/>
    <x v="3"/>
    <s v="CUST-1808"/>
    <s v="Vikram Singh"/>
    <x v="0"/>
    <s v="India"/>
    <x v="1"/>
    <s v="Karnataka"/>
    <n v="901664"/>
    <x v="1"/>
    <s v="PROD-2808"/>
    <x v="2"/>
    <x v="3"/>
    <s v="A4 Paper"/>
    <n v="82598.87"/>
    <x v="0"/>
    <n v="82598.87"/>
    <e v="#N/A"/>
    <n v="7"/>
    <n v="0"/>
    <n v="6607.91"/>
    <x v="3"/>
    <x v="1"/>
    <x v="7"/>
  </r>
  <r>
    <n v="809"/>
    <s v="VID100809"/>
    <s v="26-01-2025"/>
    <s v="27-01-2025"/>
    <x v="3"/>
    <s v="CUST-1809"/>
    <s v="Vikram Singh"/>
    <x v="0"/>
    <s v="India"/>
    <x v="1"/>
    <s v="Karnataka"/>
    <n v="658583"/>
    <x v="1"/>
    <s v="PROD-2809"/>
    <x v="1"/>
    <x v="1"/>
    <s v="Dell Inspiron"/>
    <n v="95525.05"/>
    <x v="0"/>
    <n v="95525.05"/>
    <e v="#N/A"/>
    <n v="8"/>
    <n v="0.1"/>
    <n v="5253.88"/>
    <x v="4"/>
    <x v="8"/>
    <x v="21"/>
  </r>
  <r>
    <n v="810"/>
    <s v="VID100810"/>
    <s v="07-06-2024"/>
    <s v="11-06-2024"/>
    <x v="3"/>
    <s v="CUST-1810"/>
    <s v="Vikram Singh"/>
    <x v="1"/>
    <s v="India"/>
    <x v="1"/>
    <s v="Karnataka"/>
    <n v="494493"/>
    <x v="1"/>
    <s v="PROD-2810"/>
    <x v="1"/>
    <x v="2"/>
    <s v="Samsung Galaxy"/>
    <n v="5778.99"/>
    <x v="0"/>
    <n v="5778.99"/>
    <e v="#N/A"/>
    <n v="9"/>
    <n v="0.2"/>
    <n v="173.37"/>
    <x v="1"/>
    <x v="3"/>
    <x v="8"/>
  </r>
  <r>
    <n v="811"/>
    <s v="VID100811"/>
    <s v="15-07-2025"/>
    <s v="17-07-2025"/>
    <x v="1"/>
    <s v="CUST-1811"/>
    <s v="Priya Patel"/>
    <x v="2"/>
    <s v="India"/>
    <x v="0"/>
    <s v="Delhi"/>
    <n v="985151"/>
    <x v="0"/>
    <s v="PROD-2811"/>
    <x v="1"/>
    <x v="1"/>
    <s v="Dell Inspiron"/>
    <n v="59985.440000000002"/>
    <x v="0"/>
    <n v="59985.440000000002"/>
    <e v="#N/A"/>
    <n v="6"/>
    <n v="0"/>
    <n v="4798.84"/>
    <x v="4"/>
    <x v="6"/>
    <x v="28"/>
  </r>
  <r>
    <n v="812"/>
    <s v="VID100812"/>
    <s v="03-11-2022"/>
    <s v="07-11-2022"/>
    <x v="1"/>
    <s v="CUST-1812"/>
    <s v="Pooja Hegde"/>
    <x v="2"/>
    <s v="India"/>
    <x v="0"/>
    <s v="Delhi"/>
    <n v="569381"/>
    <x v="0"/>
    <s v="PROD-2812"/>
    <x v="1"/>
    <x v="1"/>
    <s v="Dell Inspiron"/>
    <n v="21079.31"/>
    <x v="0"/>
    <n v="21079.31"/>
    <e v="#N/A"/>
    <n v="1"/>
    <n v="0"/>
    <n v="1686.34"/>
    <x v="2"/>
    <x v="9"/>
    <x v="9"/>
  </r>
  <r>
    <n v="813"/>
    <s v="VID100813"/>
    <s v="29-05-2025"/>
    <s v="05-06-2025"/>
    <x v="0"/>
    <s v="CUST-1813"/>
    <s v="Rohan Das"/>
    <x v="2"/>
    <s v="India"/>
    <x v="3"/>
    <s v="Gujarat"/>
    <n v="818697"/>
    <x v="3"/>
    <s v="PROD-2813"/>
    <x v="2"/>
    <x v="3"/>
    <s v="A4 Paper"/>
    <n v="96808.94"/>
    <x v="0"/>
    <n v="96808.94"/>
    <e v="#N/A"/>
    <n v="7"/>
    <n v="0.2"/>
    <n v="2904.27"/>
    <x v="4"/>
    <x v="0"/>
    <x v="19"/>
  </r>
  <r>
    <n v="814"/>
    <s v="VID100814"/>
    <s v="04-10-2024"/>
    <s v="08-10-2024"/>
    <x v="3"/>
    <s v="CUST-1814"/>
    <s v="Ananya Mishra"/>
    <x v="0"/>
    <s v="India"/>
    <x v="0"/>
    <s v="Delhi"/>
    <n v="155574"/>
    <x v="0"/>
    <s v="PROD-2814"/>
    <x v="1"/>
    <x v="1"/>
    <s v="Dell Inspiron"/>
    <n v="89385.35"/>
    <x v="0"/>
    <n v="89385.35"/>
    <e v="#N/A"/>
    <n v="6"/>
    <n v="0.3"/>
    <n v="446.93"/>
    <x v="1"/>
    <x v="7"/>
    <x v="22"/>
  </r>
  <r>
    <n v="815"/>
    <s v="VID100815"/>
    <s v="09-01-2022"/>
    <s v="12-01-2022"/>
    <x v="1"/>
    <s v="CUST-1815"/>
    <s v="Rohan Das"/>
    <x v="2"/>
    <s v="India"/>
    <x v="3"/>
    <s v="Gujarat"/>
    <n v="976957"/>
    <x v="3"/>
    <s v="PROD-2815"/>
    <x v="1"/>
    <x v="1"/>
    <s v="Dell Inspiron"/>
    <n v="67422.880000000005"/>
    <x v="0"/>
    <n v="67422.880000000005"/>
    <e v="#N/A"/>
    <n v="10"/>
    <n v="0"/>
    <n v="5393.83"/>
    <x v="2"/>
    <x v="8"/>
    <x v="18"/>
  </r>
  <r>
    <n v="816"/>
    <s v="VID100816"/>
    <s v="11-06-2024"/>
    <s v="17-06-2024"/>
    <x v="1"/>
    <s v="CUST-1816"/>
    <s v="Rahul Joshi"/>
    <x v="0"/>
    <s v="India"/>
    <x v="2"/>
    <s v="West Bengal"/>
    <n v="811895"/>
    <x v="2"/>
    <s v="PROD-2816"/>
    <x v="2"/>
    <x v="3"/>
    <s v="A4 Paper"/>
    <n v="5058.58"/>
    <x v="0"/>
    <n v="5058.58"/>
    <e v="#N/A"/>
    <n v="9"/>
    <n v="0.2"/>
    <n v="151.76"/>
    <x v="1"/>
    <x v="3"/>
    <x v="23"/>
  </r>
  <r>
    <n v="817"/>
    <s v="VID100817"/>
    <s v="19-04-2022"/>
    <s v="24-04-2022"/>
    <x v="2"/>
    <s v="CUST-1817"/>
    <s v="Diya Nair"/>
    <x v="1"/>
    <s v="India"/>
    <x v="0"/>
    <s v="Delhi"/>
    <n v="362045"/>
    <x v="0"/>
    <s v="PROD-2817"/>
    <x v="1"/>
    <x v="2"/>
    <s v="Samsung Galaxy"/>
    <n v="16865.73"/>
    <x v="0"/>
    <n v="16865.73"/>
    <e v="#N/A"/>
    <n v="9"/>
    <n v="0"/>
    <n v="1349.26"/>
    <x v="2"/>
    <x v="4"/>
    <x v="27"/>
  </r>
  <r>
    <n v="818"/>
    <s v="VID100818"/>
    <s v="29-04-2021"/>
    <s v="05-05-2021"/>
    <x v="0"/>
    <s v="CUST-1818"/>
    <s v="Amit Verma"/>
    <x v="1"/>
    <s v="India"/>
    <x v="0"/>
    <s v="Delhi"/>
    <n v="163963"/>
    <x v="0"/>
    <s v="PROD-2818"/>
    <x v="1"/>
    <x v="2"/>
    <s v="Samsung Galaxy"/>
    <n v="67940.429999999993"/>
    <x v="0"/>
    <n v="67940.429999999993"/>
    <e v="#N/A"/>
    <n v="9"/>
    <n v="0"/>
    <n v="5435.23"/>
    <x v="0"/>
    <x v="4"/>
    <x v="19"/>
  </r>
  <r>
    <n v="819"/>
    <s v="VID100819"/>
    <s v="05-08-2022"/>
    <s v="07-08-2022"/>
    <x v="3"/>
    <s v="CUST-1819"/>
    <s v="Priya Patel"/>
    <x v="1"/>
    <s v="India"/>
    <x v="2"/>
    <s v="West Bengal"/>
    <n v="368913"/>
    <x v="2"/>
    <s v="PROD-2819"/>
    <x v="2"/>
    <x v="3"/>
    <s v="A4 Paper"/>
    <n v="38715.42"/>
    <x v="0"/>
    <n v="38715.42"/>
    <e v="#N/A"/>
    <n v="9"/>
    <n v="0.2"/>
    <n v="1161.46"/>
    <x v="2"/>
    <x v="2"/>
    <x v="25"/>
  </r>
  <r>
    <n v="820"/>
    <s v="VID100820"/>
    <s v="10-11-2025"/>
    <s v="11-11-2025"/>
    <x v="0"/>
    <s v="CUST-1820"/>
    <s v="Aarav Sharma"/>
    <x v="2"/>
    <s v="India"/>
    <x v="3"/>
    <s v="Gujarat"/>
    <n v="758258"/>
    <x v="3"/>
    <s v="PROD-2820"/>
    <x v="0"/>
    <x v="0"/>
    <s v="Office Chair"/>
    <n v="30889.17"/>
    <x v="0"/>
    <n v="30889.17"/>
    <e v="#N/A"/>
    <n v="1"/>
    <n v="0.3"/>
    <n v="154.44999999999999"/>
    <x v="4"/>
    <x v="9"/>
    <x v="5"/>
  </r>
  <r>
    <n v="821"/>
    <s v="VID100821"/>
    <s v="02-06-2021"/>
    <s v="06-06-2021"/>
    <x v="2"/>
    <s v="CUST-1821"/>
    <s v="Rahul Joshi"/>
    <x v="0"/>
    <s v="India"/>
    <x v="1"/>
    <s v="Karnataka"/>
    <n v="927612"/>
    <x v="1"/>
    <s v="PROD-2821"/>
    <x v="0"/>
    <x v="0"/>
    <s v="Office Chair"/>
    <n v="88532.43"/>
    <x v="0"/>
    <n v="88532.43"/>
    <e v="#N/A"/>
    <n v="3"/>
    <n v="0.2"/>
    <n v="2655.97"/>
    <x v="0"/>
    <x v="3"/>
    <x v="10"/>
  </r>
  <r>
    <n v="822"/>
    <s v="VID100822"/>
    <s v="21-10-2025"/>
    <s v="26-10-2025"/>
    <x v="3"/>
    <s v="CUST-1822"/>
    <s v="Rohan Das"/>
    <x v="2"/>
    <s v="India"/>
    <x v="0"/>
    <s v="Delhi"/>
    <n v="239250"/>
    <x v="0"/>
    <s v="PROD-2822"/>
    <x v="2"/>
    <x v="3"/>
    <s v="A4 Paper"/>
    <n v="79871.88"/>
    <x v="0"/>
    <n v="79871.88"/>
    <e v="#N/A"/>
    <n v="2"/>
    <n v="0.2"/>
    <n v="2396.16"/>
    <x v="4"/>
    <x v="7"/>
    <x v="26"/>
  </r>
  <r>
    <n v="823"/>
    <s v="VID100823"/>
    <s v="08-02-2023"/>
    <s v="14-02-2023"/>
    <x v="1"/>
    <s v="CUST-1823"/>
    <s v="Rahul Joshi"/>
    <x v="0"/>
    <s v="India"/>
    <x v="1"/>
    <s v="Karnataka"/>
    <n v="190386"/>
    <x v="1"/>
    <s v="PROD-2823"/>
    <x v="2"/>
    <x v="3"/>
    <s v="A4 Paper"/>
    <n v="17654.759999999998"/>
    <x v="0"/>
    <n v="17654.759999999998"/>
    <e v="#N/A"/>
    <n v="2"/>
    <n v="0"/>
    <n v="1412.38"/>
    <x v="3"/>
    <x v="11"/>
    <x v="3"/>
  </r>
  <r>
    <n v="824"/>
    <s v="VID100824"/>
    <s v="16-01-2022"/>
    <s v="21-01-2022"/>
    <x v="3"/>
    <s v="CUST-1824"/>
    <s v="Aarav Sharma"/>
    <x v="2"/>
    <s v="India"/>
    <x v="0"/>
    <s v="Delhi"/>
    <n v="988065"/>
    <x v="0"/>
    <s v="PROD-2824"/>
    <x v="0"/>
    <x v="0"/>
    <s v="Office Chair"/>
    <n v="56881.22"/>
    <x v="0"/>
    <n v="56881.22"/>
    <e v="#N/A"/>
    <n v="5"/>
    <n v="0.3"/>
    <n v="284.41000000000003"/>
    <x v="2"/>
    <x v="8"/>
    <x v="20"/>
  </r>
  <r>
    <n v="825"/>
    <s v="VID100825"/>
    <s v="14-01-2024"/>
    <s v="20-01-2024"/>
    <x v="2"/>
    <s v="CUST-1825"/>
    <s v="Sneha Reddy"/>
    <x v="1"/>
    <s v="India"/>
    <x v="0"/>
    <s v="Delhi"/>
    <n v="383851"/>
    <x v="0"/>
    <s v="PROD-2825"/>
    <x v="2"/>
    <x v="3"/>
    <s v="A4 Paper"/>
    <n v="10878.59"/>
    <x v="0"/>
    <n v="10878.59"/>
    <e v="#N/A"/>
    <n v="7"/>
    <n v="0.1"/>
    <n v="598.32000000000005"/>
    <x v="1"/>
    <x v="8"/>
    <x v="6"/>
  </r>
  <r>
    <n v="826"/>
    <s v="VID100826"/>
    <s v="09-12-2021"/>
    <s v="15-12-2021"/>
    <x v="0"/>
    <s v="CUST-1826"/>
    <s v="Amit Verma"/>
    <x v="0"/>
    <s v="India"/>
    <x v="0"/>
    <s v="Delhi"/>
    <n v="747961"/>
    <x v="0"/>
    <s v="PROD-2826"/>
    <x v="1"/>
    <x v="2"/>
    <s v="Samsung Galaxy"/>
    <n v="54615.07"/>
    <x v="0"/>
    <n v="54615.07"/>
    <e v="#N/A"/>
    <n v="9"/>
    <n v="0.2"/>
    <n v="1638.45"/>
    <x v="0"/>
    <x v="1"/>
    <x v="18"/>
  </r>
  <r>
    <n v="827"/>
    <s v="VID100827"/>
    <s v="15-01-2022"/>
    <s v="20-01-2022"/>
    <x v="1"/>
    <s v="CUST-1827"/>
    <s v="Ananya Mishra"/>
    <x v="2"/>
    <s v="India"/>
    <x v="4"/>
    <s v="Maharashtra"/>
    <n v="119876"/>
    <x v="3"/>
    <s v="PROD-2827"/>
    <x v="2"/>
    <x v="3"/>
    <s v="A4 Paper"/>
    <n v="20197.52"/>
    <x v="0"/>
    <n v="20197.52"/>
    <e v="#N/A"/>
    <n v="5"/>
    <n v="0.1"/>
    <n v="1110.8599999999999"/>
    <x v="2"/>
    <x v="8"/>
    <x v="28"/>
  </r>
  <r>
    <n v="828"/>
    <s v="VID100828"/>
    <s v="18-02-2022"/>
    <s v="20-02-2022"/>
    <x v="2"/>
    <s v="CUST-1828"/>
    <s v="Amit Verma"/>
    <x v="2"/>
    <s v="India"/>
    <x v="1"/>
    <s v="Karnataka"/>
    <n v="899430"/>
    <x v="1"/>
    <s v="PROD-2828"/>
    <x v="2"/>
    <x v="3"/>
    <s v="A4 Paper"/>
    <n v="34074.339999999997"/>
    <x v="0"/>
    <n v="34074.339999999997"/>
    <e v="#N/A"/>
    <n v="10"/>
    <n v="0"/>
    <n v="2725.95"/>
    <x v="2"/>
    <x v="11"/>
    <x v="12"/>
  </r>
  <r>
    <n v="829"/>
    <s v="VID100829"/>
    <s v="18-04-2022"/>
    <s v="19-04-2022"/>
    <x v="2"/>
    <s v="CUST-1829"/>
    <s v="Amit Verma"/>
    <x v="2"/>
    <s v="India"/>
    <x v="0"/>
    <s v="Delhi"/>
    <n v="953766"/>
    <x v="0"/>
    <s v="PROD-2829"/>
    <x v="2"/>
    <x v="3"/>
    <s v="A4 Paper"/>
    <n v="77491.44"/>
    <x v="0"/>
    <n v="77491.44"/>
    <e v="#N/A"/>
    <n v="6"/>
    <n v="0"/>
    <n v="6199.32"/>
    <x v="2"/>
    <x v="4"/>
    <x v="12"/>
  </r>
  <r>
    <n v="830"/>
    <s v="VID100830"/>
    <s v="04-06-2023"/>
    <s v="05-06-2023"/>
    <x v="0"/>
    <s v="CUST-1830"/>
    <s v="Ananya Mishra"/>
    <x v="2"/>
    <s v="India"/>
    <x v="3"/>
    <s v="Gujarat"/>
    <n v="666642"/>
    <x v="3"/>
    <s v="PROD-2830"/>
    <x v="2"/>
    <x v="3"/>
    <s v="A4 Paper"/>
    <n v="69380.509999999995"/>
    <x v="0"/>
    <n v="69380.509999999995"/>
    <e v="#N/A"/>
    <n v="5"/>
    <n v="0"/>
    <n v="5550.44"/>
    <x v="3"/>
    <x v="3"/>
    <x v="22"/>
  </r>
  <r>
    <n v="831"/>
    <s v="VID100831"/>
    <s v="06-02-2025"/>
    <s v="12-02-2025"/>
    <x v="3"/>
    <s v="CUST-1831"/>
    <s v="Diya Nair"/>
    <x v="1"/>
    <s v="India"/>
    <x v="1"/>
    <s v="Karnataka"/>
    <n v="470354"/>
    <x v="1"/>
    <s v="PROD-2831"/>
    <x v="1"/>
    <x v="2"/>
    <s v="Samsung Galaxy"/>
    <n v="92458.63"/>
    <x v="0"/>
    <n v="92458.63"/>
    <e v="#N/A"/>
    <n v="2"/>
    <n v="0.3"/>
    <n v="462.29"/>
    <x v="4"/>
    <x v="11"/>
    <x v="15"/>
  </r>
  <r>
    <n v="832"/>
    <s v="VID100832"/>
    <s v="30-09-2023"/>
    <s v="03-10-2023"/>
    <x v="1"/>
    <s v="CUST-1832"/>
    <s v="Diya Nair"/>
    <x v="2"/>
    <s v="India"/>
    <x v="0"/>
    <s v="Delhi"/>
    <n v="728598"/>
    <x v="0"/>
    <s v="PROD-2832"/>
    <x v="1"/>
    <x v="2"/>
    <s v="Samsung Galaxy"/>
    <n v="87771.34"/>
    <x v="0"/>
    <n v="87771.34"/>
    <e v="#N/A"/>
    <n v="8"/>
    <n v="0"/>
    <n v="7021.71"/>
    <x v="3"/>
    <x v="10"/>
    <x v="16"/>
  </r>
  <r>
    <n v="833"/>
    <s v="VID100833"/>
    <s v="29-05-2024"/>
    <s v="31-05-2024"/>
    <x v="1"/>
    <s v="CUST-1833"/>
    <s v="Rahul Joshi"/>
    <x v="1"/>
    <s v="India"/>
    <x v="0"/>
    <s v="Delhi"/>
    <n v="172072"/>
    <x v="0"/>
    <s v="PROD-2833"/>
    <x v="0"/>
    <x v="0"/>
    <s v="Office Chair"/>
    <n v="28586.6"/>
    <x v="0"/>
    <n v="28586.6"/>
    <e v="#N/A"/>
    <n v="8"/>
    <n v="0"/>
    <n v="2286.9299999999998"/>
    <x v="1"/>
    <x v="0"/>
    <x v="19"/>
  </r>
  <r>
    <n v="834"/>
    <s v="VID100834"/>
    <s v="12-03-2025"/>
    <s v="13-03-2025"/>
    <x v="3"/>
    <s v="CUST-1834"/>
    <s v="Amit Verma"/>
    <x v="2"/>
    <s v="India"/>
    <x v="0"/>
    <s v="Delhi"/>
    <n v="982038"/>
    <x v="0"/>
    <s v="PROD-2834"/>
    <x v="1"/>
    <x v="1"/>
    <s v="Dell Inspiron"/>
    <n v="81705.84"/>
    <x v="0"/>
    <n v="81705.84"/>
    <e v="#N/A"/>
    <n v="2"/>
    <n v="0.1"/>
    <n v="4493.82"/>
    <x v="4"/>
    <x v="5"/>
    <x v="1"/>
  </r>
  <r>
    <n v="835"/>
    <s v="VID100835"/>
    <s v="05-12-2025"/>
    <s v="12-12-2025"/>
    <x v="1"/>
    <s v="CUST-1835"/>
    <s v="Diya Nair"/>
    <x v="0"/>
    <s v="India"/>
    <x v="1"/>
    <s v="Karnataka"/>
    <n v="714064"/>
    <x v="1"/>
    <s v="PROD-2835"/>
    <x v="2"/>
    <x v="3"/>
    <s v="A4 Paper"/>
    <n v="98443.06"/>
    <x v="0"/>
    <n v="98443.06"/>
    <e v="#N/A"/>
    <n v="4"/>
    <n v="0.2"/>
    <n v="2953.29"/>
    <x v="4"/>
    <x v="1"/>
    <x v="25"/>
  </r>
  <r>
    <n v="836"/>
    <s v="VID100836"/>
    <s v="09-11-2024"/>
    <s v="10-11-2024"/>
    <x v="1"/>
    <s v="CUST-1836"/>
    <s v="Rahul Joshi"/>
    <x v="0"/>
    <s v="India"/>
    <x v="0"/>
    <s v="Delhi"/>
    <n v="686389"/>
    <x v="0"/>
    <s v="PROD-2836"/>
    <x v="1"/>
    <x v="1"/>
    <s v="Dell Inspiron"/>
    <n v="60304.46"/>
    <x v="0"/>
    <n v="60304.46"/>
    <e v="#N/A"/>
    <n v="6"/>
    <n v="0.1"/>
    <n v="3316.75"/>
    <x v="1"/>
    <x v="9"/>
    <x v="18"/>
  </r>
  <r>
    <n v="837"/>
    <s v="VID100837"/>
    <s v="19-05-2025"/>
    <s v="23-05-2025"/>
    <x v="3"/>
    <s v="CUST-1837"/>
    <s v="Pooja Hegde"/>
    <x v="0"/>
    <s v="India"/>
    <x v="3"/>
    <s v="Gujarat"/>
    <n v="174427"/>
    <x v="3"/>
    <s v="PROD-2837"/>
    <x v="1"/>
    <x v="1"/>
    <s v="Dell Inspiron"/>
    <n v="18725.98"/>
    <x v="0"/>
    <n v="18725.98"/>
    <e v="#N/A"/>
    <n v="7"/>
    <n v="0.2"/>
    <n v="561.78"/>
    <x v="4"/>
    <x v="0"/>
    <x v="27"/>
  </r>
  <r>
    <n v="838"/>
    <s v="VID100838"/>
    <s v="01-01-2021"/>
    <s v="08-01-2021"/>
    <x v="1"/>
    <s v="CUST-1838"/>
    <s v="Aarav Sharma"/>
    <x v="2"/>
    <s v="India"/>
    <x v="4"/>
    <s v="Maharashtra"/>
    <n v="643121"/>
    <x v="3"/>
    <s v="PROD-2838"/>
    <x v="1"/>
    <x v="1"/>
    <s v="Dell Inspiron"/>
    <n v="11070.54"/>
    <x v="0"/>
    <n v="11070.54"/>
    <e v="#N/A"/>
    <n v="7"/>
    <n v="0.2"/>
    <n v="332.12"/>
    <x v="0"/>
    <x v="8"/>
    <x v="11"/>
  </r>
  <r>
    <n v="839"/>
    <s v="VID100839"/>
    <s v="24-11-2021"/>
    <s v="27-11-2021"/>
    <x v="0"/>
    <s v="CUST-1839"/>
    <s v="Ananya Mishra"/>
    <x v="1"/>
    <s v="India"/>
    <x v="2"/>
    <s v="West Bengal"/>
    <n v="139124"/>
    <x v="2"/>
    <s v="PROD-2839"/>
    <x v="2"/>
    <x v="3"/>
    <s v="A4 Paper"/>
    <n v="96958.77"/>
    <x v="0"/>
    <n v="96958.77"/>
    <e v="#N/A"/>
    <n v="6"/>
    <n v="0.2"/>
    <n v="2908.76"/>
    <x v="0"/>
    <x v="9"/>
    <x v="14"/>
  </r>
  <r>
    <n v="840"/>
    <s v="VID100840"/>
    <s v="24-10-2022"/>
    <s v="28-10-2022"/>
    <x v="2"/>
    <s v="CUST-1840"/>
    <s v="Rahul Joshi"/>
    <x v="2"/>
    <s v="India"/>
    <x v="2"/>
    <s v="West Bengal"/>
    <n v="476222"/>
    <x v="2"/>
    <s v="PROD-2840"/>
    <x v="1"/>
    <x v="2"/>
    <s v="Samsung Galaxy"/>
    <n v="41851.03"/>
    <x v="0"/>
    <n v="41851.03"/>
    <e v="#N/A"/>
    <n v="2"/>
    <n v="0.3"/>
    <n v="209.26"/>
    <x v="2"/>
    <x v="7"/>
    <x v="14"/>
  </r>
  <r>
    <n v="841"/>
    <s v="VID100841"/>
    <s v="28-06-2023"/>
    <s v="02-07-2023"/>
    <x v="0"/>
    <s v="CUST-1841"/>
    <s v="Amit Verma"/>
    <x v="0"/>
    <s v="India"/>
    <x v="2"/>
    <s v="West Bengal"/>
    <n v="595144"/>
    <x v="2"/>
    <s v="PROD-2841"/>
    <x v="1"/>
    <x v="1"/>
    <s v="Dell Inspiron"/>
    <n v="93864.85"/>
    <x v="0"/>
    <n v="93864.85"/>
    <e v="#N/A"/>
    <n v="4"/>
    <n v="0.1"/>
    <n v="5162.57"/>
    <x v="3"/>
    <x v="3"/>
    <x v="13"/>
  </r>
  <r>
    <n v="842"/>
    <s v="VID100842"/>
    <s v="14-12-2021"/>
    <s v="16-12-2021"/>
    <x v="0"/>
    <s v="CUST-1842"/>
    <s v="Ananya Mishra"/>
    <x v="0"/>
    <s v="India"/>
    <x v="0"/>
    <s v="Delhi"/>
    <n v="562882"/>
    <x v="0"/>
    <s v="PROD-2842"/>
    <x v="2"/>
    <x v="3"/>
    <s v="A4 Paper"/>
    <n v="24298.02"/>
    <x v="0"/>
    <n v="24298.02"/>
    <e v="#N/A"/>
    <n v="3"/>
    <n v="0.1"/>
    <n v="1336.39"/>
    <x v="0"/>
    <x v="1"/>
    <x v="6"/>
  </r>
  <r>
    <n v="843"/>
    <s v="VID100843"/>
    <s v="13-09-2024"/>
    <s v="19-09-2024"/>
    <x v="1"/>
    <s v="CUST-1843"/>
    <s v="Sneha Reddy"/>
    <x v="1"/>
    <s v="India"/>
    <x v="4"/>
    <s v="Maharashtra"/>
    <n v="307982"/>
    <x v="3"/>
    <s v="PROD-2843"/>
    <x v="0"/>
    <x v="0"/>
    <s v="Office Chair"/>
    <n v="5092.99"/>
    <x v="0"/>
    <n v="5092.99"/>
    <e v="#N/A"/>
    <n v="4"/>
    <n v="0.2"/>
    <n v="152.79"/>
    <x v="1"/>
    <x v="10"/>
    <x v="30"/>
  </r>
  <r>
    <n v="844"/>
    <s v="VID100844"/>
    <s v="18-11-2023"/>
    <s v="24-11-2023"/>
    <x v="1"/>
    <s v="CUST-1844"/>
    <s v="Ananya Mishra"/>
    <x v="2"/>
    <s v="India"/>
    <x v="4"/>
    <s v="Maharashtra"/>
    <n v="980702"/>
    <x v="3"/>
    <s v="PROD-2844"/>
    <x v="1"/>
    <x v="2"/>
    <s v="Samsung Galaxy"/>
    <n v="68682.8"/>
    <x v="0"/>
    <n v="68682.8"/>
    <e v="#N/A"/>
    <n v="7"/>
    <n v="0.2"/>
    <n v="2060.48"/>
    <x v="3"/>
    <x v="9"/>
    <x v="12"/>
  </r>
  <r>
    <n v="845"/>
    <s v="VID100845"/>
    <s v="04-11-2023"/>
    <s v="08-11-2023"/>
    <x v="3"/>
    <s v="CUST-1845"/>
    <s v="Priya Patel"/>
    <x v="1"/>
    <s v="India"/>
    <x v="2"/>
    <s v="West Bengal"/>
    <n v="921912"/>
    <x v="2"/>
    <s v="PROD-2845"/>
    <x v="2"/>
    <x v="3"/>
    <s v="A4 Paper"/>
    <n v="64722.54"/>
    <x v="0"/>
    <n v="64722.54"/>
    <e v="#N/A"/>
    <n v="5"/>
    <n v="0.3"/>
    <n v="323.61"/>
    <x v="3"/>
    <x v="9"/>
    <x v="22"/>
  </r>
  <r>
    <n v="846"/>
    <s v="VID100846"/>
    <s v="16-09-2024"/>
    <s v="23-09-2024"/>
    <x v="2"/>
    <s v="CUST-1846"/>
    <s v="Aarav Sharma"/>
    <x v="1"/>
    <s v="India"/>
    <x v="0"/>
    <s v="Delhi"/>
    <n v="609568"/>
    <x v="0"/>
    <s v="PROD-2846"/>
    <x v="2"/>
    <x v="3"/>
    <s v="A4 Paper"/>
    <n v="15519.63"/>
    <x v="0"/>
    <n v="15519.63"/>
    <e v="#N/A"/>
    <n v="9"/>
    <n v="0.3"/>
    <n v="77.599999999999994"/>
    <x v="1"/>
    <x v="10"/>
    <x v="20"/>
  </r>
  <r>
    <n v="847"/>
    <s v="VID100847"/>
    <s v="09-10-2021"/>
    <s v="16-10-2021"/>
    <x v="1"/>
    <s v="CUST-1847"/>
    <s v="Diya Nair"/>
    <x v="2"/>
    <s v="India"/>
    <x v="1"/>
    <s v="Karnataka"/>
    <n v="204110"/>
    <x v="1"/>
    <s v="PROD-2847"/>
    <x v="0"/>
    <x v="0"/>
    <s v="Office Chair"/>
    <n v="6885.45"/>
    <x v="0"/>
    <n v="6885.45"/>
    <e v="#N/A"/>
    <n v="7"/>
    <n v="0.1"/>
    <n v="378.7"/>
    <x v="0"/>
    <x v="7"/>
    <x v="18"/>
  </r>
  <r>
    <n v="848"/>
    <s v="VID100848"/>
    <s v="07-08-2022"/>
    <s v="11-08-2022"/>
    <x v="3"/>
    <s v="CUST-1848"/>
    <s v="Rahul Joshi"/>
    <x v="2"/>
    <s v="India"/>
    <x v="1"/>
    <s v="Karnataka"/>
    <n v="689178"/>
    <x v="1"/>
    <s v="PROD-2848"/>
    <x v="1"/>
    <x v="2"/>
    <s v="Samsung Galaxy"/>
    <n v="30341.03"/>
    <x v="0"/>
    <n v="30341.03"/>
    <e v="#N/A"/>
    <n v="8"/>
    <n v="0.1"/>
    <n v="1668.76"/>
    <x v="2"/>
    <x v="2"/>
    <x v="8"/>
  </r>
  <r>
    <n v="849"/>
    <s v="VID100849"/>
    <s v="27-06-2022"/>
    <s v="30-06-2022"/>
    <x v="2"/>
    <s v="CUST-1849"/>
    <s v="Aarav Sharma"/>
    <x v="2"/>
    <s v="India"/>
    <x v="3"/>
    <s v="Gujarat"/>
    <n v="244429"/>
    <x v="3"/>
    <s v="PROD-2849"/>
    <x v="1"/>
    <x v="1"/>
    <s v="Dell Inspiron"/>
    <n v="35396.089999999997"/>
    <x v="0"/>
    <n v="35396.089999999997"/>
    <e v="#N/A"/>
    <n v="5"/>
    <n v="0.3"/>
    <n v="176.98"/>
    <x v="2"/>
    <x v="3"/>
    <x v="7"/>
  </r>
  <r>
    <n v="850"/>
    <s v="VID100850"/>
    <s v="20-10-2024"/>
    <s v="22-10-2024"/>
    <x v="1"/>
    <s v="CUST-1850"/>
    <s v="Vikram Singh"/>
    <x v="0"/>
    <s v="India"/>
    <x v="2"/>
    <s v="West Bengal"/>
    <n v="150807"/>
    <x v="2"/>
    <s v="PROD-2850"/>
    <x v="0"/>
    <x v="0"/>
    <s v="Office Chair"/>
    <n v="65226.26"/>
    <x v="0"/>
    <n v="65226.26"/>
    <e v="#N/A"/>
    <n v="4"/>
    <n v="0.3"/>
    <n v="326.13"/>
    <x v="1"/>
    <x v="7"/>
    <x v="0"/>
  </r>
  <r>
    <n v="851"/>
    <s v="VID100851"/>
    <s v="02-09-2024"/>
    <s v="07-09-2024"/>
    <x v="0"/>
    <s v="CUST-1851"/>
    <s v="Pooja Hegde"/>
    <x v="2"/>
    <s v="India"/>
    <x v="3"/>
    <s v="Gujarat"/>
    <n v="206833"/>
    <x v="3"/>
    <s v="PROD-2851"/>
    <x v="1"/>
    <x v="2"/>
    <s v="Samsung Galaxy"/>
    <n v="19952.09"/>
    <x v="0"/>
    <n v="19952.09"/>
    <e v="#N/A"/>
    <n v="8"/>
    <n v="0"/>
    <n v="1596.17"/>
    <x v="1"/>
    <x v="10"/>
    <x v="10"/>
  </r>
  <r>
    <n v="852"/>
    <s v="VID100852"/>
    <s v="15-04-2021"/>
    <s v="17-04-2021"/>
    <x v="3"/>
    <s v="CUST-1852"/>
    <s v="Ananya Mishra"/>
    <x v="2"/>
    <s v="India"/>
    <x v="4"/>
    <s v="Maharashtra"/>
    <n v="114138"/>
    <x v="3"/>
    <s v="PROD-2852"/>
    <x v="2"/>
    <x v="3"/>
    <s v="A4 Paper"/>
    <n v="76214.73"/>
    <x v="0"/>
    <n v="76214.73"/>
    <e v="#N/A"/>
    <n v="6"/>
    <n v="0.1"/>
    <n v="4191.8100000000004"/>
    <x v="0"/>
    <x v="4"/>
    <x v="28"/>
  </r>
  <r>
    <n v="853"/>
    <s v="VID100853"/>
    <s v="23-07-2022"/>
    <s v="24-07-2022"/>
    <x v="2"/>
    <s v="CUST-1853"/>
    <s v="Priya Patel"/>
    <x v="1"/>
    <s v="India"/>
    <x v="1"/>
    <s v="Karnataka"/>
    <n v="402154"/>
    <x v="1"/>
    <s v="PROD-2853"/>
    <x v="1"/>
    <x v="1"/>
    <s v="Dell Inspiron"/>
    <n v="64055.03"/>
    <x v="0"/>
    <n v="64055.03"/>
    <e v="#N/A"/>
    <n v="2"/>
    <n v="0.1"/>
    <n v="3523.03"/>
    <x v="2"/>
    <x v="6"/>
    <x v="24"/>
  </r>
  <r>
    <n v="854"/>
    <s v="VID100854"/>
    <s v="24-09-2022"/>
    <s v="29-09-2022"/>
    <x v="2"/>
    <s v="CUST-1854"/>
    <s v="Rohan Das"/>
    <x v="1"/>
    <s v="India"/>
    <x v="4"/>
    <s v="Maharashtra"/>
    <n v="269576"/>
    <x v="3"/>
    <s v="PROD-2854"/>
    <x v="2"/>
    <x v="3"/>
    <s v="A4 Paper"/>
    <n v="66198.320000000007"/>
    <x v="0"/>
    <n v="66198.320000000007"/>
    <e v="#N/A"/>
    <n v="9"/>
    <n v="0.2"/>
    <n v="1985.95"/>
    <x v="2"/>
    <x v="10"/>
    <x v="14"/>
  </r>
  <r>
    <n v="855"/>
    <s v="VID100855"/>
    <s v="01-01-2023"/>
    <s v="04-01-2023"/>
    <x v="2"/>
    <s v="CUST-1855"/>
    <s v="Rohan Das"/>
    <x v="1"/>
    <s v="India"/>
    <x v="3"/>
    <s v="Gujarat"/>
    <n v="882242"/>
    <x v="3"/>
    <s v="PROD-2855"/>
    <x v="0"/>
    <x v="0"/>
    <s v="Office Chair"/>
    <n v="63402.1"/>
    <x v="0"/>
    <n v="63402.1"/>
    <e v="#N/A"/>
    <n v="5"/>
    <n v="0.3"/>
    <n v="317.01"/>
    <x v="3"/>
    <x v="8"/>
    <x v="11"/>
  </r>
  <r>
    <n v="856"/>
    <s v="VID100856"/>
    <s v="12-07-2025"/>
    <s v="17-07-2025"/>
    <x v="0"/>
    <s v="CUST-1856"/>
    <s v="Rahul Joshi"/>
    <x v="1"/>
    <s v="India"/>
    <x v="1"/>
    <s v="Karnataka"/>
    <n v="960178"/>
    <x v="1"/>
    <s v="PROD-2856"/>
    <x v="2"/>
    <x v="3"/>
    <s v="A4 Paper"/>
    <n v="69555.759999999995"/>
    <x v="0"/>
    <n v="69555.759999999995"/>
    <e v="#N/A"/>
    <n v="4"/>
    <n v="0"/>
    <n v="5564.46"/>
    <x v="4"/>
    <x v="6"/>
    <x v="1"/>
  </r>
  <r>
    <n v="857"/>
    <s v="VID100857"/>
    <s v="15-11-2022"/>
    <s v="16-11-2022"/>
    <x v="0"/>
    <s v="CUST-1857"/>
    <s v="Rahul Joshi"/>
    <x v="0"/>
    <s v="India"/>
    <x v="3"/>
    <s v="Gujarat"/>
    <n v="830828"/>
    <x v="3"/>
    <s v="PROD-2857"/>
    <x v="1"/>
    <x v="1"/>
    <s v="Dell Inspiron"/>
    <n v="72964.92"/>
    <x v="0"/>
    <n v="72964.92"/>
    <e v="#N/A"/>
    <n v="1"/>
    <n v="0.2"/>
    <n v="2188.9499999999998"/>
    <x v="2"/>
    <x v="9"/>
    <x v="28"/>
  </r>
  <r>
    <n v="858"/>
    <s v="VID100858"/>
    <s v="18-03-2023"/>
    <s v="22-03-2023"/>
    <x v="0"/>
    <s v="CUST-1858"/>
    <s v="Ananya Mishra"/>
    <x v="1"/>
    <s v="India"/>
    <x v="4"/>
    <s v="Maharashtra"/>
    <n v="604059"/>
    <x v="3"/>
    <s v="PROD-2858"/>
    <x v="2"/>
    <x v="3"/>
    <s v="A4 Paper"/>
    <n v="84331.63"/>
    <x v="0"/>
    <n v="84331.63"/>
    <e v="#N/A"/>
    <n v="4"/>
    <n v="0.1"/>
    <n v="4638.24"/>
    <x v="3"/>
    <x v="5"/>
    <x v="12"/>
  </r>
  <r>
    <n v="859"/>
    <s v="VID100859"/>
    <s v="23-12-2021"/>
    <s v="30-12-2021"/>
    <x v="0"/>
    <s v="CUST-1859"/>
    <s v="Priya Patel"/>
    <x v="0"/>
    <s v="India"/>
    <x v="1"/>
    <s v="Karnataka"/>
    <n v="593902"/>
    <x v="1"/>
    <s v="PROD-2859"/>
    <x v="0"/>
    <x v="0"/>
    <s v="Office Chair"/>
    <n v="56419.7"/>
    <x v="0"/>
    <n v="56419.7"/>
    <e v="#N/A"/>
    <n v="8"/>
    <n v="0.3"/>
    <n v="282.10000000000002"/>
    <x v="0"/>
    <x v="1"/>
    <x v="24"/>
  </r>
  <r>
    <n v="860"/>
    <s v="VID100860"/>
    <s v="27-11-2021"/>
    <s v="04-12-2021"/>
    <x v="1"/>
    <s v="CUST-1860"/>
    <s v="Ananya Mishra"/>
    <x v="2"/>
    <s v="India"/>
    <x v="4"/>
    <s v="Maharashtra"/>
    <n v="519200"/>
    <x v="3"/>
    <s v="PROD-2860"/>
    <x v="0"/>
    <x v="0"/>
    <s v="Office Chair"/>
    <n v="32853.1"/>
    <x v="0"/>
    <n v="32853.1"/>
    <e v="#N/A"/>
    <n v="6"/>
    <n v="0.3"/>
    <n v="164.27"/>
    <x v="0"/>
    <x v="9"/>
    <x v="7"/>
  </r>
  <r>
    <n v="861"/>
    <s v="VID100861"/>
    <s v="03-11-2025"/>
    <s v="10-11-2025"/>
    <x v="1"/>
    <s v="CUST-1861"/>
    <s v="Diya Nair"/>
    <x v="0"/>
    <s v="India"/>
    <x v="2"/>
    <s v="West Bengal"/>
    <n v="394349"/>
    <x v="2"/>
    <s v="PROD-2861"/>
    <x v="2"/>
    <x v="3"/>
    <s v="A4 Paper"/>
    <n v="65529.2"/>
    <x v="0"/>
    <n v="65529.2"/>
    <e v="#N/A"/>
    <n v="9"/>
    <n v="0.1"/>
    <n v="3604.11"/>
    <x v="4"/>
    <x v="9"/>
    <x v="9"/>
  </r>
  <r>
    <n v="862"/>
    <s v="VID100862"/>
    <s v="21-04-2025"/>
    <s v="23-04-2025"/>
    <x v="2"/>
    <s v="CUST-1862"/>
    <s v="Vikram Singh"/>
    <x v="1"/>
    <s v="India"/>
    <x v="3"/>
    <s v="Gujarat"/>
    <n v="495863"/>
    <x v="3"/>
    <s v="PROD-2862"/>
    <x v="1"/>
    <x v="1"/>
    <s v="Dell Inspiron"/>
    <n v="99484.37"/>
    <x v="0"/>
    <n v="99484.37"/>
    <e v="#N/A"/>
    <n v="3"/>
    <n v="0"/>
    <n v="7958.75"/>
    <x v="4"/>
    <x v="4"/>
    <x v="26"/>
  </r>
  <r>
    <n v="863"/>
    <s v="VID100863"/>
    <s v="23-04-2021"/>
    <s v="25-04-2021"/>
    <x v="1"/>
    <s v="CUST-1863"/>
    <s v="Priya Patel"/>
    <x v="1"/>
    <s v="India"/>
    <x v="2"/>
    <s v="West Bengal"/>
    <n v="115785"/>
    <x v="2"/>
    <s v="PROD-2863"/>
    <x v="0"/>
    <x v="0"/>
    <s v="Office Chair"/>
    <n v="329.24"/>
    <x v="0"/>
    <n v="329.24"/>
    <e v="#N/A"/>
    <n v="9"/>
    <n v="0.1"/>
    <n v="18.11"/>
    <x v="0"/>
    <x v="4"/>
    <x v="24"/>
  </r>
  <r>
    <n v="864"/>
    <s v="VID100864"/>
    <s v="18-10-2024"/>
    <s v="20-10-2024"/>
    <x v="1"/>
    <s v="CUST-1864"/>
    <s v="Priya Patel"/>
    <x v="0"/>
    <s v="India"/>
    <x v="0"/>
    <s v="Delhi"/>
    <n v="119971"/>
    <x v="0"/>
    <s v="PROD-2864"/>
    <x v="0"/>
    <x v="0"/>
    <s v="Office Chair"/>
    <n v="87153.3"/>
    <x v="0"/>
    <n v="87153.3"/>
    <e v="#N/A"/>
    <n v="4"/>
    <n v="0.3"/>
    <n v="435.77"/>
    <x v="1"/>
    <x v="7"/>
    <x v="12"/>
  </r>
  <r>
    <n v="865"/>
    <s v="VID100865"/>
    <s v="25-03-2023"/>
    <s v="29-03-2023"/>
    <x v="3"/>
    <s v="CUST-1865"/>
    <s v="Diya Nair"/>
    <x v="2"/>
    <s v="India"/>
    <x v="2"/>
    <s v="West Bengal"/>
    <n v="953351"/>
    <x v="2"/>
    <s v="PROD-2865"/>
    <x v="1"/>
    <x v="2"/>
    <s v="Samsung Galaxy"/>
    <n v="42289.62"/>
    <x v="0"/>
    <n v="42289.62"/>
    <e v="#N/A"/>
    <n v="9"/>
    <n v="0.1"/>
    <n v="2325.9299999999998"/>
    <x v="3"/>
    <x v="5"/>
    <x v="17"/>
  </r>
  <r>
    <n v="866"/>
    <s v="VID100866"/>
    <s v="18-05-2024"/>
    <s v="22-05-2024"/>
    <x v="0"/>
    <s v="CUST-1866"/>
    <s v="Vikram Singh"/>
    <x v="2"/>
    <s v="India"/>
    <x v="4"/>
    <s v="Maharashtra"/>
    <n v="431911"/>
    <x v="3"/>
    <s v="PROD-2866"/>
    <x v="0"/>
    <x v="0"/>
    <s v="Office Chair"/>
    <n v="58308.07"/>
    <x v="0"/>
    <n v="58308.07"/>
    <e v="#N/A"/>
    <n v="7"/>
    <n v="0.2"/>
    <n v="1749.24"/>
    <x v="1"/>
    <x v="0"/>
    <x v="12"/>
  </r>
  <r>
    <n v="867"/>
    <s v="VID100867"/>
    <s v="01-02-2021"/>
    <s v="08-02-2021"/>
    <x v="1"/>
    <s v="CUST-1867"/>
    <s v="Diya Nair"/>
    <x v="1"/>
    <s v="India"/>
    <x v="0"/>
    <s v="Delhi"/>
    <n v="559581"/>
    <x v="0"/>
    <s v="PROD-2867"/>
    <x v="1"/>
    <x v="2"/>
    <s v="Samsung Galaxy"/>
    <n v="65864.75"/>
    <x v="0"/>
    <n v="65864.75"/>
    <e v="#N/A"/>
    <n v="8"/>
    <n v="0"/>
    <n v="5269.18"/>
    <x v="0"/>
    <x v="11"/>
    <x v="11"/>
  </r>
  <r>
    <n v="868"/>
    <s v="VID100868"/>
    <s v="28-12-2022"/>
    <s v="03-01-2023"/>
    <x v="2"/>
    <s v="CUST-1868"/>
    <s v="Rohan Das"/>
    <x v="2"/>
    <s v="India"/>
    <x v="0"/>
    <s v="Delhi"/>
    <n v="144160"/>
    <x v="0"/>
    <s v="PROD-2868"/>
    <x v="0"/>
    <x v="0"/>
    <s v="Office Chair"/>
    <n v="57871.65"/>
    <x v="0"/>
    <n v="57871.65"/>
    <e v="#N/A"/>
    <n v="1"/>
    <n v="0.2"/>
    <n v="1736.15"/>
    <x v="2"/>
    <x v="1"/>
    <x v="13"/>
  </r>
  <r>
    <n v="869"/>
    <s v="VID100869"/>
    <s v="11-03-2023"/>
    <s v="12-03-2023"/>
    <x v="0"/>
    <s v="CUST-1869"/>
    <s v="Vikram Singh"/>
    <x v="0"/>
    <s v="India"/>
    <x v="0"/>
    <s v="Delhi"/>
    <n v="413887"/>
    <x v="0"/>
    <s v="PROD-2869"/>
    <x v="2"/>
    <x v="3"/>
    <s v="A4 Paper"/>
    <n v="32221.52"/>
    <x v="0"/>
    <n v="32221.52"/>
    <e v="#N/A"/>
    <n v="9"/>
    <n v="0.3"/>
    <n v="161.11000000000001"/>
    <x v="3"/>
    <x v="5"/>
    <x v="23"/>
  </r>
  <r>
    <n v="870"/>
    <s v="VID100870"/>
    <s v="01-05-2025"/>
    <s v="08-05-2025"/>
    <x v="2"/>
    <s v="CUST-1870"/>
    <s v="Aarav Sharma"/>
    <x v="1"/>
    <s v="India"/>
    <x v="3"/>
    <s v="Gujarat"/>
    <n v="835403"/>
    <x v="3"/>
    <s v="PROD-2870"/>
    <x v="1"/>
    <x v="2"/>
    <s v="Samsung Galaxy"/>
    <n v="51704.800000000003"/>
    <x v="0"/>
    <n v="51704.800000000003"/>
    <e v="#N/A"/>
    <n v="9"/>
    <n v="0.3"/>
    <n v="258.52"/>
    <x v="4"/>
    <x v="0"/>
    <x v="11"/>
  </r>
  <r>
    <n v="871"/>
    <s v="VID100871"/>
    <s v="30-07-2024"/>
    <s v="31-07-2024"/>
    <x v="0"/>
    <s v="CUST-1871"/>
    <s v="Rahul Joshi"/>
    <x v="1"/>
    <s v="India"/>
    <x v="1"/>
    <s v="Karnataka"/>
    <n v="413777"/>
    <x v="1"/>
    <s v="PROD-2871"/>
    <x v="2"/>
    <x v="3"/>
    <s v="A4 Paper"/>
    <n v="73613.31"/>
    <x v="0"/>
    <n v="73613.31"/>
    <e v="#N/A"/>
    <n v="6"/>
    <n v="0.3"/>
    <n v="368.07"/>
    <x v="1"/>
    <x v="6"/>
    <x v="16"/>
  </r>
  <r>
    <n v="872"/>
    <s v="VID100872"/>
    <s v="27-06-2025"/>
    <s v="28-06-2025"/>
    <x v="0"/>
    <s v="CUST-1872"/>
    <s v="Sneha Reddy"/>
    <x v="1"/>
    <s v="India"/>
    <x v="1"/>
    <s v="Karnataka"/>
    <n v="443100"/>
    <x v="1"/>
    <s v="PROD-2872"/>
    <x v="1"/>
    <x v="2"/>
    <s v="Samsung Galaxy"/>
    <n v="39850.050000000003"/>
    <x v="0"/>
    <n v="39850.050000000003"/>
    <e v="#N/A"/>
    <n v="9"/>
    <n v="0.1"/>
    <n v="2191.75"/>
    <x v="4"/>
    <x v="3"/>
    <x v="7"/>
  </r>
  <r>
    <n v="873"/>
    <s v="VID100873"/>
    <s v="17-02-2023"/>
    <s v="20-02-2023"/>
    <x v="2"/>
    <s v="CUST-1873"/>
    <s v="Sneha Reddy"/>
    <x v="2"/>
    <s v="India"/>
    <x v="2"/>
    <s v="West Bengal"/>
    <n v="827247"/>
    <x v="2"/>
    <s v="PROD-2873"/>
    <x v="1"/>
    <x v="2"/>
    <s v="Samsung Galaxy"/>
    <n v="38245.300000000003"/>
    <x v="0"/>
    <n v="38245.300000000003"/>
    <e v="#N/A"/>
    <n v="2"/>
    <n v="0.1"/>
    <n v="2103.4899999999998"/>
    <x v="3"/>
    <x v="11"/>
    <x v="29"/>
  </r>
  <r>
    <n v="874"/>
    <s v="VID100874"/>
    <s v="30-11-2021"/>
    <s v="05-12-2021"/>
    <x v="0"/>
    <s v="CUST-1874"/>
    <s v="Rohan Das"/>
    <x v="0"/>
    <s v="India"/>
    <x v="0"/>
    <s v="Delhi"/>
    <n v="655382"/>
    <x v="0"/>
    <s v="PROD-2874"/>
    <x v="1"/>
    <x v="1"/>
    <s v="Dell Inspiron"/>
    <n v="75721.62"/>
    <x v="0"/>
    <n v="75721.62"/>
    <e v="#N/A"/>
    <n v="8"/>
    <n v="0"/>
    <n v="6057.73"/>
    <x v="0"/>
    <x v="9"/>
    <x v="16"/>
  </r>
  <r>
    <n v="875"/>
    <s v="VID100875"/>
    <s v="20-01-2021"/>
    <s v="21-01-2021"/>
    <x v="2"/>
    <s v="CUST-1875"/>
    <s v="Sneha Reddy"/>
    <x v="1"/>
    <s v="India"/>
    <x v="3"/>
    <s v="Gujarat"/>
    <n v="180068"/>
    <x v="3"/>
    <s v="PROD-2875"/>
    <x v="1"/>
    <x v="1"/>
    <s v="Dell Inspiron"/>
    <n v="47122.94"/>
    <x v="0"/>
    <n v="47122.94"/>
    <e v="#N/A"/>
    <n v="9"/>
    <n v="0.3"/>
    <n v="235.61"/>
    <x v="0"/>
    <x v="8"/>
    <x v="0"/>
  </r>
  <r>
    <n v="876"/>
    <s v="VID100876"/>
    <s v="12-08-2023"/>
    <s v="18-08-2023"/>
    <x v="2"/>
    <s v="CUST-1876"/>
    <s v="Rahul Joshi"/>
    <x v="2"/>
    <s v="India"/>
    <x v="2"/>
    <s v="West Bengal"/>
    <n v="268474"/>
    <x v="2"/>
    <s v="PROD-2876"/>
    <x v="1"/>
    <x v="2"/>
    <s v="Samsung Galaxy"/>
    <n v="78749.429999999993"/>
    <x v="0"/>
    <n v="78749.429999999993"/>
    <e v="#N/A"/>
    <n v="6"/>
    <n v="0.3"/>
    <n v="393.75"/>
    <x v="3"/>
    <x v="2"/>
    <x v="1"/>
  </r>
  <r>
    <n v="877"/>
    <s v="VID100877"/>
    <s v="09-09-2023"/>
    <s v="14-09-2023"/>
    <x v="2"/>
    <s v="CUST-1877"/>
    <s v="Rohan Das"/>
    <x v="0"/>
    <s v="India"/>
    <x v="4"/>
    <s v="Maharashtra"/>
    <n v="913381"/>
    <x v="3"/>
    <s v="PROD-2877"/>
    <x v="0"/>
    <x v="0"/>
    <s v="Office Chair"/>
    <n v="4677.0600000000004"/>
    <x v="0"/>
    <n v="4677.0600000000004"/>
    <e v="#N/A"/>
    <n v="4"/>
    <n v="0.3"/>
    <n v="23.39"/>
    <x v="3"/>
    <x v="10"/>
    <x v="18"/>
  </r>
  <r>
    <n v="878"/>
    <s v="VID100878"/>
    <s v="12-03-2025"/>
    <s v="19-03-2025"/>
    <x v="2"/>
    <s v="CUST-1878"/>
    <s v="Pooja Hegde"/>
    <x v="2"/>
    <s v="India"/>
    <x v="3"/>
    <s v="Gujarat"/>
    <n v="183821"/>
    <x v="3"/>
    <s v="PROD-2878"/>
    <x v="0"/>
    <x v="0"/>
    <s v="Office Chair"/>
    <n v="58677.77"/>
    <x v="0"/>
    <n v="58677.77"/>
    <e v="#N/A"/>
    <n v="7"/>
    <n v="0"/>
    <n v="4694.22"/>
    <x v="4"/>
    <x v="5"/>
    <x v="1"/>
  </r>
  <r>
    <n v="879"/>
    <s v="VID100879"/>
    <s v="24-08-2023"/>
    <s v="29-08-2023"/>
    <x v="2"/>
    <s v="CUST-1879"/>
    <s v="Ananya Mishra"/>
    <x v="1"/>
    <s v="India"/>
    <x v="3"/>
    <s v="Gujarat"/>
    <n v="701873"/>
    <x v="3"/>
    <s v="PROD-2879"/>
    <x v="0"/>
    <x v="0"/>
    <s v="Office Chair"/>
    <n v="46896.07"/>
    <x v="0"/>
    <n v="46896.07"/>
    <e v="#N/A"/>
    <n v="3"/>
    <n v="0"/>
    <n v="3751.69"/>
    <x v="3"/>
    <x v="2"/>
    <x v="14"/>
  </r>
  <r>
    <n v="880"/>
    <s v="VID100880"/>
    <s v="21-10-2025"/>
    <s v="23-10-2025"/>
    <x v="1"/>
    <s v="CUST-1880"/>
    <s v="Rahul Joshi"/>
    <x v="0"/>
    <s v="India"/>
    <x v="2"/>
    <s v="West Bengal"/>
    <n v="490204"/>
    <x v="2"/>
    <s v="PROD-2880"/>
    <x v="1"/>
    <x v="1"/>
    <s v="Dell Inspiron"/>
    <n v="90797.37"/>
    <x v="0"/>
    <n v="90797.37"/>
    <e v="#N/A"/>
    <n v="1"/>
    <n v="0.3"/>
    <n v="453.99"/>
    <x v="4"/>
    <x v="7"/>
    <x v="26"/>
  </r>
  <r>
    <n v="881"/>
    <s v="VID100881"/>
    <s v="05-09-2021"/>
    <s v="08-09-2021"/>
    <x v="1"/>
    <s v="CUST-1881"/>
    <s v="Pooja Hegde"/>
    <x v="2"/>
    <s v="India"/>
    <x v="4"/>
    <s v="Maharashtra"/>
    <n v="409380"/>
    <x v="3"/>
    <s v="PROD-2881"/>
    <x v="0"/>
    <x v="0"/>
    <s v="Office Chair"/>
    <n v="28821.69"/>
    <x v="0"/>
    <n v="28821.69"/>
    <e v="#N/A"/>
    <n v="5"/>
    <n v="0"/>
    <n v="2305.7399999999998"/>
    <x v="0"/>
    <x v="10"/>
    <x v="25"/>
  </r>
  <r>
    <n v="882"/>
    <s v="VID100882"/>
    <s v="27-06-2025"/>
    <s v="01-07-2025"/>
    <x v="3"/>
    <s v="CUST-1882"/>
    <s v="Priya Patel"/>
    <x v="1"/>
    <s v="India"/>
    <x v="1"/>
    <s v="Karnataka"/>
    <n v="685282"/>
    <x v="1"/>
    <s v="PROD-2882"/>
    <x v="1"/>
    <x v="2"/>
    <s v="Samsung Galaxy"/>
    <n v="99256.58"/>
    <x v="0"/>
    <n v="99256.58"/>
    <e v="#N/A"/>
    <n v="9"/>
    <n v="0"/>
    <n v="7940.53"/>
    <x v="4"/>
    <x v="3"/>
    <x v="7"/>
  </r>
  <r>
    <n v="883"/>
    <s v="VID100883"/>
    <s v="05-08-2021"/>
    <s v="07-08-2021"/>
    <x v="2"/>
    <s v="CUST-1883"/>
    <s v="Aarav Sharma"/>
    <x v="0"/>
    <s v="India"/>
    <x v="0"/>
    <s v="Delhi"/>
    <n v="239487"/>
    <x v="0"/>
    <s v="PROD-2883"/>
    <x v="1"/>
    <x v="2"/>
    <s v="Samsung Galaxy"/>
    <n v="49415.77"/>
    <x v="0"/>
    <n v="49415.77"/>
    <e v="#N/A"/>
    <n v="10"/>
    <n v="0.1"/>
    <n v="2717.87"/>
    <x v="0"/>
    <x v="2"/>
    <x v="25"/>
  </r>
  <r>
    <n v="884"/>
    <s v="VID100884"/>
    <s v="01-11-2021"/>
    <s v="03-11-2021"/>
    <x v="3"/>
    <s v="CUST-1884"/>
    <s v="Sneha Reddy"/>
    <x v="0"/>
    <s v="India"/>
    <x v="4"/>
    <s v="Maharashtra"/>
    <n v="101017"/>
    <x v="3"/>
    <s v="PROD-2884"/>
    <x v="2"/>
    <x v="3"/>
    <s v="A4 Paper"/>
    <n v="82398.350000000006"/>
    <x v="0"/>
    <n v="82398.350000000006"/>
    <e v="#N/A"/>
    <n v="7"/>
    <n v="0.1"/>
    <n v="4531.91"/>
    <x v="0"/>
    <x v="9"/>
    <x v="11"/>
  </r>
  <r>
    <n v="885"/>
    <s v="VID100885"/>
    <s v="08-04-2022"/>
    <s v="11-04-2022"/>
    <x v="3"/>
    <s v="CUST-1885"/>
    <s v="Ananya Mishra"/>
    <x v="1"/>
    <s v="India"/>
    <x v="2"/>
    <s v="West Bengal"/>
    <n v="893627"/>
    <x v="2"/>
    <s v="PROD-2885"/>
    <x v="1"/>
    <x v="2"/>
    <s v="Samsung Galaxy"/>
    <n v="32406.25"/>
    <x v="0"/>
    <n v="32406.25"/>
    <e v="#N/A"/>
    <n v="3"/>
    <n v="0"/>
    <n v="2592.5"/>
    <x v="2"/>
    <x v="4"/>
    <x v="3"/>
  </r>
  <r>
    <n v="886"/>
    <s v="VID100886"/>
    <s v="29-11-2022"/>
    <s v="03-12-2022"/>
    <x v="2"/>
    <s v="CUST-1886"/>
    <s v="Priya Patel"/>
    <x v="0"/>
    <s v="India"/>
    <x v="2"/>
    <s v="West Bengal"/>
    <n v="805736"/>
    <x v="2"/>
    <s v="PROD-2886"/>
    <x v="1"/>
    <x v="2"/>
    <s v="Samsung Galaxy"/>
    <n v="81744.66"/>
    <x v="0"/>
    <n v="81744.66"/>
    <e v="#N/A"/>
    <n v="5"/>
    <n v="0.3"/>
    <n v="408.72"/>
    <x v="2"/>
    <x v="9"/>
    <x v="19"/>
  </r>
  <r>
    <n v="887"/>
    <s v="VID100887"/>
    <s v="03-09-2023"/>
    <s v="09-09-2023"/>
    <x v="1"/>
    <s v="CUST-1887"/>
    <s v="Rahul Joshi"/>
    <x v="1"/>
    <s v="India"/>
    <x v="4"/>
    <s v="Maharashtra"/>
    <n v="792452"/>
    <x v="3"/>
    <s v="PROD-2887"/>
    <x v="2"/>
    <x v="3"/>
    <s v="A4 Paper"/>
    <n v="48652.02"/>
    <x v="0"/>
    <n v="48652.02"/>
    <e v="#N/A"/>
    <n v="1"/>
    <n v="0.2"/>
    <n v="1459.56"/>
    <x v="3"/>
    <x v="10"/>
    <x v="9"/>
  </r>
  <r>
    <n v="888"/>
    <s v="VID100888"/>
    <s v="20-12-2023"/>
    <s v="25-12-2023"/>
    <x v="0"/>
    <s v="CUST-1888"/>
    <s v="Rahul Joshi"/>
    <x v="2"/>
    <s v="India"/>
    <x v="4"/>
    <s v="Maharashtra"/>
    <n v="241785"/>
    <x v="3"/>
    <s v="PROD-2888"/>
    <x v="1"/>
    <x v="2"/>
    <s v="Samsung Galaxy"/>
    <n v="16962.63"/>
    <x v="0"/>
    <n v="16962.63"/>
    <e v="#N/A"/>
    <n v="4"/>
    <n v="0"/>
    <n v="1357.01"/>
    <x v="3"/>
    <x v="1"/>
    <x v="0"/>
  </r>
  <r>
    <n v="889"/>
    <s v="VID100889"/>
    <s v="28-01-2022"/>
    <s v="29-01-2022"/>
    <x v="1"/>
    <s v="CUST-1889"/>
    <s v="Pooja Hegde"/>
    <x v="2"/>
    <s v="India"/>
    <x v="2"/>
    <s v="West Bengal"/>
    <n v="185373"/>
    <x v="2"/>
    <s v="PROD-2889"/>
    <x v="1"/>
    <x v="1"/>
    <s v="Dell Inspiron"/>
    <n v="81879.81"/>
    <x v="0"/>
    <n v="81879.81"/>
    <e v="#N/A"/>
    <n v="6"/>
    <n v="0.2"/>
    <n v="2456.39"/>
    <x v="2"/>
    <x v="8"/>
    <x v="13"/>
  </r>
  <r>
    <n v="890"/>
    <s v="VID100890"/>
    <s v="27-01-2022"/>
    <s v="01-02-2022"/>
    <x v="2"/>
    <s v="CUST-1890"/>
    <s v="Pooja Hegde"/>
    <x v="2"/>
    <s v="India"/>
    <x v="3"/>
    <s v="Gujarat"/>
    <n v="297977"/>
    <x v="3"/>
    <s v="PROD-2890"/>
    <x v="0"/>
    <x v="0"/>
    <s v="Office Chair"/>
    <n v="81552.850000000006"/>
    <x v="0"/>
    <n v="81552.850000000006"/>
    <e v="#N/A"/>
    <n v="10"/>
    <n v="0.2"/>
    <n v="2446.59"/>
    <x v="2"/>
    <x v="8"/>
    <x v="7"/>
  </r>
  <r>
    <n v="891"/>
    <s v="VID100891"/>
    <s v="26-09-2022"/>
    <s v="01-10-2022"/>
    <x v="0"/>
    <s v="CUST-1891"/>
    <s v="Rohan Das"/>
    <x v="0"/>
    <s v="India"/>
    <x v="0"/>
    <s v="Delhi"/>
    <n v="184780"/>
    <x v="0"/>
    <s v="PROD-2891"/>
    <x v="1"/>
    <x v="2"/>
    <s v="Samsung Galaxy"/>
    <n v="36892.65"/>
    <x v="0"/>
    <n v="36892.65"/>
    <e v="#N/A"/>
    <n v="8"/>
    <n v="0.2"/>
    <n v="1106.78"/>
    <x v="2"/>
    <x v="10"/>
    <x v="21"/>
  </r>
  <r>
    <n v="892"/>
    <s v="VID100892"/>
    <s v="02-08-2022"/>
    <s v="05-08-2022"/>
    <x v="1"/>
    <s v="CUST-1892"/>
    <s v="Rohan Das"/>
    <x v="1"/>
    <s v="India"/>
    <x v="4"/>
    <s v="Maharashtra"/>
    <n v="357955"/>
    <x v="3"/>
    <s v="PROD-2892"/>
    <x v="1"/>
    <x v="1"/>
    <s v="Dell Inspiron"/>
    <n v="82466.97"/>
    <x v="0"/>
    <n v="82466.97"/>
    <e v="#N/A"/>
    <n v="8"/>
    <n v="0"/>
    <n v="6597.36"/>
    <x v="2"/>
    <x v="2"/>
    <x v="10"/>
  </r>
  <r>
    <n v="893"/>
    <s v="VID100893"/>
    <s v="23-09-2023"/>
    <s v="30-09-2023"/>
    <x v="0"/>
    <s v="CUST-1893"/>
    <s v="Amit Verma"/>
    <x v="1"/>
    <s v="India"/>
    <x v="1"/>
    <s v="Karnataka"/>
    <n v="853327"/>
    <x v="1"/>
    <s v="PROD-2893"/>
    <x v="0"/>
    <x v="0"/>
    <s v="Office Chair"/>
    <n v="71900.73"/>
    <x v="0"/>
    <n v="71900.73"/>
    <e v="#N/A"/>
    <n v="4"/>
    <n v="0.1"/>
    <n v="3954.54"/>
    <x v="3"/>
    <x v="10"/>
    <x v="24"/>
  </r>
  <r>
    <n v="894"/>
    <s v="VID100894"/>
    <s v="21-11-2021"/>
    <s v="26-11-2021"/>
    <x v="3"/>
    <s v="CUST-1894"/>
    <s v="Ananya Mishra"/>
    <x v="1"/>
    <s v="India"/>
    <x v="2"/>
    <s v="West Bengal"/>
    <n v="461157"/>
    <x v="2"/>
    <s v="PROD-2894"/>
    <x v="1"/>
    <x v="1"/>
    <s v="Dell Inspiron"/>
    <n v="49275.75"/>
    <x v="0"/>
    <n v="49275.75"/>
    <e v="#N/A"/>
    <n v="1"/>
    <n v="0.3"/>
    <n v="246.38"/>
    <x v="0"/>
    <x v="9"/>
    <x v="26"/>
  </r>
  <r>
    <n v="895"/>
    <s v="VID100895"/>
    <s v="28-10-2024"/>
    <s v="29-10-2024"/>
    <x v="1"/>
    <s v="CUST-1895"/>
    <s v="Sneha Reddy"/>
    <x v="1"/>
    <s v="India"/>
    <x v="4"/>
    <s v="Maharashtra"/>
    <n v="888736"/>
    <x v="3"/>
    <s v="PROD-2895"/>
    <x v="0"/>
    <x v="0"/>
    <s v="Office Chair"/>
    <n v="67325.52"/>
    <x v="0"/>
    <n v="67325.52"/>
    <e v="#N/A"/>
    <n v="3"/>
    <n v="0.2"/>
    <n v="2019.77"/>
    <x v="1"/>
    <x v="7"/>
    <x v="13"/>
  </r>
  <r>
    <n v="896"/>
    <s v="VID100896"/>
    <s v="21-05-2022"/>
    <s v="28-05-2022"/>
    <x v="2"/>
    <s v="CUST-1896"/>
    <s v="Sneha Reddy"/>
    <x v="0"/>
    <s v="India"/>
    <x v="1"/>
    <s v="Karnataka"/>
    <n v="928863"/>
    <x v="1"/>
    <s v="PROD-2896"/>
    <x v="1"/>
    <x v="2"/>
    <s v="Samsung Galaxy"/>
    <n v="23437.78"/>
    <x v="0"/>
    <n v="23437.78"/>
    <e v="#N/A"/>
    <n v="1"/>
    <n v="0.1"/>
    <n v="1289.08"/>
    <x v="2"/>
    <x v="0"/>
    <x v="26"/>
  </r>
  <r>
    <n v="897"/>
    <s v="VID100897"/>
    <s v="01-06-2024"/>
    <s v="05-06-2024"/>
    <x v="1"/>
    <s v="CUST-1897"/>
    <s v="Amit Verma"/>
    <x v="2"/>
    <s v="India"/>
    <x v="4"/>
    <s v="Maharashtra"/>
    <n v="324155"/>
    <x v="3"/>
    <s v="PROD-2897"/>
    <x v="1"/>
    <x v="1"/>
    <s v="Dell Inspiron"/>
    <n v="26001.1"/>
    <x v="0"/>
    <n v="26001.1"/>
    <e v="#N/A"/>
    <n v="8"/>
    <n v="0.3"/>
    <n v="130.01"/>
    <x v="1"/>
    <x v="3"/>
    <x v="11"/>
  </r>
  <r>
    <n v="898"/>
    <s v="VID100898"/>
    <s v="06-05-2022"/>
    <s v="10-05-2022"/>
    <x v="2"/>
    <s v="CUST-1898"/>
    <s v="Pooja Hegde"/>
    <x v="2"/>
    <s v="India"/>
    <x v="4"/>
    <s v="Maharashtra"/>
    <n v="385078"/>
    <x v="3"/>
    <s v="PROD-2898"/>
    <x v="1"/>
    <x v="2"/>
    <s v="Samsung Galaxy"/>
    <n v="5258.92"/>
    <x v="0"/>
    <n v="5258.92"/>
    <e v="#N/A"/>
    <n v="7"/>
    <n v="0.3"/>
    <n v="26.29"/>
    <x v="2"/>
    <x v="0"/>
    <x v="15"/>
  </r>
  <r>
    <n v="899"/>
    <s v="VID100899"/>
    <s v="11-03-2025"/>
    <s v="14-03-2025"/>
    <x v="3"/>
    <s v="CUST-1899"/>
    <s v="Aarav Sharma"/>
    <x v="2"/>
    <s v="India"/>
    <x v="0"/>
    <s v="Delhi"/>
    <n v="260908"/>
    <x v="0"/>
    <s v="PROD-2899"/>
    <x v="2"/>
    <x v="3"/>
    <s v="A4 Paper"/>
    <n v="33982.86"/>
    <x v="0"/>
    <n v="33982.86"/>
    <e v="#N/A"/>
    <n v="9"/>
    <n v="0.1"/>
    <n v="1869.06"/>
    <x v="4"/>
    <x v="5"/>
    <x v="23"/>
  </r>
  <r>
    <n v="900"/>
    <s v="VID100900"/>
    <s v="18-11-2022"/>
    <s v="19-11-2022"/>
    <x v="0"/>
    <s v="CUST-1900"/>
    <s v="Priya Patel"/>
    <x v="2"/>
    <s v="India"/>
    <x v="3"/>
    <s v="Gujarat"/>
    <n v="505445"/>
    <x v="3"/>
    <s v="PROD-2900"/>
    <x v="0"/>
    <x v="0"/>
    <s v="Office Chair"/>
    <n v="51515.54"/>
    <x v="0"/>
    <n v="51515.54"/>
    <e v="#N/A"/>
    <n v="7"/>
    <n v="0.2"/>
    <n v="1545.47"/>
    <x v="2"/>
    <x v="9"/>
    <x v="12"/>
  </r>
  <r>
    <n v="901"/>
    <s v="VID100901"/>
    <s v="04-02-2023"/>
    <s v="11-02-2023"/>
    <x v="1"/>
    <s v="CUST-1901"/>
    <s v="Priya Patel"/>
    <x v="1"/>
    <s v="India"/>
    <x v="1"/>
    <s v="Karnataka"/>
    <n v="262584"/>
    <x v="1"/>
    <s v="PROD-2901"/>
    <x v="1"/>
    <x v="2"/>
    <s v="Samsung Galaxy"/>
    <n v="64110.77"/>
    <x v="0"/>
    <n v="64110.77"/>
    <e v="#N/A"/>
    <n v="9"/>
    <n v="0.3"/>
    <n v="320.55"/>
    <x v="3"/>
    <x v="11"/>
    <x v="22"/>
  </r>
  <r>
    <n v="902"/>
    <s v="VID100902"/>
    <s v="24-10-2025"/>
    <s v="27-10-2025"/>
    <x v="2"/>
    <s v="CUST-1902"/>
    <s v="Pooja Hegde"/>
    <x v="1"/>
    <s v="India"/>
    <x v="4"/>
    <s v="Maharashtra"/>
    <n v="448956"/>
    <x v="3"/>
    <s v="PROD-2902"/>
    <x v="2"/>
    <x v="3"/>
    <s v="A4 Paper"/>
    <n v="74517.25"/>
    <x v="0"/>
    <n v="74517.25"/>
    <e v="#N/A"/>
    <n v="6"/>
    <n v="0.2"/>
    <n v="2235.52"/>
    <x v="4"/>
    <x v="7"/>
    <x v="14"/>
  </r>
  <r>
    <n v="903"/>
    <s v="VID100903"/>
    <s v="27-02-2022"/>
    <s v="02-03-2022"/>
    <x v="0"/>
    <s v="CUST-1903"/>
    <s v="Aarav Sharma"/>
    <x v="0"/>
    <s v="India"/>
    <x v="3"/>
    <s v="Gujarat"/>
    <n v="927743"/>
    <x v="3"/>
    <s v="PROD-2903"/>
    <x v="1"/>
    <x v="1"/>
    <s v="Dell Inspiron"/>
    <n v="92244.94"/>
    <x v="0"/>
    <n v="92244.94"/>
    <e v="#N/A"/>
    <n v="3"/>
    <n v="0.3"/>
    <n v="461.22"/>
    <x v="2"/>
    <x v="11"/>
    <x v="7"/>
  </r>
  <r>
    <n v="904"/>
    <s v="VID100904"/>
    <s v="06-06-2024"/>
    <s v="12-06-2024"/>
    <x v="1"/>
    <s v="CUST-1904"/>
    <s v="Aarav Sharma"/>
    <x v="2"/>
    <s v="India"/>
    <x v="4"/>
    <s v="Maharashtra"/>
    <n v="712295"/>
    <x v="3"/>
    <s v="PROD-2904"/>
    <x v="1"/>
    <x v="1"/>
    <s v="Dell Inspiron"/>
    <n v="22126.47"/>
    <x v="0"/>
    <n v="22126.47"/>
    <e v="#N/A"/>
    <n v="5"/>
    <n v="0"/>
    <n v="1770.12"/>
    <x v="1"/>
    <x v="3"/>
    <x v="15"/>
  </r>
  <r>
    <n v="905"/>
    <s v="VID100905"/>
    <s v="06-04-2021"/>
    <s v="11-04-2021"/>
    <x v="2"/>
    <s v="CUST-1905"/>
    <s v="Amit Verma"/>
    <x v="2"/>
    <s v="India"/>
    <x v="0"/>
    <s v="Delhi"/>
    <n v="322461"/>
    <x v="0"/>
    <s v="PROD-2905"/>
    <x v="1"/>
    <x v="1"/>
    <s v="Dell Inspiron"/>
    <n v="25649.49"/>
    <x v="0"/>
    <n v="25649.49"/>
    <e v="#N/A"/>
    <n v="3"/>
    <n v="0.3"/>
    <n v="128.25"/>
    <x v="0"/>
    <x v="4"/>
    <x v="15"/>
  </r>
  <r>
    <n v="906"/>
    <s v="VID100906"/>
    <s v="28-08-2024"/>
    <s v="03-09-2024"/>
    <x v="3"/>
    <s v="CUST-1906"/>
    <s v="Sneha Reddy"/>
    <x v="0"/>
    <s v="India"/>
    <x v="3"/>
    <s v="Gujarat"/>
    <n v="179393"/>
    <x v="3"/>
    <s v="PROD-2906"/>
    <x v="2"/>
    <x v="3"/>
    <s v="A4 Paper"/>
    <n v="30908.639999999999"/>
    <x v="0"/>
    <n v="30908.639999999999"/>
    <e v="#N/A"/>
    <n v="6"/>
    <n v="0.2"/>
    <n v="927.26"/>
    <x v="1"/>
    <x v="2"/>
    <x v="13"/>
  </r>
  <r>
    <n v="907"/>
    <s v="VID100907"/>
    <s v="16-07-2023"/>
    <s v="18-07-2023"/>
    <x v="1"/>
    <s v="CUST-1907"/>
    <s v="Rahul Joshi"/>
    <x v="0"/>
    <s v="India"/>
    <x v="1"/>
    <s v="Karnataka"/>
    <n v="929652"/>
    <x v="1"/>
    <s v="PROD-2907"/>
    <x v="0"/>
    <x v="0"/>
    <s v="Office Chair"/>
    <n v="85182.55"/>
    <x v="0"/>
    <n v="85182.55"/>
    <e v="#N/A"/>
    <n v="10"/>
    <n v="0"/>
    <n v="6814.6"/>
    <x v="3"/>
    <x v="6"/>
    <x v="20"/>
  </r>
  <r>
    <n v="908"/>
    <s v="VID100908"/>
    <s v="05-02-2021"/>
    <s v="08-02-2021"/>
    <x v="2"/>
    <s v="CUST-1908"/>
    <s v="Aarav Sharma"/>
    <x v="1"/>
    <s v="India"/>
    <x v="2"/>
    <s v="West Bengal"/>
    <n v="125997"/>
    <x v="2"/>
    <s v="PROD-2908"/>
    <x v="1"/>
    <x v="2"/>
    <s v="Samsung Galaxy"/>
    <n v="81494.600000000006"/>
    <x v="0"/>
    <n v="81494.600000000006"/>
    <e v="#N/A"/>
    <n v="1"/>
    <n v="0.2"/>
    <n v="2444.84"/>
    <x v="0"/>
    <x v="11"/>
    <x v="25"/>
  </r>
  <r>
    <n v="909"/>
    <s v="VID100909"/>
    <s v="24-04-2021"/>
    <s v="27-04-2021"/>
    <x v="2"/>
    <s v="CUST-1909"/>
    <s v="Ananya Mishra"/>
    <x v="1"/>
    <s v="India"/>
    <x v="2"/>
    <s v="West Bengal"/>
    <n v="967840"/>
    <x v="2"/>
    <s v="PROD-2909"/>
    <x v="1"/>
    <x v="1"/>
    <s v="Dell Inspiron"/>
    <n v="42037.599999999999"/>
    <x v="0"/>
    <n v="42037.599999999999"/>
    <e v="#N/A"/>
    <n v="3"/>
    <n v="0.1"/>
    <n v="2312.0700000000002"/>
    <x v="0"/>
    <x v="4"/>
    <x v="14"/>
  </r>
  <r>
    <n v="910"/>
    <s v="VID100910"/>
    <s v="08-06-2022"/>
    <s v="15-06-2022"/>
    <x v="3"/>
    <s v="CUST-1910"/>
    <s v="Ananya Mishra"/>
    <x v="0"/>
    <s v="India"/>
    <x v="1"/>
    <s v="Karnataka"/>
    <n v="129667"/>
    <x v="1"/>
    <s v="PROD-2910"/>
    <x v="1"/>
    <x v="2"/>
    <s v="Samsung Galaxy"/>
    <n v="47957.06"/>
    <x v="0"/>
    <n v="47957.06"/>
    <e v="#N/A"/>
    <n v="6"/>
    <n v="0.1"/>
    <n v="2637.64"/>
    <x v="2"/>
    <x v="3"/>
    <x v="3"/>
  </r>
  <r>
    <n v="911"/>
    <s v="VID100911"/>
    <s v="13-05-2021"/>
    <s v="16-05-2021"/>
    <x v="0"/>
    <s v="CUST-1911"/>
    <s v="Pooja Hegde"/>
    <x v="2"/>
    <s v="India"/>
    <x v="2"/>
    <s v="West Bengal"/>
    <n v="260046"/>
    <x v="2"/>
    <s v="PROD-2911"/>
    <x v="2"/>
    <x v="3"/>
    <s v="A4 Paper"/>
    <n v="11338.03"/>
    <x v="0"/>
    <n v="11338.03"/>
    <e v="#N/A"/>
    <n v="4"/>
    <n v="0.3"/>
    <n v="56.69"/>
    <x v="0"/>
    <x v="0"/>
    <x v="30"/>
  </r>
  <r>
    <n v="912"/>
    <s v="VID100912"/>
    <s v="08-08-2022"/>
    <s v="11-08-2022"/>
    <x v="1"/>
    <s v="CUST-1912"/>
    <s v="Ananya Mishra"/>
    <x v="2"/>
    <s v="India"/>
    <x v="1"/>
    <s v="Karnataka"/>
    <n v="962599"/>
    <x v="1"/>
    <s v="PROD-2912"/>
    <x v="2"/>
    <x v="3"/>
    <s v="A4 Paper"/>
    <n v="4355.2299999999996"/>
    <x v="0"/>
    <n v="4355.2299999999996"/>
    <e v="#N/A"/>
    <n v="9"/>
    <n v="0.2"/>
    <n v="130.66"/>
    <x v="2"/>
    <x v="2"/>
    <x v="3"/>
  </r>
  <r>
    <n v="913"/>
    <s v="VID100913"/>
    <s v="05-07-2024"/>
    <s v="11-07-2024"/>
    <x v="2"/>
    <s v="CUST-1913"/>
    <s v="Ananya Mishra"/>
    <x v="0"/>
    <s v="India"/>
    <x v="3"/>
    <s v="Gujarat"/>
    <n v="866863"/>
    <x v="3"/>
    <s v="PROD-2913"/>
    <x v="1"/>
    <x v="1"/>
    <s v="Dell Inspiron"/>
    <n v="93914.63"/>
    <x v="0"/>
    <n v="93914.63"/>
    <e v="#N/A"/>
    <n v="2"/>
    <n v="0.1"/>
    <n v="5165.3"/>
    <x v="1"/>
    <x v="6"/>
    <x v="25"/>
  </r>
  <r>
    <n v="914"/>
    <s v="VID100914"/>
    <s v="17-11-2023"/>
    <s v="23-11-2023"/>
    <x v="2"/>
    <s v="CUST-1914"/>
    <s v="Pooja Hegde"/>
    <x v="0"/>
    <s v="India"/>
    <x v="4"/>
    <s v="Maharashtra"/>
    <n v="552199"/>
    <x v="3"/>
    <s v="PROD-2914"/>
    <x v="1"/>
    <x v="1"/>
    <s v="Dell Inspiron"/>
    <n v="41794.26"/>
    <x v="0"/>
    <n v="41794.26"/>
    <e v="#N/A"/>
    <n v="8"/>
    <n v="0"/>
    <n v="3343.54"/>
    <x v="3"/>
    <x v="9"/>
    <x v="29"/>
  </r>
  <r>
    <n v="915"/>
    <s v="VID100915"/>
    <s v="24-02-2021"/>
    <s v="25-02-2021"/>
    <x v="2"/>
    <s v="CUST-1915"/>
    <s v="Aarav Sharma"/>
    <x v="2"/>
    <s v="India"/>
    <x v="2"/>
    <s v="West Bengal"/>
    <n v="889491"/>
    <x v="2"/>
    <s v="PROD-2915"/>
    <x v="0"/>
    <x v="0"/>
    <s v="Office Chair"/>
    <n v="6707.97"/>
    <x v="0"/>
    <n v="6707.97"/>
    <e v="#N/A"/>
    <n v="10"/>
    <n v="0.2"/>
    <n v="201.24"/>
    <x v="0"/>
    <x v="11"/>
    <x v="14"/>
  </r>
  <r>
    <n v="916"/>
    <s v="VID100916"/>
    <s v="05-09-2023"/>
    <s v="10-09-2023"/>
    <x v="2"/>
    <s v="CUST-1916"/>
    <s v="Sneha Reddy"/>
    <x v="2"/>
    <s v="India"/>
    <x v="0"/>
    <s v="Delhi"/>
    <n v="926000"/>
    <x v="0"/>
    <s v="PROD-2916"/>
    <x v="2"/>
    <x v="3"/>
    <s v="A4 Paper"/>
    <n v="80623.14"/>
    <x v="0"/>
    <n v="80623.14"/>
    <e v="#N/A"/>
    <n v="4"/>
    <n v="0.3"/>
    <n v="403.12"/>
    <x v="3"/>
    <x v="10"/>
    <x v="25"/>
  </r>
  <r>
    <n v="917"/>
    <s v="VID100917"/>
    <s v="04-03-2024"/>
    <s v="07-03-2024"/>
    <x v="1"/>
    <s v="CUST-1917"/>
    <s v="Diya Nair"/>
    <x v="0"/>
    <s v="India"/>
    <x v="1"/>
    <s v="Karnataka"/>
    <n v="512385"/>
    <x v="1"/>
    <s v="PROD-2917"/>
    <x v="0"/>
    <x v="0"/>
    <s v="Office Chair"/>
    <n v="49729.120000000003"/>
    <x v="0"/>
    <n v="49729.120000000003"/>
    <e v="#N/A"/>
    <n v="2"/>
    <n v="0.1"/>
    <n v="2735.1"/>
    <x v="1"/>
    <x v="5"/>
    <x v="22"/>
  </r>
  <r>
    <n v="918"/>
    <s v="VID100918"/>
    <s v="18-04-2023"/>
    <s v="25-04-2023"/>
    <x v="2"/>
    <s v="CUST-1918"/>
    <s v="Ananya Mishra"/>
    <x v="0"/>
    <s v="India"/>
    <x v="0"/>
    <s v="Delhi"/>
    <n v="331486"/>
    <x v="0"/>
    <s v="PROD-2918"/>
    <x v="1"/>
    <x v="1"/>
    <s v="Dell Inspiron"/>
    <n v="52927.25"/>
    <x v="0"/>
    <n v="52927.25"/>
    <e v="#N/A"/>
    <n v="3"/>
    <n v="0.3"/>
    <n v="264.64"/>
    <x v="3"/>
    <x v="4"/>
    <x v="12"/>
  </r>
  <r>
    <n v="919"/>
    <s v="VID100919"/>
    <s v="16-01-2025"/>
    <s v="23-01-2025"/>
    <x v="0"/>
    <s v="CUST-1919"/>
    <s v="Sneha Reddy"/>
    <x v="2"/>
    <s v="India"/>
    <x v="4"/>
    <s v="Maharashtra"/>
    <n v="626178"/>
    <x v="3"/>
    <s v="PROD-2919"/>
    <x v="2"/>
    <x v="3"/>
    <s v="A4 Paper"/>
    <n v="64843.93"/>
    <x v="0"/>
    <n v="64843.93"/>
    <e v="#N/A"/>
    <n v="6"/>
    <n v="0"/>
    <n v="5187.51"/>
    <x v="4"/>
    <x v="8"/>
    <x v="20"/>
  </r>
  <r>
    <n v="920"/>
    <s v="VID100920"/>
    <s v="01-04-2022"/>
    <s v="05-04-2022"/>
    <x v="3"/>
    <s v="CUST-1920"/>
    <s v="Aarav Sharma"/>
    <x v="0"/>
    <s v="India"/>
    <x v="2"/>
    <s v="West Bengal"/>
    <n v="963951"/>
    <x v="2"/>
    <s v="PROD-2920"/>
    <x v="2"/>
    <x v="3"/>
    <s v="A4 Paper"/>
    <n v="84247.15"/>
    <x v="0"/>
    <n v="84247.15"/>
    <e v="#N/A"/>
    <n v="9"/>
    <n v="0.3"/>
    <n v="421.24"/>
    <x v="2"/>
    <x v="4"/>
    <x v="11"/>
  </r>
  <r>
    <n v="921"/>
    <s v="VID100921"/>
    <s v="14-11-2023"/>
    <s v="15-11-2023"/>
    <x v="0"/>
    <s v="CUST-1921"/>
    <s v="Amit Verma"/>
    <x v="1"/>
    <s v="India"/>
    <x v="2"/>
    <s v="West Bengal"/>
    <n v="507638"/>
    <x v="2"/>
    <s v="PROD-2921"/>
    <x v="0"/>
    <x v="0"/>
    <s v="Office Chair"/>
    <n v="57722.41"/>
    <x v="0"/>
    <n v="57722.41"/>
    <e v="#N/A"/>
    <n v="3"/>
    <n v="0.2"/>
    <n v="1731.67"/>
    <x v="3"/>
    <x v="9"/>
    <x v="6"/>
  </r>
  <r>
    <n v="922"/>
    <s v="VID100922"/>
    <s v="21-04-2022"/>
    <s v="25-04-2022"/>
    <x v="0"/>
    <s v="CUST-1922"/>
    <s v="Ananya Mishra"/>
    <x v="0"/>
    <s v="India"/>
    <x v="3"/>
    <s v="Gujarat"/>
    <n v="267903"/>
    <x v="3"/>
    <s v="PROD-2922"/>
    <x v="1"/>
    <x v="1"/>
    <s v="Dell Inspiron"/>
    <n v="3804.01"/>
    <x v="0"/>
    <n v="3804.01"/>
    <e v="#N/A"/>
    <n v="4"/>
    <n v="0.2"/>
    <n v="114.12"/>
    <x v="2"/>
    <x v="4"/>
    <x v="26"/>
  </r>
  <r>
    <n v="923"/>
    <s v="VID100923"/>
    <s v="20-12-2021"/>
    <s v="22-12-2021"/>
    <x v="1"/>
    <s v="CUST-1923"/>
    <s v="Rahul Joshi"/>
    <x v="2"/>
    <s v="India"/>
    <x v="0"/>
    <s v="Delhi"/>
    <n v="646972"/>
    <x v="0"/>
    <s v="PROD-2923"/>
    <x v="1"/>
    <x v="1"/>
    <s v="Dell Inspiron"/>
    <n v="6749.99"/>
    <x v="0"/>
    <n v="6749.99"/>
    <e v="#N/A"/>
    <n v="6"/>
    <n v="0.3"/>
    <n v="33.75"/>
    <x v="0"/>
    <x v="1"/>
    <x v="0"/>
  </r>
  <r>
    <n v="924"/>
    <s v="VID100924"/>
    <s v="30-08-2021"/>
    <s v="03-09-2021"/>
    <x v="1"/>
    <s v="CUST-1924"/>
    <s v="Rahul Joshi"/>
    <x v="1"/>
    <s v="India"/>
    <x v="3"/>
    <s v="Gujarat"/>
    <n v="264398"/>
    <x v="3"/>
    <s v="PROD-2924"/>
    <x v="1"/>
    <x v="1"/>
    <s v="Dell Inspiron"/>
    <n v="98384.77"/>
    <x v="0"/>
    <n v="98384.77"/>
    <e v="#N/A"/>
    <n v="4"/>
    <n v="0"/>
    <n v="7870.78"/>
    <x v="0"/>
    <x v="2"/>
    <x v="16"/>
  </r>
  <r>
    <n v="925"/>
    <s v="VID100925"/>
    <s v="05-02-2023"/>
    <s v="06-02-2023"/>
    <x v="3"/>
    <s v="CUST-1925"/>
    <s v="Rohan Das"/>
    <x v="2"/>
    <s v="India"/>
    <x v="4"/>
    <s v="Maharashtra"/>
    <n v="610239"/>
    <x v="3"/>
    <s v="PROD-2925"/>
    <x v="2"/>
    <x v="3"/>
    <s v="A4 Paper"/>
    <n v="94149.119999999995"/>
    <x v="0"/>
    <n v="94149.119999999995"/>
    <e v="#N/A"/>
    <n v="1"/>
    <n v="0"/>
    <n v="7531.93"/>
    <x v="3"/>
    <x v="11"/>
    <x v="25"/>
  </r>
  <r>
    <n v="926"/>
    <s v="VID100926"/>
    <s v="08-09-2024"/>
    <s v="14-09-2024"/>
    <x v="1"/>
    <s v="CUST-1926"/>
    <s v="Sneha Reddy"/>
    <x v="0"/>
    <s v="India"/>
    <x v="2"/>
    <s v="West Bengal"/>
    <n v="968381"/>
    <x v="2"/>
    <s v="PROD-2926"/>
    <x v="1"/>
    <x v="1"/>
    <s v="Dell Inspiron"/>
    <n v="29817.77"/>
    <x v="0"/>
    <n v="29817.77"/>
    <e v="#N/A"/>
    <n v="7"/>
    <n v="0.1"/>
    <n v="1639.98"/>
    <x v="1"/>
    <x v="10"/>
    <x v="3"/>
  </r>
  <r>
    <n v="927"/>
    <s v="VID100927"/>
    <s v="10-11-2021"/>
    <s v="15-11-2021"/>
    <x v="1"/>
    <s v="CUST-1927"/>
    <s v="Amit Verma"/>
    <x v="0"/>
    <s v="India"/>
    <x v="1"/>
    <s v="Karnataka"/>
    <n v="225810"/>
    <x v="1"/>
    <s v="PROD-2927"/>
    <x v="1"/>
    <x v="1"/>
    <s v="Dell Inspiron"/>
    <n v="17280.39"/>
    <x v="0"/>
    <n v="17280.39"/>
    <e v="#N/A"/>
    <n v="9"/>
    <n v="0.1"/>
    <n v="950.42"/>
    <x v="0"/>
    <x v="9"/>
    <x v="5"/>
  </r>
  <r>
    <n v="928"/>
    <s v="VID100928"/>
    <s v="22-11-2024"/>
    <s v="26-11-2024"/>
    <x v="1"/>
    <s v="CUST-1928"/>
    <s v="Diya Nair"/>
    <x v="2"/>
    <s v="India"/>
    <x v="4"/>
    <s v="Maharashtra"/>
    <n v="146128"/>
    <x v="3"/>
    <s v="PROD-2928"/>
    <x v="1"/>
    <x v="2"/>
    <s v="Samsung Galaxy"/>
    <n v="54343.53"/>
    <x v="0"/>
    <n v="54343.53"/>
    <e v="#N/A"/>
    <n v="2"/>
    <n v="0.1"/>
    <n v="2988.89"/>
    <x v="1"/>
    <x v="9"/>
    <x v="2"/>
  </r>
  <r>
    <n v="929"/>
    <s v="VID100929"/>
    <s v="19-01-2024"/>
    <s v="26-01-2024"/>
    <x v="0"/>
    <s v="CUST-1929"/>
    <s v="Vikram Singh"/>
    <x v="1"/>
    <s v="India"/>
    <x v="3"/>
    <s v="Gujarat"/>
    <n v="487301"/>
    <x v="3"/>
    <s v="PROD-2929"/>
    <x v="1"/>
    <x v="1"/>
    <s v="Dell Inspiron"/>
    <n v="3961.89"/>
    <x v="0"/>
    <n v="3961.89"/>
    <e v="#N/A"/>
    <n v="8"/>
    <n v="0"/>
    <n v="316.95"/>
    <x v="1"/>
    <x v="8"/>
    <x v="27"/>
  </r>
  <r>
    <n v="930"/>
    <s v="VID100930"/>
    <s v="01-01-2022"/>
    <s v="04-01-2022"/>
    <x v="0"/>
    <s v="CUST-1930"/>
    <s v="Rahul Joshi"/>
    <x v="0"/>
    <s v="India"/>
    <x v="2"/>
    <s v="West Bengal"/>
    <n v="451838"/>
    <x v="2"/>
    <s v="PROD-2930"/>
    <x v="2"/>
    <x v="3"/>
    <s v="A4 Paper"/>
    <n v="6823.67"/>
    <x v="0"/>
    <n v="6823.67"/>
    <e v="#N/A"/>
    <n v="5"/>
    <n v="0"/>
    <n v="545.89"/>
    <x v="2"/>
    <x v="8"/>
    <x v="11"/>
  </r>
  <r>
    <n v="931"/>
    <s v="VID100931"/>
    <s v="25-11-2024"/>
    <s v="26-11-2024"/>
    <x v="3"/>
    <s v="CUST-1931"/>
    <s v="Vikram Singh"/>
    <x v="2"/>
    <s v="India"/>
    <x v="4"/>
    <s v="Maharashtra"/>
    <n v="536983"/>
    <x v="3"/>
    <s v="PROD-2931"/>
    <x v="0"/>
    <x v="0"/>
    <s v="Office Chair"/>
    <n v="79973.55"/>
    <x v="0"/>
    <n v="79973.55"/>
    <e v="#N/A"/>
    <n v="8"/>
    <n v="0.3"/>
    <n v="399.87"/>
    <x v="1"/>
    <x v="9"/>
    <x v="17"/>
  </r>
  <r>
    <n v="932"/>
    <s v="VID100932"/>
    <s v="11-02-2022"/>
    <s v="15-02-2022"/>
    <x v="0"/>
    <s v="CUST-1932"/>
    <s v="Pooja Hegde"/>
    <x v="2"/>
    <s v="India"/>
    <x v="2"/>
    <s v="West Bengal"/>
    <n v="909065"/>
    <x v="2"/>
    <s v="PROD-2932"/>
    <x v="1"/>
    <x v="1"/>
    <s v="Dell Inspiron"/>
    <n v="21736.55"/>
    <x v="0"/>
    <n v="21736.55"/>
    <e v="#N/A"/>
    <n v="8"/>
    <n v="0.2"/>
    <n v="652.1"/>
    <x v="2"/>
    <x v="11"/>
    <x v="23"/>
  </r>
  <r>
    <n v="933"/>
    <s v="VID100933"/>
    <s v="01-10-2021"/>
    <s v="03-10-2021"/>
    <x v="1"/>
    <s v="CUST-1933"/>
    <s v="Rohan Das"/>
    <x v="1"/>
    <s v="India"/>
    <x v="4"/>
    <s v="Maharashtra"/>
    <n v="819799"/>
    <x v="3"/>
    <s v="PROD-2933"/>
    <x v="1"/>
    <x v="2"/>
    <s v="Samsung Galaxy"/>
    <n v="91107.06"/>
    <x v="0"/>
    <n v="91107.06"/>
    <e v="#N/A"/>
    <n v="8"/>
    <n v="0.3"/>
    <n v="455.54"/>
    <x v="0"/>
    <x v="7"/>
    <x v="11"/>
  </r>
  <r>
    <n v="934"/>
    <s v="VID100934"/>
    <s v="12-03-2025"/>
    <s v="19-03-2025"/>
    <x v="1"/>
    <s v="CUST-1934"/>
    <s v="Rahul Joshi"/>
    <x v="1"/>
    <s v="India"/>
    <x v="0"/>
    <s v="Delhi"/>
    <n v="811384"/>
    <x v="0"/>
    <s v="PROD-2934"/>
    <x v="2"/>
    <x v="3"/>
    <s v="A4 Paper"/>
    <n v="57317.4"/>
    <x v="0"/>
    <n v="57317.4"/>
    <e v="#N/A"/>
    <n v="6"/>
    <n v="0.2"/>
    <n v="1719.52"/>
    <x v="4"/>
    <x v="5"/>
    <x v="1"/>
  </r>
  <r>
    <n v="935"/>
    <s v="VID100935"/>
    <s v="24-10-2022"/>
    <s v="27-10-2022"/>
    <x v="2"/>
    <s v="CUST-1935"/>
    <s v="Vikram Singh"/>
    <x v="0"/>
    <s v="India"/>
    <x v="4"/>
    <s v="Maharashtra"/>
    <n v="800040"/>
    <x v="3"/>
    <s v="PROD-2935"/>
    <x v="2"/>
    <x v="3"/>
    <s v="A4 Paper"/>
    <n v="5280.45"/>
    <x v="0"/>
    <n v="5280.45"/>
    <e v="#N/A"/>
    <n v="8"/>
    <n v="0.3"/>
    <n v="26.4"/>
    <x v="2"/>
    <x v="7"/>
    <x v="14"/>
  </r>
  <r>
    <n v="936"/>
    <s v="VID100936"/>
    <s v="02-06-2021"/>
    <s v="09-06-2021"/>
    <x v="1"/>
    <s v="CUST-1936"/>
    <s v="Pooja Hegde"/>
    <x v="2"/>
    <s v="India"/>
    <x v="3"/>
    <s v="Gujarat"/>
    <n v="695641"/>
    <x v="3"/>
    <s v="PROD-2936"/>
    <x v="0"/>
    <x v="0"/>
    <s v="Office Chair"/>
    <n v="54892.94"/>
    <x v="0"/>
    <n v="54892.94"/>
    <e v="#N/A"/>
    <n v="1"/>
    <n v="0.3"/>
    <n v="274.45999999999998"/>
    <x v="0"/>
    <x v="3"/>
    <x v="10"/>
  </r>
  <r>
    <n v="937"/>
    <s v="VID100937"/>
    <s v="09-05-2022"/>
    <s v="11-05-2022"/>
    <x v="0"/>
    <s v="CUST-1937"/>
    <s v="Diya Nair"/>
    <x v="0"/>
    <s v="India"/>
    <x v="4"/>
    <s v="Maharashtra"/>
    <n v="772632"/>
    <x v="3"/>
    <s v="PROD-2937"/>
    <x v="1"/>
    <x v="1"/>
    <s v="Dell Inspiron"/>
    <n v="81598.52"/>
    <x v="0"/>
    <n v="81598.52"/>
    <e v="#N/A"/>
    <n v="9"/>
    <n v="0.2"/>
    <n v="2447.96"/>
    <x v="2"/>
    <x v="0"/>
    <x v="18"/>
  </r>
  <r>
    <n v="938"/>
    <s v="VID100938"/>
    <s v="02-01-2023"/>
    <s v="05-01-2023"/>
    <x v="3"/>
    <s v="CUST-1938"/>
    <s v="Pooja Hegde"/>
    <x v="2"/>
    <s v="India"/>
    <x v="2"/>
    <s v="West Bengal"/>
    <n v="683576"/>
    <x v="2"/>
    <s v="PROD-2938"/>
    <x v="2"/>
    <x v="3"/>
    <s v="A4 Paper"/>
    <n v="48546.82"/>
    <x v="0"/>
    <n v="48546.82"/>
    <e v="#N/A"/>
    <n v="7"/>
    <n v="0.1"/>
    <n v="2670.08"/>
    <x v="3"/>
    <x v="8"/>
    <x v="10"/>
  </r>
  <r>
    <n v="939"/>
    <s v="VID100939"/>
    <s v="16-08-2021"/>
    <s v="23-08-2021"/>
    <x v="1"/>
    <s v="CUST-1939"/>
    <s v="Rohan Das"/>
    <x v="1"/>
    <s v="India"/>
    <x v="4"/>
    <s v="Maharashtra"/>
    <n v="320289"/>
    <x v="3"/>
    <s v="PROD-2939"/>
    <x v="1"/>
    <x v="2"/>
    <s v="Samsung Galaxy"/>
    <n v="95990.33"/>
    <x v="0"/>
    <n v="95990.33"/>
    <e v="#N/A"/>
    <n v="3"/>
    <n v="0.1"/>
    <n v="5279.47"/>
    <x v="0"/>
    <x v="2"/>
    <x v="20"/>
  </r>
  <r>
    <n v="940"/>
    <s v="VID100940"/>
    <s v="30-12-2023"/>
    <s v="02-01-2024"/>
    <x v="3"/>
    <s v="CUST-1940"/>
    <s v="Priya Patel"/>
    <x v="0"/>
    <s v="India"/>
    <x v="4"/>
    <s v="Maharashtra"/>
    <n v="394643"/>
    <x v="3"/>
    <s v="PROD-2940"/>
    <x v="2"/>
    <x v="3"/>
    <s v="A4 Paper"/>
    <n v="10733.12"/>
    <x v="0"/>
    <n v="10733.12"/>
    <e v="#N/A"/>
    <n v="9"/>
    <n v="0.3"/>
    <n v="53.67"/>
    <x v="3"/>
    <x v="1"/>
    <x v="16"/>
  </r>
  <r>
    <n v="941"/>
    <s v="VID100941"/>
    <s v="04-02-2022"/>
    <s v="10-02-2022"/>
    <x v="3"/>
    <s v="CUST-1941"/>
    <s v="Sneha Reddy"/>
    <x v="2"/>
    <s v="India"/>
    <x v="2"/>
    <s v="West Bengal"/>
    <n v="931040"/>
    <x v="2"/>
    <s v="PROD-2941"/>
    <x v="0"/>
    <x v="0"/>
    <s v="Office Chair"/>
    <n v="64232.71"/>
    <x v="0"/>
    <n v="64232.71"/>
    <e v="#N/A"/>
    <n v="3"/>
    <n v="0.3"/>
    <n v="321.16000000000003"/>
    <x v="2"/>
    <x v="11"/>
    <x v="22"/>
  </r>
  <r>
    <n v="942"/>
    <s v="VID100942"/>
    <s v="10-10-2023"/>
    <s v="12-10-2023"/>
    <x v="0"/>
    <s v="CUST-1942"/>
    <s v="Pooja Hegde"/>
    <x v="1"/>
    <s v="India"/>
    <x v="0"/>
    <s v="Delhi"/>
    <n v="692042"/>
    <x v="0"/>
    <s v="PROD-2942"/>
    <x v="1"/>
    <x v="2"/>
    <s v="Samsung Galaxy"/>
    <n v="92635.45"/>
    <x v="0"/>
    <n v="92635.45"/>
    <e v="#N/A"/>
    <n v="3"/>
    <n v="0.1"/>
    <n v="5094.95"/>
    <x v="3"/>
    <x v="7"/>
    <x v="5"/>
  </r>
  <r>
    <n v="943"/>
    <s v="VID100943"/>
    <s v="01-12-2025"/>
    <s v="05-12-2025"/>
    <x v="2"/>
    <s v="CUST-1943"/>
    <s v="Amit Verma"/>
    <x v="1"/>
    <s v="India"/>
    <x v="4"/>
    <s v="Maharashtra"/>
    <n v="284408"/>
    <x v="3"/>
    <s v="PROD-2943"/>
    <x v="2"/>
    <x v="3"/>
    <s v="A4 Paper"/>
    <n v="84635.21"/>
    <x v="0"/>
    <n v="84635.21"/>
    <e v="#N/A"/>
    <n v="7"/>
    <n v="0.2"/>
    <n v="2539.06"/>
    <x v="4"/>
    <x v="1"/>
    <x v="11"/>
  </r>
  <r>
    <n v="944"/>
    <s v="VID100944"/>
    <s v="24-11-2025"/>
    <s v="27-11-2025"/>
    <x v="1"/>
    <s v="CUST-1944"/>
    <s v="Sneha Reddy"/>
    <x v="2"/>
    <s v="India"/>
    <x v="0"/>
    <s v="Delhi"/>
    <n v="215576"/>
    <x v="0"/>
    <s v="PROD-2944"/>
    <x v="1"/>
    <x v="1"/>
    <s v="Dell Inspiron"/>
    <n v="78531.570000000007"/>
    <x v="0"/>
    <n v="78531.570000000007"/>
    <e v="#N/A"/>
    <n v="2"/>
    <n v="0.1"/>
    <n v="4319.24"/>
    <x v="4"/>
    <x v="9"/>
    <x v="14"/>
  </r>
  <r>
    <n v="945"/>
    <s v="VID100945"/>
    <s v="15-11-2023"/>
    <s v="18-11-2023"/>
    <x v="2"/>
    <s v="CUST-1945"/>
    <s v="Diya Nair"/>
    <x v="1"/>
    <s v="India"/>
    <x v="1"/>
    <s v="Karnataka"/>
    <n v="994497"/>
    <x v="1"/>
    <s v="PROD-2945"/>
    <x v="0"/>
    <x v="0"/>
    <s v="Office Chair"/>
    <n v="1799.91"/>
    <x v="0"/>
    <n v="1799.91"/>
    <e v="#N/A"/>
    <n v="10"/>
    <n v="0.2"/>
    <n v="54"/>
    <x v="3"/>
    <x v="9"/>
    <x v="28"/>
  </r>
  <r>
    <n v="946"/>
    <s v="VID100946"/>
    <s v="03-10-2022"/>
    <s v="08-10-2022"/>
    <x v="2"/>
    <s v="CUST-1946"/>
    <s v="Rahul Joshi"/>
    <x v="2"/>
    <s v="India"/>
    <x v="1"/>
    <s v="Karnataka"/>
    <n v="860345"/>
    <x v="1"/>
    <s v="PROD-2946"/>
    <x v="1"/>
    <x v="2"/>
    <s v="Samsung Galaxy"/>
    <n v="41116.120000000003"/>
    <x v="0"/>
    <n v="41116.120000000003"/>
    <e v="#N/A"/>
    <n v="2"/>
    <n v="0.2"/>
    <n v="1233.48"/>
    <x v="2"/>
    <x v="7"/>
    <x v="9"/>
  </r>
  <r>
    <n v="947"/>
    <s v="VID100947"/>
    <s v="23-02-2023"/>
    <s v="27-02-2023"/>
    <x v="1"/>
    <s v="CUST-1947"/>
    <s v="Pooja Hegde"/>
    <x v="0"/>
    <s v="India"/>
    <x v="1"/>
    <s v="Karnataka"/>
    <n v="105162"/>
    <x v="1"/>
    <s v="PROD-2947"/>
    <x v="1"/>
    <x v="2"/>
    <s v="Samsung Galaxy"/>
    <n v="17866.830000000002"/>
    <x v="0"/>
    <n v="17866.830000000002"/>
    <e v="#N/A"/>
    <n v="6"/>
    <n v="0.3"/>
    <n v="89.33"/>
    <x v="3"/>
    <x v="11"/>
    <x v="24"/>
  </r>
  <r>
    <n v="948"/>
    <s v="VID100948"/>
    <s v="25-07-2021"/>
    <s v="27-07-2021"/>
    <x v="0"/>
    <s v="CUST-1948"/>
    <s v="Amit Verma"/>
    <x v="0"/>
    <s v="India"/>
    <x v="2"/>
    <s v="West Bengal"/>
    <n v="343661"/>
    <x v="2"/>
    <s v="PROD-2948"/>
    <x v="0"/>
    <x v="0"/>
    <s v="Office Chair"/>
    <n v="78489.38"/>
    <x v="0"/>
    <n v="78489.38"/>
    <e v="#N/A"/>
    <n v="2"/>
    <n v="0.1"/>
    <n v="4316.92"/>
    <x v="0"/>
    <x v="6"/>
    <x v="17"/>
  </r>
  <r>
    <n v="949"/>
    <s v="VID100949"/>
    <s v="21-07-2023"/>
    <s v="24-07-2023"/>
    <x v="1"/>
    <s v="CUST-1949"/>
    <s v="Vikram Singh"/>
    <x v="0"/>
    <s v="India"/>
    <x v="0"/>
    <s v="Delhi"/>
    <n v="769221"/>
    <x v="0"/>
    <s v="PROD-2949"/>
    <x v="1"/>
    <x v="2"/>
    <s v="Samsung Galaxy"/>
    <n v="46085.919999999998"/>
    <x v="0"/>
    <n v="46085.919999999998"/>
    <e v="#N/A"/>
    <n v="4"/>
    <n v="0.3"/>
    <n v="230.43"/>
    <x v="3"/>
    <x v="6"/>
    <x v="26"/>
  </r>
  <r>
    <n v="950"/>
    <s v="VID100950"/>
    <s v="12-02-2024"/>
    <s v="13-02-2024"/>
    <x v="3"/>
    <s v="CUST-1950"/>
    <s v="Diya Nair"/>
    <x v="2"/>
    <s v="India"/>
    <x v="1"/>
    <s v="Karnataka"/>
    <n v="584571"/>
    <x v="1"/>
    <s v="PROD-2950"/>
    <x v="0"/>
    <x v="0"/>
    <s v="Office Chair"/>
    <n v="94440.77"/>
    <x v="0"/>
    <n v="94440.77"/>
    <e v="#N/A"/>
    <n v="10"/>
    <n v="0.1"/>
    <n v="5194.24"/>
    <x v="1"/>
    <x v="11"/>
    <x v="1"/>
  </r>
  <r>
    <n v="951"/>
    <s v="VID100951"/>
    <s v="20-04-2025"/>
    <s v="27-04-2025"/>
    <x v="2"/>
    <s v="CUST-1951"/>
    <s v="Sneha Reddy"/>
    <x v="1"/>
    <s v="India"/>
    <x v="4"/>
    <s v="Maharashtra"/>
    <n v="455505"/>
    <x v="3"/>
    <s v="PROD-2951"/>
    <x v="0"/>
    <x v="0"/>
    <s v="Office Chair"/>
    <n v="15397.09"/>
    <x v="0"/>
    <n v="15397.09"/>
    <e v="#N/A"/>
    <n v="1"/>
    <n v="0.3"/>
    <n v="76.989999999999995"/>
    <x v="4"/>
    <x v="4"/>
    <x v="0"/>
  </r>
  <r>
    <n v="952"/>
    <s v="VID100952"/>
    <s v="09-05-2025"/>
    <s v="12-05-2025"/>
    <x v="0"/>
    <s v="CUST-1952"/>
    <s v="Rahul Joshi"/>
    <x v="1"/>
    <s v="India"/>
    <x v="3"/>
    <s v="Gujarat"/>
    <n v="164161"/>
    <x v="3"/>
    <s v="PROD-2952"/>
    <x v="1"/>
    <x v="2"/>
    <s v="Samsung Galaxy"/>
    <n v="80920.42"/>
    <x v="0"/>
    <n v="80920.42"/>
    <e v="#N/A"/>
    <n v="8"/>
    <n v="0.2"/>
    <n v="2427.61"/>
    <x v="4"/>
    <x v="0"/>
    <x v="18"/>
  </r>
  <r>
    <n v="953"/>
    <s v="VID100953"/>
    <s v="01-01-2021"/>
    <s v="07-01-2021"/>
    <x v="3"/>
    <s v="CUST-1953"/>
    <s v="Vikram Singh"/>
    <x v="1"/>
    <s v="India"/>
    <x v="4"/>
    <s v="Maharashtra"/>
    <n v="947418"/>
    <x v="3"/>
    <s v="PROD-2953"/>
    <x v="2"/>
    <x v="3"/>
    <s v="A4 Paper"/>
    <n v="81140.789999999994"/>
    <x v="0"/>
    <n v="81140.789999999994"/>
    <e v="#N/A"/>
    <n v="1"/>
    <n v="0.1"/>
    <n v="4462.74"/>
    <x v="0"/>
    <x v="8"/>
    <x v="11"/>
  </r>
  <r>
    <n v="954"/>
    <s v="VID100954"/>
    <s v="07-01-2022"/>
    <s v="13-01-2022"/>
    <x v="2"/>
    <s v="CUST-1954"/>
    <s v="Aarav Sharma"/>
    <x v="0"/>
    <s v="India"/>
    <x v="1"/>
    <s v="Karnataka"/>
    <n v="264540"/>
    <x v="1"/>
    <s v="PROD-2954"/>
    <x v="2"/>
    <x v="3"/>
    <s v="A4 Paper"/>
    <n v="35846.86"/>
    <x v="0"/>
    <n v="35846.86"/>
    <e v="#N/A"/>
    <n v="10"/>
    <n v="0.3"/>
    <n v="179.23"/>
    <x v="2"/>
    <x v="8"/>
    <x v="8"/>
  </r>
  <r>
    <n v="955"/>
    <s v="VID100955"/>
    <s v="09-05-2021"/>
    <s v="16-05-2021"/>
    <x v="0"/>
    <s v="CUST-1955"/>
    <s v="Pooja Hegde"/>
    <x v="2"/>
    <s v="India"/>
    <x v="4"/>
    <s v="Maharashtra"/>
    <n v="887002"/>
    <x v="3"/>
    <s v="PROD-2955"/>
    <x v="1"/>
    <x v="1"/>
    <s v="Dell Inspiron"/>
    <n v="91252.65"/>
    <x v="0"/>
    <n v="91252.65"/>
    <e v="#N/A"/>
    <n v="1"/>
    <n v="0.3"/>
    <n v="456.26"/>
    <x v="0"/>
    <x v="0"/>
    <x v="18"/>
  </r>
  <r>
    <n v="956"/>
    <s v="VID100956"/>
    <s v="20-04-2021"/>
    <s v="22-04-2021"/>
    <x v="1"/>
    <s v="CUST-1956"/>
    <s v="Vikram Singh"/>
    <x v="0"/>
    <s v="India"/>
    <x v="4"/>
    <s v="Maharashtra"/>
    <n v="383467"/>
    <x v="3"/>
    <s v="PROD-2956"/>
    <x v="1"/>
    <x v="1"/>
    <s v="Dell Inspiron"/>
    <n v="74614.17"/>
    <x v="0"/>
    <n v="74614.17"/>
    <e v="#N/A"/>
    <n v="8"/>
    <n v="0.2"/>
    <n v="2238.4299999999998"/>
    <x v="0"/>
    <x v="4"/>
    <x v="0"/>
  </r>
  <r>
    <n v="957"/>
    <s v="VID100957"/>
    <s v="23-12-2021"/>
    <s v="28-12-2021"/>
    <x v="1"/>
    <s v="CUST-1957"/>
    <s v="Aarav Sharma"/>
    <x v="1"/>
    <s v="India"/>
    <x v="2"/>
    <s v="West Bengal"/>
    <n v="772783"/>
    <x v="2"/>
    <s v="PROD-2957"/>
    <x v="2"/>
    <x v="3"/>
    <s v="A4 Paper"/>
    <n v="31335.78"/>
    <x v="0"/>
    <n v="31335.78"/>
    <e v="#N/A"/>
    <n v="7"/>
    <n v="0.3"/>
    <n v="156.68"/>
    <x v="0"/>
    <x v="1"/>
    <x v="24"/>
  </r>
  <r>
    <n v="958"/>
    <s v="VID100958"/>
    <s v="10-10-2024"/>
    <s v="16-10-2024"/>
    <x v="1"/>
    <s v="CUST-1958"/>
    <s v="Pooja Hegde"/>
    <x v="0"/>
    <s v="India"/>
    <x v="1"/>
    <s v="Karnataka"/>
    <n v="114306"/>
    <x v="1"/>
    <s v="PROD-2958"/>
    <x v="1"/>
    <x v="1"/>
    <s v="Dell Inspiron"/>
    <n v="38491.07"/>
    <x v="0"/>
    <n v="38491.07"/>
    <e v="#N/A"/>
    <n v="3"/>
    <n v="0.1"/>
    <n v="2117.0100000000002"/>
    <x v="1"/>
    <x v="7"/>
    <x v="5"/>
  </r>
  <r>
    <n v="959"/>
    <s v="VID100959"/>
    <s v="14-11-2024"/>
    <s v="19-11-2024"/>
    <x v="2"/>
    <s v="CUST-1959"/>
    <s v="Rahul Joshi"/>
    <x v="1"/>
    <s v="India"/>
    <x v="0"/>
    <s v="Delhi"/>
    <n v="365397"/>
    <x v="0"/>
    <s v="PROD-2959"/>
    <x v="2"/>
    <x v="3"/>
    <s v="A4 Paper"/>
    <n v="50072.44"/>
    <x v="0"/>
    <n v="50072.44"/>
    <e v="#N/A"/>
    <n v="5"/>
    <n v="0.2"/>
    <n v="1502.17"/>
    <x v="1"/>
    <x v="9"/>
    <x v="6"/>
  </r>
  <r>
    <n v="960"/>
    <s v="VID100960"/>
    <s v="23-02-2023"/>
    <s v="27-02-2023"/>
    <x v="0"/>
    <s v="CUST-1960"/>
    <s v="Rahul Joshi"/>
    <x v="0"/>
    <s v="India"/>
    <x v="3"/>
    <s v="Gujarat"/>
    <n v="350265"/>
    <x v="3"/>
    <s v="PROD-2960"/>
    <x v="1"/>
    <x v="2"/>
    <s v="Samsung Galaxy"/>
    <n v="81749.600000000006"/>
    <x v="0"/>
    <n v="81749.600000000006"/>
    <e v="#N/A"/>
    <n v="4"/>
    <n v="0.2"/>
    <n v="2452.4899999999998"/>
    <x v="3"/>
    <x v="11"/>
    <x v="24"/>
  </r>
  <r>
    <n v="961"/>
    <s v="VID100961"/>
    <s v="03-05-2024"/>
    <s v="04-05-2024"/>
    <x v="0"/>
    <s v="CUST-1961"/>
    <s v="Pooja Hegde"/>
    <x v="2"/>
    <s v="India"/>
    <x v="3"/>
    <s v="Gujarat"/>
    <n v="983430"/>
    <x v="3"/>
    <s v="PROD-2961"/>
    <x v="2"/>
    <x v="3"/>
    <s v="A4 Paper"/>
    <n v="38092.339999999997"/>
    <x v="0"/>
    <n v="38092.339999999997"/>
    <e v="#N/A"/>
    <n v="3"/>
    <n v="0"/>
    <n v="3047.39"/>
    <x v="1"/>
    <x v="0"/>
    <x v="9"/>
  </r>
  <r>
    <n v="962"/>
    <s v="VID100962"/>
    <s v="05-01-2025"/>
    <s v="09-01-2025"/>
    <x v="3"/>
    <s v="CUST-1962"/>
    <s v="Priya Patel"/>
    <x v="2"/>
    <s v="India"/>
    <x v="3"/>
    <s v="Gujarat"/>
    <n v="357928"/>
    <x v="3"/>
    <s v="PROD-2962"/>
    <x v="2"/>
    <x v="3"/>
    <s v="A4 Paper"/>
    <n v="67103.69"/>
    <x v="0"/>
    <n v="67103.69"/>
    <e v="#N/A"/>
    <n v="3"/>
    <n v="0"/>
    <n v="5368.3"/>
    <x v="4"/>
    <x v="8"/>
    <x v="25"/>
  </r>
  <r>
    <n v="963"/>
    <s v="VID100963"/>
    <s v="02-12-2021"/>
    <s v="07-12-2021"/>
    <x v="1"/>
    <s v="CUST-1963"/>
    <s v="Amit Verma"/>
    <x v="1"/>
    <s v="India"/>
    <x v="3"/>
    <s v="Gujarat"/>
    <n v="868936"/>
    <x v="3"/>
    <s v="PROD-2963"/>
    <x v="1"/>
    <x v="2"/>
    <s v="Samsung Galaxy"/>
    <n v="39193.230000000003"/>
    <x v="0"/>
    <n v="39193.230000000003"/>
    <e v="#N/A"/>
    <n v="6"/>
    <n v="0.2"/>
    <n v="1175.8"/>
    <x v="0"/>
    <x v="1"/>
    <x v="10"/>
  </r>
  <r>
    <n v="964"/>
    <s v="VID100964"/>
    <s v="25-12-2022"/>
    <s v="31-12-2022"/>
    <x v="1"/>
    <s v="CUST-1964"/>
    <s v="Priya Patel"/>
    <x v="1"/>
    <s v="India"/>
    <x v="0"/>
    <s v="Delhi"/>
    <n v="884046"/>
    <x v="0"/>
    <s v="PROD-2964"/>
    <x v="0"/>
    <x v="0"/>
    <s v="Office Chair"/>
    <n v="95035.35"/>
    <x v="0"/>
    <n v="95035.35"/>
    <e v="#N/A"/>
    <n v="6"/>
    <n v="0.1"/>
    <n v="5226.9399999999996"/>
    <x v="2"/>
    <x v="1"/>
    <x v="17"/>
  </r>
  <r>
    <n v="965"/>
    <s v="VID100965"/>
    <s v="07-11-2025"/>
    <s v="13-11-2025"/>
    <x v="3"/>
    <s v="CUST-1965"/>
    <s v="Diya Nair"/>
    <x v="1"/>
    <s v="India"/>
    <x v="2"/>
    <s v="West Bengal"/>
    <n v="545764"/>
    <x v="2"/>
    <s v="PROD-2965"/>
    <x v="1"/>
    <x v="2"/>
    <s v="Samsung Galaxy"/>
    <n v="31185.45"/>
    <x v="0"/>
    <n v="31185.45"/>
    <e v="#N/A"/>
    <n v="4"/>
    <n v="0"/>
    <n v="2494.84"/>
    <x v="4"/>
    <x v="9"/>
    <x v="8"/>
  </r>
  <r>
    <n v="966"/>
    <s v="VID100966"/>
    <s v="05-06-2024"/>
    <s v="12-06-2024"/>
    <x v="1"/>
    <s v="CUST-1966"/>
    <s v="Diya Nair"/>
    <x v="1"/>
    <s v="India"/>
    <x v="3"/>
    <s v="Gujarat"/>
    <n v="664917"/>
    <x v="3"/>
    <s v="PROD-2966"/>
    <x v="1"/>
    <x v="1"/>
    <s v="Dell Inspiron"/>
    <n v="50268.59"/>
    <x v="0"/>
    <n v="50268.59"/>
    <e v="#N/A"/>
    <n v="9"/>
    <n v="0.1"/>
    <n v="2764.77"/>
    <x v="1"/>
    <x v="3"/>
    <x v="25"/>
  </r>
  <r>
    <n v="967"/>
    <s v="VID100967"/>
    <s v="05-07-2022"/>
    <s v="11-07-2022"/>
    <x v="0"/>
    <s v="CUST-1967"/>
    <s v="Pooja Hegde"/>
    <x v="1"/>
    <s v="India"/>
    <x v="3"/>
    <s v="Gujarat"/>
    <n v="919893"/>
    <x v="3"/>
    <s v="PROD-2967"/>
    <x v="2"/>
    <x v="3"/>
    <s v="A4 Paper"/>
    <n v="58472.12"/>
    <x v="0"/>
    <n v="58472.12"/>
    <e v="#N/A"/>
    <n v="6"/>
    <n v="0.1"/>
    <n v="3215.97"/>
    <x v="2"/>
    <x v="6"/>
    <x v="25"/>
  </r>
  <r>
    <n v="968"/>
    <s v="VID100968"/>
    <s v="14-09-2022"/>
    <s v="18-09-2022"/>
    <x v="0"/>
    <s v="CUST-1968"/>
    <s v="Rahul Joshi"/>
    <x v="2"/>
    <s v="India"/>
    <x v="0"/>
    <s v="Delhi"/>
    <n v="770845"/>
    <x v="0"/>
    <s v="PROD-2968"/>
    <x v="2"/>
    <x v="3"/>
    <s v="A4 Paper"/>
    <n v="73965.17"/>
    <x v="0"/>
    <n v="73965.17"/>
    <e v="#N/A"/>
    <n v="3"/>
    <n v="0"/>
    <n v="5917.21"/>
    <x v="2"/>
    <x v="10"/>
    <x v="6"/>
  </r>
  <r>
    <n v="969"/>
    <s v="VID100969"/>
    <s v="24-06-2023"/>
    <s v="29-06-2023"/>
    <x v="1"/>
    <s v="CUST-1969"/>
    <s v="Rohan Das"/>
    <x v="0"/>
    <s v="India"/>
    <x v="1"/>
    <s v="Karnataka"/>
    <n v="537983"/>
    <x v="1"/>
    <s v="PROD-2969"/>
    <x v="1"/>
    <x v="1"/>
    <s v="Dell Inspiron"/>
    <n v="27649.33"/>
    <x v="0"/>
    <n v="27649.33"/>
    <e v="#N/A"/>
    <n v="3"/>
    <n v="0.1"/>
    <n v="1520.71"/>
    <x v="3"/>
    <x v="3"/>
    <x v="14"/>
  </r>
  <r>
    <n v="970"/>
    <s v="VID100970"/>
    <s v="25-06-2023"/>
    <s v="26-06-2023"/>
    <x v="2"/>
    <s v="CUST-1970"/>
    <s v="Pooja Hegde"/>
    <x v="0"/>
    <s v="India"/>
    <x v="4"/>
    <s v="Maharashtra"/>
    <n v="519887"/>
    <x v="3"/>
    <s v="PROD-2970"/>
    <x v="1"/>
    <x v="1"/>
    <s v="Dell Inspiron"/>
    <n v="22022.74"/>
    <x v="0"/>
    <n v="22022.74"/>
    <e v="#N/A"/>
    <n v="2"/>
    <n v="0.1"/>
    <n v="1211.25"/>
    <x v="3"/>
    <x v="3"/>
    <x v="17"/>
  </r>
  <r>
    <n v="971"/>
    <s v="VID100971"/>
    <s v="20-04-2025"/>
    <s v="21-04-2025"/>
    <x v="0"/>
    <s v="CUST-1971"/>
    <s v="Rahul Joshi"/>
    <x v="1"/>
    <s v="India"/>
    <x v="2"/>
    <s v="West Bengal"/>
    <n v="297062"/>
    <x v="2"/>
    <s v="PROD-2971"/>
    <x v="2"/>
    <x v="3"/>
    <s v="A4 Paper"/>
    <n v="41455.730000000003"/>
    <x v="0"/>
    <n v="41455.730000000003"/>
    <e v="#N/A"/>
    <n v="9"/>
    <n v="0.3"/>
    <n v="207.28"/>
    <x v="4"/>
    <x v="4"/>
    <x v="0"/>
  </r>
  <r>
    <n v="972"/>
    <s v="VID100972"/>
    <s v="03-01-2025"/>
    <s v="07-01-2025"/>
    <x v="1"/>
    <s v="CUST-1972"/>
    <s v="Pooja Hegde"/>
    <x v="0"/>
    <s v="India"/>
    <x v="1"/>
    <s v="Karnataka"/>
    <n v="596536"/>
    <x v="1"/>
    <s v="PROD-2972"/>
    <x v="1"/>
    <x v="1"/>
    <s v="Dell Inspiron"/>
    <n v="24036.639999999999"/>
    <x v="0"/>
    <n v="24036.639999999999"/>
    <e v="#N/A"/>
    <n v="10"/>
    <n v="0.1"/>
    <n v="1322.02"/>
    <x v="4"/>
    <x v="8"/>
    <x v="9"/>
  </r>
  <r>
    <n v="973"/>
    <s v="VID100973"/>
    <s v="08-01-2022"/>
    <s v="11-01-2022"/>
    <x v="2"/>
    <s v="CUST-1973"/>
    <s v="Amit Verma"/>
    <x v="1"/>
    <s v="India"/>
    <x v="0"/>
    <s v="Delhi"/>
    <n v="183439"/>
    <x v="0"/>
    <s v="PROD-2973"/>
    <x v="2"/>
    <x v="3"/>
    <s v="A4 Paper"/>
    <n v="71151.45"/>
    <x v="0"/>
    <n v="71151.45"/>
    <e v="#N/A"/>
    <n v="5"/>
    <n v="0.3"/>
    <n v="355.76"/>
    <x v="2"/>
    <x v="8"/>
    <x v="3"/>
  </r>
  <r>
    <n v="974"/>
    <s v="VID100974"/>
    <s v="12-02-2024"/>
    <s v="17-02-2024"/>
    <x v="0"/>
    <s v="CUST-1974"/>
    <s v="Diya Nair"/>
    <x v="0"/>
    <s v="India"/>
    <x v="1"/>
    <s v="Karnataka"/>
    <n v="174197"/>
    <x v="1"/>
    <s v="PROD-2974"/>
    <x v="1"/>
    <x v="2"/>
    <s v="Samsung Galaxy"/>
    <n v="84747.65"/>
    <x v="0"/>
    <n v="84747.65"/>
    <e v="#N/A"/>
    <n v="2"/>
    <n v="0"/>
    <n v="6779.81"/>
    <x v="1"/>
    <x v="11"/>
    <x v="1"/>
  </r>
  <r>
    <n v="975"/>
    <s v="VID100975"/>
    <s v="21-08-2024"/>
    <s v="27-08-2024"/>
    <x v="1"/>
    <s v="CUST-1975"/>
    <s v="Ananya Mishra"/>
    <x v="2"/>
    <s v="India"/>
    <x v="4"/>
    <s v="Maharashtra"/>
    <n v="451921"/>
    <x v="3"/>
    <s v="PROD-2975"/>
    <x v="1"/>
    <x v="1"/>
    <s v="Dell Inspiron"/>
    <n v="84302.55"/>
    <x v="0"/>
    <n v="84302.55"/>
    <e v="#N/A"/>
    <n v="4"/>
    <n v="0.2"/>
    <n v="2529.08"/>
    <x v="1"/>
    <x v="2"/>
    <x v="26"/>
  </r>
  <r>
    <n v="976"/>
    <s v="VID100976"/>
    <s v="22-08-2023"/>
    <s v="28-08-2023"/>
    <x v="1"/>
    <s v="CUST-1976"/>
    <s v="Rohan Das"/>
    <x v="2"/>
    <s v="India"/>
    <x v="1"/>
    <s v="Karnataka"/>
    <n v="970844"/>
    <x v="1"/>
    <s v="PROD-2976"/>
    <x v="1"/>
    <x v="2"/>
    <s v="Samsung Galaxy"/>
    <n v="26521.22"/>
    <x v="0"/>
    <n v="26521.22"/>
    <e v="#N/A"/>
    <n v="9"/>
    <n v="0"/>
    <n v="2121.6999999999998"/>
    <x v="3"/>
    <x v="2"/>
    <x v="2"/>
  </r>
  <r>
    <n v="977"/>
    <s v="VID100977"/>
    <s v="21-06-2025"/>
    <s v="22-06-2025"/>
    <x v="3"/>
    <s v="CUST-1977"/>
    <s v="Rahul Joshi"/>
    <x v="0"/>
    <s v="India"/>
    <x v="2"/>
    <s v="West Bengal"/>
    <n v="879132"/>
    <x v="2"/>
    <s v="PROD-2977"/>
    <x v="1"/>
    <x v="1"/>
    <s v="Dell Inspiron"/>
    <n v="17261.63"/>
    <x v="0"/>
    <n v="17261.63"/>
    <e v="#N/A"/>
    <n v="6"/>
    <n v="0.3"/>
    <n v="86.31"/>
    <x v="4"/>
    <x v="3"/>
    <x v="26"/>
  </r>
  <r>
    <n v="978"/>
    <s v="VID100978"/>
    <s v="26-06-2025"/>
    <s v="30-06-2025"/>
    <x v="2"/>
    <s v="CUST-1978"/>
    <s v="Aarav Sharma"/>
    <x v="1"/>
    <s v="India"/>
    <x v="2"/>
    <s v="West Bengal"/>
    <n v="773396"/>
    <x v="2"/>
    <s v="PROD-2978"/>
    <x v="1"/>
    <x v="1"/>
    <s v="Dell Inspiron"/>
    <n v="46813.72"/>
    <x v="0"/>
    <n v="46813.72"/>
    <e v="#N/A"/>
    <n v="6"/>
    <n v="0.3"/>
    <n v="234.07"/>
    <x v="4"/>
    <x v="3"/>
    <x v="21"/>
  </r>
  <r>
    <n v="979"/>
    <s v="VID100979"/>
    <s v="21-04-2025"/>
    <s v="26-04-2025"/>
    <x v="2"/>
    <s v="CUST-1979"/>
    <s v="Pooja Hegde"/>
    <x v="2"/>
    <s v="India"/>
    <x v="4"/>
    <s v="Maharashtra"/>
    <n v="171468"/>
    <x v="3"/>
    <s v="PROD-2979"/>
    <x v="2"/>
    <x v="3"/>
    <s v="A4 Paper"/>
    <n v="27513.55"/>
    <x v="0"/>
    <n v="27513.55"/>
    <e v="#N/A"/>
    <n v="1"/>
    <n v="0.2"/>
    <n v="825.41"/>
    <x v="4"/>
    <x v="4"/>
    <x v="26"/>
  </r>
  <r>
    <n v="980"/>
    <s v="VID100980"/>
    <s v="02-12-2025"/>
    <s v="04-12-2025"/>
    <x v="3"/>
    <s v="CUST-1980"/>
    <s v="Pooja Hegde"/>
    <x v="1"/>
    <s v="India"/>
    <x v="4"/>
    <s v="Maharashtra"/>
    <n v="689967"/>
    <x v="3"/>
    <s v="PROD-2980"/>
    <x v="1"/>
    <x v="1"/>
    <s v="Dell Inspiron"/>
    <n v="72419.399999999994"/>
    <x v="0"/>
    <n v="72419.399999999994"/>
    <e v="#N/A"/>
    <n v="4"/>
    <n v="0"/>
    <n v="5793.55"/>
    <x v="4"/>
    <x v="1"/>
    <x v="10"/>
  </r>
  <r>
    <n v="981"/>
    <s v="VID100981"/>
    <s v="30-04-2024"/>
    <s v="02-05-2024"/>
    <x v="3"/>
    <s v="CUST-1981"/>
    <s v="Sneha Reddy"/>
    <x v="1"/>
    <s v="India"/>
    <x v="2"/>
    <s v="West Bengal"/>
    <n v="359421"/>
    <x v="2"/>
    <s v="PROD-2981"/>
    <x v="2"/>
    <x v="3"/>
    <s v="A4 Paper"/>
    <n v="76949.119999999995"/>
    <x v="0"/>
    <n v="76949.119999999995"/>
    <e v="#N/A"/>
    <n v="9"/>
    <n v="0.1"/>
    <n v="4232.2"/>
    <x v="1"/>
    <x v="4"/>
    <x v="16"/>
  </r>
  <r>
    <n v="982"/>
    <s v="VID100982"/>
    <s v="18-06-2024"/>
    <s v="24-06-2024"/>
    <x v="3"/>
    <s v="CUST-1982"/>
    <s v="Priya Patel"/>
    <x v="1"/>
    <s v="India"/>
    <x v="2"/>
    <s v="West Bengal"/>
    <n v="595276"/>
    <x v="2"/>
    <s v="PROD-2982"/>
    <x v="2"/>
    <x v="3"/>
    <s v="A4 Paper"/>
    <n v="72452.83"/>
    <x v="0"/>
    <n v="72452.83"/>
    <e v="#N/A"/>
    <n v="8"/>
    <n v="0.2"/>
    <n v="2173.58"/>
    <x v="1"/>
    <x v="3"/>
    <x v="12"/>
  </r>
  <r>
    <n v="983"/>
    <s v="VID100983"/>
    <s v="21-05-2022"/>
    <s v="27-05-2022"/>
    <x v="1"/>
    <s v="CUST-1983"/>
    <s v="Rohan Das"/>
    <x v="1"/>
    <s v="India"/>
    <x v="3"/>
    <s v="Gujarat"/>
    <n v="256088"/>
    <x v="3"/>
    <s v="PROD-2983"/>
    <x v="1"/>
    <x v="1"/>
    <s v="Dell Inspiron"/>
    <n v="43353.55"/>
    <x v="0"/>
    <n v="43353.55"/>
    <e v="#N/A"/>
    <n v="10"/>
    <n v="0.3"/>
    <n v="216.77"/>
    <x v="2"/>
    <x v="0"/>
    <x v="26"/>
  </r>
  <r>
    <n v="984"/>
    <s v="VID100984"/>
    <s v="08-12-2022"/>
    <s v="11-12-2022"/>
    <x v="1"/>
    <s v="CUST-1984"/>
    <s v="Rahul Joshi"/>
    <x v="0"/>
    <s v="India"/>
    <x v="2"/>
    <s v="West Bengal"/>
    <n v="772916"/>
    <x v="2"/>
    <s v="PROD-2984"/>
    <x v="1"/>
    <x v="1"/>
    <s v="Dell Inspiron"/>
    <n v="79900.009999999995"/>
    <x v="0"/>
    <n v="79900.009999999995"/>
    <e v="#N/A"/>
    <n v="3"/>
    <n v="0"/>
    <n v="6392"/>
    <x v="2"/>
    <x v="1"/>
    <x v="3"/>
  </r>
  <r>
    <n v="985"/>
    <s v="VID100985"/>
    <s v="27-05-2023"/>
    <s v="02-06-2023"/>
    <x v="1"/>
    <s v="CUST-1985"/>
    <s v="Rahul Joshi"/>
    <x v="1"/>
    <s v="India"/>
    <x v="2"/>
    <s v="West Bengal"/>
    <n v="301796"/>
    <x v="2"/>
    <s v="PROD-2985"/>
    <x v="1"/>
    <x v="1"/>
    <s v="Dell Inspiron"/>
    <n v="48766.02"/>
    <x v="0"/>
    <n v="48766.02"/>
    <e v="#N/A"/>
    <n v="8"/>
    <n v="0.1"/>
    <n v="2682.13"/>
    <x v="3"/>
    <x v="0"/>
    <x v="7"/>
  </r>
  <r>
    <n v="986"/>
    <s v="VID100986"/>
    <s v="31-03-2021"/>
    <s v="01-04-2021"/>
    <x v="3"/>
    <s v="CUST-1986"/>
    <s v="Amit Verma"/>
    <x v="2"/>
    <s v="India"/>
    <x v="3"/>
    <s v="Gujarat"/>
    <n v="123638"/>
    <x v="3"/>
    <s v="PROD-2986"/>
    <x v="0"/>
    <x v="0"/>
    <s v="Office Chair"/>
    <n v="26242.35"/>
    <x v="0"/>
    <n v="26242.35"/>
    <e v="#N/A"/>
    <n v="8"/>
    <n v="0.3"/>
    <n v="131.21"/>
    <x v="0"/>
    <x v="5"/>
    <x v="4"/>
  </r>
  <r>
    <n v="987"/>
    <s v="VID100987"/>
    <s v="22-06-2024"/>
    <s v="26-06-2024"/>
    <x v="3"/>
    <s v="CUST-1987"/>
    <s v="Pooja Hegde"/>
    <x v="2"/>
    <s v="India"/>
    <x v="3"/>
    <s v="Gujarat"/>
    <n v="582193"/>
    <x v="3"/>
    <s v="PROD-2987"/>
    <x v="2"/>
    <x v="3"/>
    <s v="A4 Paper"/>
    <n v="73847.8"/>
    <x v="0"/>
    <n v="73847.8"/>
    <e v="#N/A"/>
    <n v="4"/>
    <n v="0.2"/>
    <n v="2215.4299999999998"/>
    <x v="1"/>
    <x v="3"/>
    <x v="2"/>
  </r>
  <r>
    <n v="988"/>
    <s v="VID100988"/>
    <s v="01-07-2024"/>
    <s v="05-07-2024"/>
    <x v="2"/>
    <s v="CUST-1988"/>
    <s v="Rahul Joshi"/>
    <x v="0"/>
    <s v="India"/>
    <x v="3"/>
    <s v="Gujarat"/>
    <n v="156246"/>
    <x v="3"/>
    <s v="PROD-2988"/>
    <x v="2"/>
    <x v="3"/>
    <s v="A4 Paper"/>
    <n v="81197.649999999994"/>
    <x v="0"/>
    <n v="81197.649999999994"/>
    <e v="#N/A"/>
    <n v="3"/>
    <n v="0.2"/>
    <n v="2435.9299999999998"/>
    <x v="1"/>
    <x v="6"/>
    <x v="11"/>
  </r>
  <r>
    <n v="989"/>
    <s v="VID100989"/>
    <s v="08-07-2024"/>
    <s v="09-07-2024"/>
    <x v="3"/>
    <s v="CUST-1989"/>
    <s v="Rohan Das"/>
    <x v="0"/>
    <s v="India"/>
    <x v="2"/>
    <s v="West Bengal"/>
    <n v="135063"/>
    <x v="2"/>
    <s v="PROD-2989"/>
    <x v="1"/>
    <x v="2"/>
    <s v="Samsung Galaxy"/>
    <n v="28324.69"/>
    <x v="0"/>
    <n v="28324.69"/>
    <e v="#N/A"/>
    <n v="9"/>
    <n v="0.3"/>
    <n v="141.62"/>
    <x v="1"/>
    <x v="6"/>
    <x v="3"/>
  </r>
  <r>
    <n v="990"/>
    <s v="VID100990"/>
    <s v="17-12-2024"/>
    <s v="18-12-2024"/>
    <x v="1"/>
    <s v="CUST-1990"/>
    <s v="Rohan Das"/>
    <x v="2"/>
    <s v="India"/>
    <x v="0"/>
    <s v="Delhi"/>
    <n v="514111"/>
    <x v="0"/>
    <s v="PROD-2990"/>
    <x v="1"/>
    <x v="2"/>
    <s v="Samsung Galaxy"/>
    <n v="77803.850000000006"/>
    <x v="0"/>
    <n v="77803.850000000006"/>
    <e v="#N/A"/>
    <n v="9"/>
    <n v="0"/>
    <n v="6224.31"/>
    <x v="1"/>
    <x v="1"/>
    <x v="29"/>
  </r>
  <r>
    <n v="991"/>
    <s v="VID100991"/>
    <s v="22-11-2024"/>
    <s v="29-11-2024"/>
    <x v="2"/>
    <s v="CUST-1991"/>
    <s v="Aarav Sharma"/>
    <x v="0"/>
    <s v="India"/>
    <x v="2"/>
    <s v="West Bengal"/>
    <n v="711597"/>
    <x v="2"/>
    <s v="PROD-2991"/>
    <x v="2"/>
    <x v="3"/>
    <s v="A4 Paper"/>
    <n v="67468.37"/>
    <x v="0"/>
    <n v="67468.37"/>
    <e v="#N/A"/>
    <n v="10"/>
    <n v="0.1"/>
    <n v="3710.76"/>
    <x v="1"/>
    <x v="9"/>
    <x v="2"/>
  </r>
  <r>
    <n v="992"/>
    <s v="VID100992"/>
    <s v="12-01-2023"/>
    <s v="16-01-2023"/>
    <x v="3"/>
    <s v="CUST-1992"/>
    <s v="Amit Verma"/>
    <x v="2"/>
    <s v="India"/>
    <x v="4"/>
    <s v="Maharashtra"/>
    <n v="565626"/>
    <x v="3"/>
    <s v="PROD-2992"/>
    <x v="2"/>
    <x v="3"/>
    <s v="A4 Paper"/>
    <n v="47313.4"/>
    <x v="0"/>
    <n v="47313.4"/>
    <e v="#N/A"/>
    <n v="3"/>
    <n v="0.1"/>
    <n v="2602.2399999999998"/>
    <x v="3"/>
    <x v="8"/>
    <x v="1"/>
  </r>
  <r>
    <n v="993"/>
    <s v="VID100993"/>
    <s v="24-02-2022"/>
    <s v="27-02-2022"/>
    <x v="3"/>
    <s v="CUST-1993"/>
    <s v="Diya Nair"/>
    <x v="1"/>
    <s v="India"/>
    <x v="1"/>
    <s v="Karnataka"/>
    <n v="929234"/>
    <x v="1"/>
    <s v="PROD-2993"/>
    <x v="2"/>
    <x v="3"/>
    <s v="A4 Paper"/>
    <n v="72169"/>
    <x v="0"/>
    <n v="72169"/>
    <e v="#N/A"/>
    <n v="5"/>
    <n v="0.2"/>
    <n v="2165.0700000000002"/>
    <x v="2"/>
    <x v="11"/>
    <x v="14"/>
  </r>
  <r>
    <n v="994"/>
    <s v="VID100994"/>
    <s v="08-11-2024"/>
    <s v="11-11-2024"/>
    <x v="3"/>
    <s v="CUST-1994"/>
    <s v="Vikram Singh"/>
    <x v="1"/>
    <s v="India"/>
    <x v="1"/>
    <s v="Karnataka"/>
    <n v="749663"/>
    <x v="1"/>
    <s v="PROD-2994"/>
    <x v="2"/>
    <x v="3"/>
    <s v="A4 Paper"/>
    <n v="93438.78"/>
    <x v="0"/>
    <n v="93438.78"/>
    <e v="#N/A"/>
    <n v="7"/>
    <n v="0.3"/>
    <n v="467.19"/>
    <x v="1"/>
    <x v="9"/>
    <x v="3"/>
  </r>
  <r>
    <n v="995"/>
    <s v="VID100995"/>
    <s v="02-10-2022"/>
    <s v="09-10-2022"/>
    <x v="0"/>
    <s v="CUST-1995"/>
    <s v="Pooja Hegde"/>
    <x v="2"/>
    <s v="India"/>
    <x v="1"/>
    <s v="Karnataka"/>
    <n v="275103"/>
    <x v="1"/>
    <s v="PROD-2995"/>
    <x v="2"/>
    <x v="3"/>
    <s v="A4 Paper"/>
    <n v="86750.73"/>
    <x v="0"/>
    <n v="86750.73"/>
    <e v="#N/A"/>
    <n v="2"/>
    <n v="0.3"/>
    <n v="433.75"/>
    <x v="2"/>
    <x v="7"/>
    <x v="10"/>
  </r>
  <r>
    <n v="996"/>
    <s v="VID100996"/>
    <s v="08-12-2023"/>
    <s v="14-12-2023"/>
    <x v="1"/>
    <s v="CUST-1996"/>
    <s v="Vikram Singh"/>
    <x v="2"/>
    <s v="India"/>
    <x v="1"/>
    <s v="Karnataka"/>
    <n v="669988"/>
    <x v="1"/>
    <s v="PROD-2996"/>
    <x v="1"/>
    <x v="2"/>
    <s v="Samsung Galaxy"/>
    <n v="58329.46"/>
    <x v="0"/>
    <n v="58329.46"/>
    <e v="#N/A"/>
    <n v="4"/>
    <n v="0.1"/>
    <n v="3208.12"/>
    <x v="3"/>
    <x v="1"/>
    <x v="3"/>
  </r>
  <r>
    <n v="997"/>
    <s v="VID100997"/>
    <s v="07-01-2023"/>
    <s v="08-01-2023"/>
    <x v="3"/>
    <s v="CUST-1997"/>
    <s v="Ananya Mishra"/>
    <x v="0"/>
    <s v="India"/>
    <x v="0"/>
    <s v="Delhi"/>
    <n v="547750"/>
    <x v="0"/>
    <s v="PROD-2997"/>
    <x v="1"/>
    <x v="1"/>
    <s v="Dell Inspiron"/>
    <n v="42173.7"/>
    <x v="0"/>
    <n v="42173.7"/>
    <e v="#N/A"/>
    <n v="2"/>
    <n v="0.3"/>
    <n v="210.87"/>
    <x v="3"/>
    <x v="8"/>
    <x v="8"/>
  </r>
  <r>
    <n v="998"/>
    <s v="VID100998"/>
    <s v="12-03-2023"/>
    <s v="17-03-2023"/>
    <x v="1"/>
    <s v="CUST-1998"/>
    <s v="Sneha Reddy"/>
    <x v="2"/>
    <s v="India"/>
    <x v="3"/>
    <s v="Gujarat"/>
    <n v="392820"/>
    <x v="3"/>
    <s v="PROD-2998"/>
    <x v="2"/>
    <x v="3"/>
    <s v="A4 Paper"/>
    <n v="11266.03"/>
    <x v="0"/>
    <n v="11266.03"/>
    <e v="#N/A"/>
    <n v="8"/>
    <n v="0.1"/>
    <n v="619.63"/>
    <x v="3"/>
    <x v="5"/>
    <x v="1"/>
  </r>
  <r>
    <n v="999"/>
    <s v="VID100999"/>
    <s v="23-10-2022"/>
    <s v="29-10-2022"/>
    <x v="2"/>
    <s v="CUST-1999"/>
    <s v="Vikram Singh"/>
    <x v="1"/>
    <s v="India"/>
    <x v="2"/>
    <s v="West Bengal"/>
    <n v="590992"/>
    <x v="2"/>
    <s v="PROD-2999"/>
    <x v="1"/>
    <x v="1"/>
    <s v="Dell Inspiron"/>
    <n v="66984.320000000007"/>
    <x v="0"/>
    <n v="66984.320000000007"/>
    <e v="#N/A"/>
    <n v="7"/>
    <n v="0.3"/>
    <n v="334.92"/>
    <x v="2"/>
    <x v="7"/>
    <x v="24"/>
  </r>
  <r>
    <n v="1000"/>
    <s v="VID101000"/>
    <s v="04-10-2021"/>
    <s v="07-10-2021"/>
    <x v="1"/>
    <s v="CUST-2000"/>
    <s v="Sneha Reddy"/>
    <x v="0"/>
    <s v="India"/>
    <x v="0"/>
    <s v="Delhi"/>
    <n v="998304"/>
    <x v="0"/>
    <s v="PROD-3000"/>
    <x v="2"/>
    <x v="3"/>
    <s v="A4 Paper"/>
    <n v="98111.24"/>
    <x v="0"/>
    <n v="98111.24"/>
    <e v="#N/A"/>
    <n v="6"/>
    <n v="0.3"/>
    <n v="490.56"/>
    <x v="0"/>
    <x v="7"/>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49C6A-0E19-4266-BAF9-2C650776A7DD}"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7:T11"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showAll="0"/>
  </pivotFields>
  <rowFields count="1">
    <field x="14"/>
  </rowFields>
  <rowItems count="4">
    <i>
      <x/>
    </i>
    <i>
      <x v="1"/>
    </i>
    <i>
      <x v="2"/>
    </i>
    <i t="grand">
      <x/>
    </i>
  </rowItems>
  <colItems count="1">
    <i/>
  </colItems>
  <dataFields count="1">
    <dataField name="Sum of Quantity" fld="21" showDataAs="percentOfTotal" baseField="14" baseItem="0" numFmtId="10"/>
  </dataFields>
  <formats count="5">
    <format dxfId="4">
      <pivotArea outline="0" collapsedLevelsAreSubtotals="1" fieldPosition="0"/>
    </format>
    <format dxfId="3">
      <pivotArea dataOnly="0" labelOnly="1" outline="0" axis="axisValues" fieldPosition="0"/>
    </format>
    <format dxfId="2">
      <pivotArea outline="0" collapsedLevelsAreSubtotals="1" fieldPosition="0"/>
    </format>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1A5785-CED9-4EFF-BF61-585049CAD6A1}"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7:Q11" firstHeaderRow="1" firstDataRow="1" firstDataCol="1"/>
  <pivotFields count="27">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showAll="0"/>
  </pivotFields>
  <rowFields count="1">
    <field x="7"/>
  </rowFields>
  <rowItems count="4">
    <i>
      <x/>
    </i>
    <i>
      <x v="1"/>
    </i>
    <i>
      <x v="2"/>
    </i>
    <i t="grand">
      <x/>
    </i>
  </rowItems>
  <colItems count="1">
    <i/>
  </colItems>
  <dataFields count="1">
    <dataField name="Sum of Sales" fld="17" showDataAs="percentOfTotal" baseField="4" baseItem="0" numFmtId="9"/>
  </dataFields>
  <formats count="5">
    <format dxfId="9">
      <pivotArea outline="0" collapsedLevelsAreSubtotals="1" fieldPosition="0"/>
    </format>
    <format dxfId="8">
      <pivotArea dataOnly="0" labelOnly="1" outline="0" axis="axisValues" fieldPosition="0"/>
    </format>
    <format dxfId="7">
      <pivotArea outline="0" fieldPosition="0">
        <references count="1">
          <reference field="4294967294" count="1">
            <x v="0"/>
          </reference>
        </references>
      </pivotArea>
    </format>
    <format dxfId="6">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F08CD-3AFD-43A5-A4FA-8887956F3D6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7:H20"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6">
        <item x="0"/>
        <item x="2"/>
        <item x="3"/>
        <item x="1"/>
        <item x="4"/>
        <item t="default"/>
      </items>
    </pivotField>
    <pivotField axis="axisRow" showAll="0">
      <items count="13">
        <item x="8"/>
        <item x="11"/>
        <item x="5"/>
        <item x="4"/>
        <item x="0"/>
        <item x="3"/>
        <item x="6"/>
        <item x="2"/>
        <item x="10"/>
        <item x="7"/>
        <item x="9"/>
        <item x="1"/>
        <item t="default"/>
      </items>
    </pivotField>
    <pivotField showAll="0"/>
  </pivotFields>
  <rowFields count="1">
    <field x="25"/>
  </rowFields>
  <rowItems count="13">
    <i>
      <x/>
    </i>
    <i>
      <x v="1"/>
    </i>
    <i>
      <x v="2"/>
    </i>
    <i>
      <x v="3"/>
    </i>
    <i>
      <x v="4"/>
    </i>
    <i>
      <x v="5"/>
    </i>
    <i>
      <x v="6"/>
    </i>
    <i>
      <x v="7"/>
    </i>
    <i>
      <x v="8"/>
    </i>
    <i>
      <x v="9"/>
    </i>
    <i>
      <x v="10"/>
    </i>
    <i>
      <x v="11"/>
    </i>
    <i t="grand">
      <x/>
    </i>
  </rowItems>
  <colItems count="1">
    <i/>
  </colItems>
  <dataFields count="1">
    <dataField name="Sum of Profit" fld="23"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FA7DA-1651-4494-8968-FB898B5FF32A}" name="PivotTable3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G7:AH12"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showAll="0"/>
  </pivotFields>
  <rowFields count="1">
    <field x="15"/>
  </rowFields>
  <rowItems count="5">
    <i>
      <x/>
    </i>
    <i>
      <x v="1"/>
    </i>
    <i>
      <x v="2"/>
    </i>
    <i>
      <x v="3"/>
    </i>
    <i t="grand">
      <x/>
    </i>
  </rowItems>
  <colItems count="1">
    <i/>
  </colItems>
  <dataFields count="1">
    <dataField name="Sum of Sales" fld="17" baseField="14" baseItem="0" numFmtId="165"/>
  </dataFields>
  <formats count="5">
    <format dxfId="15">
      <pivotArea outline="0" collapsedLevelsAreSubtotals="1" fieldPosition="0"/>
    </format>
    <format dxfId="14">
      <pivotArea dataOnly="0" labelOnly="1" outline="0" axis="axisValues" fieldPosition="0"/>
    </format>
    <format dxfId="13">
      <pivotArea outline="0" collapsedLevelsAreSubtotals="1" fieldPosition="0"/>
    </format>
    <format dxfId="12">
      <pivotArea outline="0" fieldPosition="0">
        <references count="1">
          <reference field="4294967294" count="1">
            <x v="0"/>
          </reference>
        </references>
      </pivotArea>
    </format>
    <format dxfId="11">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3"/>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2" format="5">
      <pivotArea type="data" outline="0" fieldPosition="0">
        <references count="2">
          <reference field="4294967294" count="1" selected="0">
            <x v="0"/>
          </reference>
          <reference field="15" count="1" selected="0">
            <x v="1"/>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E67F5-8139-4BE2-B77B-BE2B02902F9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7:K20"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6">
        <item x="0"/>
        <item x="2"/>
        <item x="3"/>
        <item x="1"/>
        <item x="4"/>
        <item t="default"/>
      </items>
    </pivotField>
    <pivotField axis="axisRow" showAll="0">
      <items count="13">
        <item x="8"/>
        <item x="11"/>
        <item x="5"/>
        <item x="4"/>
        <item x="0"/>
        <item x="3"/>
        <item x="6"/>
        <item x="2"/>
        <item x="10"/>
        <item x="7"/>
        <item x="9"/>
        <item x="1"/>
        <item t="default"/>
      </items>
    </pivotField>
    <pivotField showAll="0"/>
  </pivotFields>
  <rowFields count="1">
    <field x="25"/>
  </rowFields>
  <rowItems count="13">
    <i>
      <x/>
    </i>
    <i>
      <x v="1"/>
    </i>
    <i>
      <x v="2"/>
    </i>
    <i>
      <x v="3"/>
    </i>
    <i>
      <x v="4"/>
    </i>
    <i>
      <x v="5"/>
    </i>
    <i>
      <x v="6"/>
    </i>
    <i>
      <x v="7"/>
    </i>
    <i>
      <x v="8"/>
    </i>
    <i>
      <x v="9"/>
    </i>
    <i>
      <x v="10"/>
    </i>
    <i>
      <x v="11"/>
    </i>
    <i t="grand">
      <x/>
    </i>
  </rowItems>
  <colItems count="1">
    <i/>
  </colItems>
  <dataFields count="1">
    <dataField name="Sum of Qnty" fld="21" baseField="22" baseItem="0"/>
  </dataFields>
  <formats count="3">
    <format dxfId="18">
      <pivotArea outline="0" collapsedLevelsAreSubtotals="1" fieldPosition="0"/>
    </format>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6FADD7-4607-4241-8689-7489CCCCA2C8}" name="PivotTable3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J7:AK39"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axis="axisRow" showAll="0">
      <items count="32">
        <item x="11"/>
        <item x="10"/>
        <item x="9"/>
        <item x="22"/>
        <item x="25"/>
        <item x="15"/>
        <item x="8"/>
        <item x="3"/>
        <item x="18"/>
        <item x="5"/>
        <item x="23"/>
        <item x="1"/>
        <item x="30"/>
        <item x="6"/>
        <item x="28"/>
        <item x="20"/>
        <item x="29"/>
        <item x="12"/>
        <item x="27"/>
        <item x="0"/>
        <item x="26"/>
        <item x="2"/>
        <item x="24"/>
        <item x="14"/>
        <item x="17"/>
        <item x="21"/>
        <item x="7"/>
        <item x="13"/>
        <item x="19"/>
        <item x="16"/>
        <item x="4"/>
        <item t="default"/>
      </items>
    </pivotField>
  </pivotFields>
  <rowFields count="1">
    <field x="2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14" baseItem="0" numFmtId="165"/>
  </dataFields>
  <formats count="5">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outline="0" fieldPosition="0">
        <references count="1">
          <reference field="4294967294" count="1">
            <x v="0"/>
          </reference>
        </references>
      </pivotArea>
    </format>
    <format dxfId="19">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33DBD-7646-4C1E-8228-35AF174841C4}" name="PivotTable3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D7:AE11"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showAll="0"/>
  </pivotFields>
  <rowFields count="1">
    <field x="14"/>
  </rowFields>
  <rowItems count="4">
    <i>
      <x/>
    </i>
    <i>
      <x v="1"/>
    </i>
    <i>
      <x v="2"/>
    </i>
    <i t="grand">
      <x/>
    </i>
  </rowItems>
  <colItems count="1">
    <i/>
  </colItems>
  <dataFields count="1">
    <dataField name="Sum of Sales" fld="17" showDataAs="percentOfTotal" baseField="14" baseItem="0" numFmtId="9"/>
  </dataFields>
  <formats count="5">
    <format dxfId="28">
      <pivotArea outline="0" collapsedLevelsAreSubtotals="1" fieldPosition="0"/>
    </format>
    <format dxfId="27">
      <pivotArea dataOnly="0" labelOnly="1" outline="0" axis="axisValues" fieldPosition="0"/>
    </format>
    <format dxfId="26">
      <pivotArea outline="0" collapsedLevelsAreSubtotals="1" fieldPosition="0"/>
    </format>
    <format dxfId="25">
      <pivotArea outline="0" fieldPosition="0">
        <references count="1">
          <reference field="4294967294" count="1">
            <x v="0"/>
          </reference>
        </references>
      </pivotArea>
    </format>
    <format dxfId="2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376A2C-5B43-40CB-9A8F-D941063A40A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7:N12" firstHeaderRow="1" firstDataRow="1" firstDataCol="1"/>
  <pivotFields count="27">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5">
    <format dxfId="33">
      <pivotArea outline="0" collapsedLevelsAreSubtotals="1" fieldPosition="0"/>
    </format>
    <format dxfId="32">
      <pivotArea dataOnly="0" labelOnly="1" outline="0" axis="axisValues" fieldPosition="0"/>
    </format>
    <format dxfId="31">
      <pivotArea outline="0" fieldPosition="0">
        <references count="1">
          <reference field="4294967294" count="1">
            <x v="0"/>
          </reference>
        </references>
      </pivotArea>
    </format>
    <format dxfId="30">
      <pivotArea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2CFE40-5CFB-4F93-9A5B-521B6FCC4862}" name="PivotTable3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Z7:AB12"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 Sales" fld="17" baseField="12" baseItem="0" numFmtId="165"/>
    <dataField name="Sum of Sales %" fld="17" showDataAs="percentOfTotal" baseField="12" baseItem="0" numFmtId="9"/>
  </dataFields>
  <formats count="6">
    <format dxfId="39">
      <pivotArea outline="0" collapsedLevelsAreSubtotals="1" fieldPosition="0"/>
    </format>
    <format dxfId="38">
      <pivotArea dataOnly="0" labelOnly="1" outline="0" axis="axisValues" fieldPosition="0"/>
    </format>
    <format dxfId="37">
      <pivotArea outline="0" collapsedLevelsAreSubtotals="1" fieldPosition="0"/>
    </format>
    <format dxfId="36">
      <pivotArea outline="0" collapsedLevelsAreSubtotals="1" fieldPosition="0"/>
    </format>
    <format dxfId="35">
      <pivotArea outline="0" collapsedLevelsAreSubtotals="1" fieldPosition="0">
        <references count="1">
          <reference field="4294967294" count="1" selected="0">
            <x v="0"/>
          </reference>
        </references>
      </pivotArea>
    </format>
    <format dxfId="34">
      <pivotArea outline="0" collapsedLevelsAreSubtotals="1" fieldPosition="0">
        <references count="1">
          <reference field="4294967294" count="1" selected="0">
            <x v="1"/>
          </reference>
        </references>
      </pivotArea>
    </format>
  </formats>
  <chartFormats count="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2" count="1" selected="0">
            <x v="1"/>
          </reference>
        </references>
      </pivotArea>
    </chartFormat>
    <chartFormat chart="2" format="7">
      <pivotArea type="data" outline="0" fieldPosition="0">
        <references count="2">
          <reference field="4294967294" count="1" selected="0">
            <x v="1"/>
          </reference>
          <reference field="12" count="1" selected="0">
            <x v="2"/>
          </reference>
        </references>
      </pivotArea>
    </chartFormat>
    <chartFormat chart="2" format="8">
      <pivotArea type="data" outline="0" fieldPosition="0">
        <references count="2">
          <reference field="4294967294" count="1" selected="0">
            <x v="1"/>
          </reference>
          <reference field="12" count="1" selected="0">
            <x v="0"/>
          </reference>
        </references>
      </pivotArea>
    </chartFormat>
    <chartFormat chart="2" format="9">
      <pivotArea type="data" outline="0" fieldPosition="0">
        <references count="2">
          <reference field="4294967294" count="1" selected="0">
            <x v="1"/>
          </reference>
          <reference field="12" count="1" selected="0">
            <x v="3"/>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E8DD80-0A77-484E-AF79-2D42AA507A55}" name="PivotTable3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W7:X13" firstHeaderRow="1" firstDataRow="1" firstDataCol="1"/>
  <pivotFields count="27">
    <pivotField showAll="0"/>
    <pivotField showAll="0"/>
    <pivotField showAll="0"/>
    <pivotField showAll="0"/>
    <pivotField showAll="0"/>
    <pivotField showAll="0"/>
    <pivotField showAll="0"/>
    <pivotField showAll="0"/>
    <pivotField showAll="0"/>
    <pivotField axis="axisRow" showAll="0" measureFilter="1">
      <items count="6">
        <item x="3"/>
        <item x="1"/>
        <item x="0"/>
        <item x="2"/>
        <item x="4"/>
        <item t="default"/>
      </items>
    </pivotField>
    <pivotField showAll="0"/>
    <pivotField showAll="0"/>
    <pivotField showAll="0">
      <items count="5">
        <item x="2"/>
        <item x="0"/>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6">
        <item x="0"/>
        <item x="2"/>
        <item x="3"/>
        <item x="1"/>
        <item x="4"/>
        <item t="default"/>
      </items>
    </pivotField>
    <pivotField showAll="0">
      <items count="13">
        <item x="8"/>
        <item x="11"/>
        <item x="5"/>
        <item x="4"/>
        <item x="0"/>
        <item x="3"/>
        <item x="6"/>
        <item x="2"/>
        <item x="10"/>
        <item x="7"/>
        <item x="9"/>
        <item x="1"/>
        <item t="default"/>
      </items>
    </pivotField>
    <pivotField showAll="0"/>
  </pivotFields>
  <rowFields count="1">
    <field x="9"/>
  </rowFields>
  <rowItems count="6">
    <i>
      <x/>
    </i>
    <i>
      <x v="1"/>
    </i>
    <i>
      <x v="2"/>
    </i>
    <i>
      <x v="3"/>
    </i>
    <i>
      <x v="4"/>
    </i>
    <i t="grand">
      <x/>
    </i>
  </rowItems>
  <colItems count="1">
    <i/>
  </colItems>
  <dataFields count="1">
    <dataField name="Sum of Sales" fld="17" baseField="4" baseItem="0" numFmtId="165"/>
  </dataFields>
  <formats count="5">
    <format dxfId="44">
      <pivotArea outline="0" collapsedLevelsAreSubtotals="1" fieldPosition="0"/>
    </format>
    <format dxfId="43">
      <pivotArea dataOnly="0" labelOnly="1" outline="0" axis="axisValues" fieldPosition="0"/>
    </format>
    <format dxfId="42">
      <pivotArea outline="0" collapsedLevelsAreSubtotals="1" fieldPosition="0"/>
    </format>
    <format dxfId="41">
      <pivotArea outline="0" fieldPosition="0">
        <references count="1">
          <reference field="4294967294" count="1">
            <x v="0"/>
          </reference>
        </references>
      </pivotArea>
    </format>
    <format dxfId="40">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
          </reference>
        </references>
      </pivotArea>
    </chartFormat>
    <chartFormat chart="3" format="4">
      <pivotArea type="data" outline="0" fieldPosition="0">
        <references count="2">
          <reference field="4294967294" count="1" selected="0">
            <x v="0"/>
          </reference>
          <reference field="9" count="1" selected="0">
            <x v="3"/>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E304BF-5B53-4D53-B48C-5E59900B4CE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7:E20"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dataField="1" showAll="0"/>
    <pivotField dataField="1" showAll="0">
      <items count="3">
        <item x="1"/>
        <item x="0"/>
        <item t="default"/>
      </items>
    </pivotField>
    <pivotField dataField="1" showAll="0"/>
    <pivotField dataField="1" showAll="0"/>
    <pivotField showAll="0"/>
    <pivotField showAll="0"/>
    <pivotField showAll="0"/>
    <pivotField showAll="0">
      <items count="6">
        <item x="0"/>
        <item x="2"/>
        <item x="3"/>
        <item x="1"/>
        <item x="4"/>
        <item t="default"/>
      </items>
    </pivotField>
    <pivotField axis="axisRow" showAll="0">
      <items count="13">
        <item x="8"/>
        <item x="11"/>
        <item x="5"/>
        <item x="4"/>
        <item x="0"/>
        <item x="3"/>
        <item x="6"/>
        <item x="2"/>
        <item x="10"/>
        <item x="7"/>
        <item x="9"/>
        <item x="1"/>
        <item t="default"/>
      </items>
    </pivotField>
    <pivotField showAll="0"/>
  </pivotFields>
  <rowFields count="1">
    <field x="25"/>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Sales" fld="17" baseField="0" baseItem="0" numFmtId="164"/>
    <dataField name="Sum of Low sales" fld="18" baseField="25" baseItem="0"/>
    <dataField name="Sum of Medium sales" fld="19" baseField="25" baseItem="0"/>
    <dataField name="Sum of Column1" fld="20" baseField="25" baseItem="0"/>
  </dataFields>
  <formats count="3">
    <format dxfId="47">
      <pivotArea outline="0" collapsedLevelsAreSubtotals="1" fieldPosition="0"/>
    </format>
    <format dxfId="46">
      <pivotArea outline="0" collapsedLevelsAreSubtotals="1" fieldPosition="0">
        <references count="1">
          <reference field="4294967294" count="1" selected="0">
            <x v="2"/>
          </reference>
        </references>
      </pivotArea>
    </format>
    <format dxfId="45">
      <pivotArea dataOnly="0" labelOnly="1" outline="0" fieldPosition="0">
        <references count="1">
          <reference field="4294967294" count="1">
            <x v="2"/>
          </reference>
        </references>
      </pivotArea>
    </format>
  </formats>
  <chartFormats count="4">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2"/>
          </reference>
        </references>
      </pivotArea>
    </chartFormat>
    <chartFormat chart="3" format="5"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2709F1B-F993-4E45-BFAF-1B3ED27DEAAD}" sourceName="YEAR">
  <pivotTables>
    <pivotTable tabId="2" name="PivotTable32"/>
    <pivotTable tabId="2" name="PivotTable1"/>
    <pivotTable tabId="2" name="PivotTable3"/>
    <pivotTable tabId="2" name="PivotTable30"/>
    <pivotTable tabId="2" name="PivotTable31"/>
    <pivotTable tabId="2" name="PivotTable33"/>
    <pivotTable tabId="2" name="PivotTable34"/>
    <pivotTable tabId="2" name="PivotTable4"/>
    <pivotTable tabId="2" name="PivotTable5"/>
    <pivotTable tabId="2" name="PivotTable7"/>
    <pivotTable tabId="2" name="PivotTable8"/>
  </pivotTables>
  <data>
    <tabular pivotCacheId="1754426976">
      <items count="5">
        <i x="0" s="1"/>
        <i x="2"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8EB78D-62A5-446C-AEC2-BA744B96084C}" sourceName="MONTH">
  <pivotTables>
    <pivotTable tabId="2" name="PivotTable32"/>
    <pivotTable tabId="2" name="PivotTable1"/>
    <pivotTable tabId="2" name="PivotTable3"/>
    <pivotTable tabId="2" name="PivotTable30"/>
    <pivotTable tabId="2" name="PivotTable31"/>
    <pivotTable tabId="2" name="PivotTable33"/>
    <pivotTable tabId="2" name="PivotTable34"/>
    <pivotTable tabId="2" name="PivotTable4"/>
    <pivotTable tabId="2" name="PivotTable5"/>
    <pivotTable tabId="2" name="PivotTable7"/>
    <pivotTable tabId="2" name="PivotTable8"/>
  </pivotTables>
  <data>
    <tabular pivotCacheId="1754426976">
      <items count="12">
        <i x="8" s="1"/>
        <i x="11" s="1"/>
        <i x="5" s="1"/>
        <i x="4" s="1"/>
        <i x="0" s="1"/>
        <i x="3" s="1"/>
        <i x="6" s="1"/>
        <i x="2" s="1"/>
        <i x="10" s="1"/>
        <i x="7" s="1"/>
        <i x="9"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90A81A-F809-4E90-B5F9-0ACAD1B20063}" sourceName="Region">
  <pivotTables>
    <pivotTable tabId="2" name="PivotTable32"/>
    <pivotTable tabId="2" name="PivotTable1"/>
    <pivotTable tabId="2" name="PivotTable3"/>
    <pivotTable tabId="2" name="PivotTable30"/>
    <pivotTable tabId="2" name="PivotTable31"/>
    <pivotTable tabId="2" name="PivotTable33"/>
    <pivotTable tabId="2" name="PivotTable34"/>
    <pivotTable tabId="2" name="PivotTable4"/>
    <pivotTable tabId="2" name="PivotTable5"/>
    <pivotTable tabId="2" name="PivotTable7"/>
    <pivotTable tabId="2" name="PivotTable8"/>
  </pivotTables>
  <data>
    <tabular pivotCacheId="175442697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5D5E429-9E23-4B45-9F9E-1154855D762E}" cache="Slicer_YEAR" caption="YEAR" style="SlicerStyleOther2" rowHeight="241300"/>
  <slicer name="MONTH 1" xr10:uid="{24EB4D8A-6051-4B53-8CBF-AC5F6E14764B}" cache="Slicer_MONTH" caption="MONTH" style="SlicerStyleOther2" rowHeight="241300"/>
  <slicer name="Region 2" xr10:uid="{873CB08A-4E10-425E-8880-626AE7A34717}"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F35E7-88C2-4702-A7E5-25EBAC47CCC6}" name="Table1" displayName="Table1" ref="A1:AA1001" totalsRowShown="0">
  <tableColumns count="27">
    <tableColumn id="1" xr3:uid="{E9F74CE3-7164-44BC-A743-DC0D27A5A7B1}" name="No." dataDxfId="60"/>
    <tableColumn id="2" xr3:uid="{CFE66666-C113-412C-8262-5A339580F7A3}" name="Voter ID" dataDxfId="59"/>
    <tableColumn id="3" xr3:uid="{30B6D83F-05B3-460C-B122-22CA68489C5C}" name="Order Date" dataDxfId="58"/>
    <tableColumn id="4" xr3:uid="{3E17968B-6C10-43E5-8CDA-F8A0C09C77C0}" name="Ship Date" dataDxfId="57"/>
    <tableColumn id="5" xr3:uid="{E7F20FCE-9C3E-4331-A7B2-86B365706C37}" name="Ship Mode"/>
    <tableColumn id="6" xr3:uid="{139D7386-B53C-495E-9492-24A6642D0773}" name="Customer ID"/>
    <tableColumn id="7" xr3:uid="{3A8AEA18-78B3-4E60-83BA-C8CC94BCCD96}" name="Customer Name"/>
    <tableColumn id="8" xr3:uid="{15F4CA0C-0238-4534-B59C-B4934DADC41D}" name="Segment"/>
    <tableColumn id="9" xr3:uid="{83C618BD-F27A-4EB7-BA0A-D020F9E8E7B3}" name="Country" dataDxfId="56"/>
    <tableColumn id="10" xr3:uid="{FAAB37F1-F27D-431A-AE44-75D7463983B0}" name="City"/>
    <tableColumn id="11" xr3:uid="{09FBA2D6-7C86-4F79-81B5-BC4739F9514E}" name="State"/>
    <tableColumn id="12" xr3:uid="{B7A8172C-ADD7-40E8-AF15-839B5EB429B2}" name="Postal Code" dataDxfId="55"/>
    <tableColumn id="13" xr3:uid="{BFBFD5C3-7159-4F86-98DD-D71EAD052440}" name="Region" dataDxfId="54"/>
    <tableColumn id="14" xr3:uid="{1D34AB47-8BC8-418A-9DAB-437A3D02B423}" name="Product ID"/>
    <tableColumn id="15" xr3:uid="{DA3F2BC2-AF41-4F95-8C96-9C5319A8EE54}" name="Category"/>
    <tableColumn id="16" xr3:uid="{A9439E7E-F27A-4D74-87AC-BE8034428C5E}" name="Sub-Category"/>
    <tableColumn id="17" xr3:uid="{607F40A4-2D0D-4B91-8571-65728D2C6C62}" name="Product Name"/>
    <tableColumn id="18" xr3:uid="{6CB9A439-F7FF-4F9E-96DE-8E1CDDDEEEB7}" name="Sales"/>
    <tableColumn id="28" xr3:uid="{604B3E37-4EEF-4264-8E3E-AFAB3165ADB7}" name="Low sales" dataDxfId="53">
      <calculatedColumnFormula>IF(Table1[[#This Row],[Sales]]=MIN(Table1[Sales]), Table1[[#This Row],[Sales]], NA())</calculatedColumnFormula>
    </tableColumn>
    <tableColumn id="27" xr3:uid="{D5330D46-58A2-414E-A516-C5C6E2A96CAD}" name="Medium sales" dataDxfId="52">
      <calculatedColumnFormula>IF(AND(Table1[[#This Row],[Sales]]&lt;&gt;MIN(Table1[Sales]),Table1[[#This Row],[Sales]]&lt;&gt;MAX(Table1[Sales])), Table1[[#This Row],[Sales]], NA())</calculatedColumnFormula>
    </tableColumn>
    <tableColumn id="26" xr3:uid="{C158F400-9B26-4F5F-A3CD-A851F52A00CD}" name="Column1" dataDxfId="51">
      <calculatedColumnFormula>IF(Table1[[#This Row],[Sales]]=MAX(Table1[Sales]), Table1[[#This Row],[Sales]], NA())</calculatedColumnFormula>
    </tableColumn>
    <tableColumn id="19" xr3:uid="{64317226-D0B8-46ED-891E-298CA70263BE}" name="Quantity"/>
    <tableColumn id="20" xr3:uid="{B45649B8-75B9-4AE2-8C94-840A5CECCBB8}" name="Discount"/>
    <tableColumn id="21" xr3:uid="{A3109E40-1938-4FAD-832B-BF6AF4A9D740}" name="Profit"/>
    <tableColumn id="22" xr3:uid="{43A693F1-1BE7-4A2A-ADE7-3388D63853B6}" name="YEAR" dataDxfId="50">
      <calculatedColumnFormula>YEAR(Table1[[#This Row],[Order Date]])</calculatedColumnFormula>
    </tableColumn>
    <tableColumn id="23" xr3:uid="{F73CB6BD-5379-4766-8498-F196FD3B4443}" name="MONTH" dataDxfId="49">
      <calculatedColumnFormula>TEXT(Table1[[#This Row],[Order Date]],"MMM")</calculatedColumnFormula>
    </tableColumn>
    <tableColumn id="24" xr3:uid="{4AD81E02-55DB-443D-A138-78E4BF4901D0}" name="DAILY" dataDxfId="48">
      <calculatedColumnFormula>DAY(Table1[[#This Row],[Order Date]])</calculatedColumnFormula>
    </tableColumn>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AA1001"/>
  <sheetViews>
    <sheetView topLeftCell="M1" zoomScaleNormal="100" workbookViewId="0">
      <selection activeCell="T4" sqref="T4"/>
    </sheetView>
  </sheetViews>
  <sheetFormatPr defaultRowHeight="14.5" x14ac:dyDescent="0.35"/>
  <cols>
    <col min="1" max="1" width="8.7265625" style="1"/>
    <col min="2" max="2" width="10.90625" style="1" customWidth="1"/>
    <col min="3" max="3" width="12.1796875" style="1" customWidth="1"/>
    <col min="4" max="4" width="12.453125" style="1" customWidth="1"/>
    <col min="5" max="5" width="13.08984375" bestFit="1" customWidth="1"/>
    <col min="6" max="6" width="13.26953125" customWidth="1"/>
    <col min="7" max="7" width="16.36328125" customWidth="1"/>
    <col min="8" max="8" width="11.1796875" bestFit="1" customWidth="1"/>
    <col min="9" max="9" width="9.54296875" style="1" customWidth="1"/>
    <col min="10" max="10" width="11" bestFit="1" customWidth="1"/>
    <col min="11" max="11" width="11.6328125" bestFit="1" customWidth="1"/>
    <col min="12" max="12" width="12.7265625" style="1" customWidth="1"/>
    <col min="13" max="13" width="8.7265625" style="1"/>
    <col min="14" max="14" width="11.7265625" customWidth="1"/>
    <col min="15" max="15" width="13.1796875" bestFit="1" customWidth="1"/>
    <col min="16" max="16" width="14" customWidth="1"/>
    <col min="17" max="17" width="14.81640625" customWidth="1"/>
    <col min="18" max="18" width="8.81640625" bestFit="1" customWidth="1"/>
    <col min="19" max="19" width="8.81640625" customWidth="1"/>
    <col min="20" max="20" width="14.6328125" bestFit="1" customWidth="1"/>
    <col min="21" max="21" width="8.81640625" customWidth="1"/>
    <col min="22" max="23" width="10.1796875" customWidth="1"/>
    <col min="25" max="25" width="7.36328125" bestFit="1" customWidth="1"/>
    <col min="26" max="26" width="9.7265625" bestFit="1" customWidth="1"/>
    <col min="27" max="27" width="7.90625" style="4" bestFit="1" customWidth="1"/>
  </cols>
  <sheetData>
    <row r="1" spans="1:27" x14ac:dyDescent="0.35">
      <c r="A1" s="1" t="s">
        <v>0</v>
      </c>
      <c r="B1" s="1" t="s">
        <v>1</v>
      </c>
      <c r="C1" s="1" t="s">
        <v>2</v>
      </c>
      <c r="D1" s="1" t="s">
        <v>3</v>
      </c>
      <c r="E1" t="s">
        <v>4</v>
      </c>
      <c r="F1" t="s">
        <v>5</v>
      </c>
      <c r="G1" t="s">
        <v>6</v>
      </c>
      <c r="H1" t="s">
        <v>7</v>
      </c>
      <c r="I1" s="1" t="s">
        <v>8</v>
      </c>
      <c r="J1" t="s">
        <v>9</v>
      </c>
      <c r="K1" t="s">
        <v>10</v>
      </c>
      <c r="L1" s="1" t="s">
        <v>11</v>
      </c>
      <c r="M1" s="1" t="s">
        <v>12</v>
      </c>
      <c r="N1" t="s">
        <v>13</v>
      </c>
      <c r="O1" t="s">
        <v>14</v>
      </c>
      <c r="P1" t="s">
        <v>15</v>
      </c>
      <c r="Q1" t="s">
        <v>16</v>
      </c>
      <c r="R1" t="s">
        <v>17</v>
      </c>
      <c r="S1" s="24" t="s">
        <v>4279</v>
      </c>
      <c r="T1" s="24" t="s">
        <v>4280</v>
      </c>
      <c r="U1" s="24" t="s">
        <v>4278</v>
      </c>
      <c r="V1" t="s">
        <v>18</v>
      </c>
      <c r="W1" t="s">
        <v>19</v>
      </c>
      <c r="X1" t="s">
        <v>20</v>
      </c>
      <c r="Y1" s="2" t="s">
        <v>4256</v>
      </c>
      <c r="Z1" s="2" t="s">
        <v>4255</v>
      </c>
      <c r="AA1" s="5" t="s">
        <v>4257</v>
      </c>
    </row>
    <row r="2" spans="1:27" x14ac:dyDescent="0.35">
      <c r="A2" s="1">
        <v>1</v>
      </c>
      <c r="B2" s="1" t="s">
        <v>21</v>
      </c>
      <c r="C2" s="1" t="s">
        <v>22</v>
      </c>
      <c r="D2" s="1" t="s">
        <v>23</v>
      </c>
      <c r="E2" t="s">
        <v>24</v>
      </c>
      <c r="F2" t="s">
        <v>25</v>
      </c>
      <c r="G2" t="s">
        <v>26</v>
      </c>
      <c r="H2" t="s">
        <v>27</v>
      </c>
      <c r="I2" s="1" t="s">
        <v>28</v>
      </c>
      <c r="J2" t="s">
        <v>29</v>
      </c>
      <c r="K2" t="s">
        <v>29</v>
      </c>
      <c r="L2" s="1">
        <v>146765</v>
      </c>
      <c r="M2" s="1" t="s">
        <v>30</v>
      </c>
      <c r="N2" t="s">
        <v>31</v>
      </c>
      <c r="O2" t="s">
        <v>32</v>
      </c>
      <c r="P2" t="s">
        <v>33</v>
      </c>
      <c r="Q2" t="s">
        <v>34</v>
      </c>
      <c r="R2">
        <v>31035.119999999999</v>
      </c>
      <c r="S2" s="25" t="e">
        <f>IF(Table1[[#This Row],[Sales]]=MIN(Table1[Sales]), Table1[[#This Row],[Sales]], NA())</f>
        <v>#N/A</v>
      </c>
      <c r="T2" s="25">
        <f>IF(AND(Table1[[#This Row],[Sales]]&lt;&gt;MIN(Table1[Sales]),Table1[[#This Row],[Sales]]&lt;&gt;MAX(Table1[Sales])), Table1[[#This Row],[Sales]], NA())</f>
        <v>31035.119999999999</v>
      </c>
      <c r="U2" s="25" t="e">
        <f>IF(Table1[[#This Row],[Sales]]=MAX(Table1[Sales]), Table1[[#This Row],[Sales]], NA())</f>
        <v>#N/A</v>
      </c>
      <c r="V2">
        <v>1</v>
      </c>
      <c r="W2">
        <v>0.3</v>
      </c>
      <c r="X2">
        <v>155.18</v>
      </c>
      <c r="Y2" s="3">
        <f>YEAR(Table1[[#This Row],[Order Date]])</f>
        <v>2021</v>
      </c>
      <c r="Z2" s="3" t="str">
        <f>TEXT(Table1[[#This Row],[Order Date]],"MMM")</f>
        <v>May</v>
      </c>
      <c r="AA2" s="3">
        <f>DAY(Table1[[#This Row],[Order Date]])</f>
        <v>20</v>
      </c>
    </row>
    <row r="3" spans="1:27" x14ac:dyDescent="0.35">
      <c r="A3" s="1">
        <v>2</v>
      </c>
      <c r="B3" s="1" t="s">
        <v>35</v>
      </c>
      <c r="C3" s="1" t="s">
        <v>36</v>
      </c>
      <c r="D3" s="1" t="s">
        <v>37</v>
      </c>
      <c r="E3" t="s">
        <v>38</v>
      </c>
      <c r="F3" t="s">
        <v>39</v>
      </c>
      <c r="G3" t="s">
        <v>40</v>
      </c>
      <c r="H3" t="s">
        <v>41</v>
      </c>
      <c r="I3" s="1" t="s">
        <v>28</v>
      </c>
      <c r="J3" t="s">
        <v>42</v>
      </c>
      <c r="K3" t="s">
        <v>43</v>
      </c>
      <c r="L3" s="1">
        <v>489310</v>
      </c>
      <c r="M3" s="1" t="s">
        <v>44</v>
      </c>
      <c r="N3" t="s">
        <v>45</v>
      </c>
      <c r="O3" t="s">
        <v>46</v>
      </c>
      <c r="P3" t="s">
        <v>47</v>
      </c>
      <c r="Q3" t="s">
        <v>48</v>
      </c>
      <c r="R3">
        <v>16187.61</v>
      </c>
      <c r="S3" s="25" t="e">
        <f>IF(Table1[[#This Row],[Sales]]=MIN(Table1[Sales]), Table1[[#This Row],[Sales]], NA())</f>
        <v>#N/A</v>
      </c>
      <c r="T3" s="25">
        <f>IF(AND(Table1[[#This Row],[Sales]]&lt;&gt;MIN(Table1[Sales]),Table1[[#This Row],[Sales]]&lt;&gt;MAX(Table1[Sales])), Table1[[#This Row],[Sales]], NA())</f>
        <v>16187.61</v>
      </c>
      <c r="U3" s="25" t="e">
        <f>IF(Table1[[#This Row],[Sales]]=MAX(Table1[Sales]), Table1[[#This Row],[Sales]], NA())</f>
        <v>#N/A</v>
      </c>
      <c r="V3">
        <v>3</v>
      </c>
      <c r="W3">
        <v>0.3</v>
      </c>
      <c r="X3">
        <v>80.94</v>
      </c>
      <c r="Y3" s="3">
        <f>YEAR(Table1[[#This Row],[Order Date]])</f>
        <v>2021</v>
      </c>
      <c r="Z3" s="3" t="str">
        <f>TEXT(Table1[[#This Row],[Order Date]],"MMM")</f>
        <v>Dec</v>
      </c>
      <c r="AA3" s="3">
        <f>DAY(Table1[[#This Row],[Order Date]])</f>
        <v>12</v>
      </c>
    </row>
    <row r="4" spans="1:27" x14ac:dyDescent="0.35">
      <c r="A4" s="1">
        <v>3</v>
      </c>
      <c r="B4" s="1" t="s">
        <v>49</v>
      </c>
      <c r="C4" s="1" t="s">
        <v>50</v>
      </c>
      <c r="D4" s="1" t="s">
        <v>51</v>
      </c>
      <c r="E4" t="s">
        <v>38</v>
      </c>
      <c r="F4" t="s">
        <v>52</v>
      </c>
      <c r="G4" t="s">
        <v>26</v>
      </c>
      <c r="H4" t="s">
        <v>27</v>
      </c>
      <c r="I4" s="1" t="s">
        <v>28</v>
      </c>
      <c r="J4" t="s">
        <v>53</v>
      </c>
      <c r="K4" t="s">
        <v>54</v>
      </c>
      <c r="L4" s="1">
        <v>278634</v>
      </c>
      <c r="M4" s="1" t="s">
        <v>55</v>
      </c>
      <c r="N4" t="s">
        <v>56</v>
      </c>
      <c r="O4" t="s">
        <v>46</v>
      </c>
      <c r="P4" t="s">
        <v>57</v>
      </c>
      <c r="Q4" t="s">
        <v>58</v>
      </c>
      <c r="R4">
        <v>56628.32</v>
      </c>
      <c r="S4" s="25" t="e">
        <f>IF(Table1[[#This Row],[Sales]]=MIN(Table1[Sales]), Table1[[#This Row],[Sales]], NA())</f>
        <v>#N/A</v>
      </c>
      <c r="T4" s="25">
        <f>IF(AND(Table1[[#This Row],[Sales]]&lt;&gt;MIN(Table1[Sales]),Table1[[#This Row],[Sales]]&lt;&gt;MAX(Table1[Sales])), Table1[[#This Row],[Sales]], NA())</f>
        <v>56628.32</v>
      </c>
      <c r="U4" s="25" t="e">
        <f>IF(Table1[[#This Row],[Sales]]=MAX(Table1[Sales]), Table1[[#This Row],[Sales]], NA())</f>
        <v>#N/A</v>
      </c>
      <c r="V4">
        <v>4</v>
      </c>
      <c r="W4">
        <v>0.2</v>
      </c>
      <c r="X4">
        <v>1698.85</v>
      </c>
      <c r="Y4" s="3">
        <f>YEAR(Table1[[#This Row],[Order Date]])</f>
        <v>2021</v>
      </c>
      <c r="Z4" s="3" t="str">
        <f>TEXT(Table1[[#This Row],[Order Date]],"MMM")</f>
        <v>Dec</v>
      </c>
      <c r="AA4" s="3">
        <f>DAY(Table1[[#This Row],[Order Date]])</f>
        <v>22</v>
      </c>
    </row>
    <row r="5" spans="1:27" x14ac:dyDescent="0.35">
      <c r="A5" s="1">
        <v>4</v>
      </c>
      <c r="B5" s="1" t="s">
        <v>59</v>
      </c>
      <c r="C5" s="1" t="s">
        <v>60</v>
      </c>
      <c r="D5" s="1" t="s">
        <v>61</v>
      </c>
      <c r="E5" t="s">
        <v>62</v>
      </c>
      <c r="F5" t="s">
        <v>63</v>
      </c>
      <c r="G5" t="s">
        <v>40</v>
      </c>
      <c r="H5" t="s">
        <v>41</v>
      </c>
      <c r="I5" s="1" t="s">
        <v>28</v>
      </c>
      <c r="J5" t="s">
        <v>64</v>
      </c>
      <c r="K5" t="s">
        <v>65</v>
      </c>
      <c r="L5" s="1">
        <v>160603</v>
      </c>
      <c r="M5" s="1" t="s">
        <v>66</v>
      </c>
      <c r="N5" t="s">
        <v>67</v>
      </c>
      <c r="O5" t="s">
        <v>68</v>
      </c>
      <c r="P5" t="s">
        <v>69</v>
      </c>
      <c r="Q5" t="s">
        <v>70</v>
      </c>
      <c r="R5">
        <v>69645.47</v>
      </c>
      <c r="S5" s="25" t="e">
        <f>IF(Table1[[#This Row],[Sales]]=MIN(Table1[Sales]), Table1[[#This Row],[Sales]], NA())</f>
        <v>#N/A</v>
      </c>
      <c r="T5" s="25">
        <f>IF(AND(Table1[[#This Row],[Sales]]&lt;&gt;MIN(Table1[Sales]),Table1[[#This Row],[Sales]]&lt;&gt;MAX(Table1[Sales])), Table1[[#This Row],[Sales]], NA())</f>
        <v>69645.47</v>
      </c>
      <c r="U5" s="25" t="e">
        <f>IF(Table1[[#This Row],[Sales]]=MAX(Table1[Sales]), Table1[[#This Row],[Sales]], NA())</f>
        <v>#N/A</v>
      </c>
      <c r="V5">
        <v>2</v>
      </c>
      <c r="W5">
        <v>0.3</v>
      </c>
      <c r="X5">
        <v>348.23</v>
      </c>
      <c r="Y5" s="3">
        <f>YEAR(Table1[[#This Row],[Order Date]])</f>
        <v>2024</v>
      </c>
      <c r="Z5" s="3" t="str">
        <f>TEXT(Table1[[#This Row],[Order Date]],"MMM")</f>
        <v>Dec</v>
      </c>
      <c r="AA5" s="3">
        <f>DAY(Table1[[#This Row],[Order Date]])</f>
        <v>8</v>
      </c>
    </row>
    <row r="6" spans="1:27" x14ac:dyDescent="0.35">
      <c r="A6" s="1">
        <v>5</v>
      </c>
      <c r="B6" s="1" t="s">
        <v>71</v>
      </c>
      <c r="C6" s="1" t="s">
        <v>72</v>
      </c>
      <c r="D6" s="1" t="s">
        <v>73</v>
      </c>
      <c r="E6" t="s">
        <v>38</v>
      </c>
      <c r="F6" t="s">
        <v>74</v>
      </c>
      <c r="G6" t="s">
        <v>75</v>
      </c>
      <c r="H6" t="s">
        <v>27</v>
      </c>
      <c r="I6" s="1" t="s">
        <v>28</v>
      </c>
      <c r="J6" t="s">
        <v>64</v>
      </c>
      <c r="K6" t="s">
        <v>65</v>
      </c>
      <c r="L6" s="1">
        <v>685936</v>
      </c>
      <c r="M6" s="1" t="s">
        <v>66</v>
      </c>
      <c r="N6" t="s">
        <v>76</v>
      </c>
      <c r="O6" t="s">
        <v>32</v>
      </c>
      <c r="P6" t="s">
        <v>33</v>
      </c>
      <c r="Q6" t="s">
        <v>34</v>
      </c>
      <c r="R6">
        <v>21676.59</v>
      </c>
      <c r="S6" s="25" t="e">
        <f>IF(Table1[[#This Row],[Sales]]=MIN(Table1[Sales]), Table1[[#This Row],[Sales]], NA())</f>
        <v>#N/A</v>
      </c>
      <c r="T6" s="25">
        <f>IF(AND(Table1[[#This Row],[Sales]]&lt;&gt;MIN(Table1[Sales]),Table1[[#This Row],[Sales]]&lt;&gt;MAX(Table1[Sales])), Table1[[#This Row],[Sales]], NA())</f>
        <v>21676.59</v>
      </c>
      <c r="U6" s="25" t="e">
        <f>IF(Table1[[#This Row],[Sales]]=MAX(Table1[Sales]), Table1[[#This Row],[Sales]], NA())</f>
        <v>#N/A</v>
      </c>
      <c r="V6">
        <v>9</v>
      </c>
      <c r="W6">
        <v>0.1</v>
      </c>
      <c r="X6">
        <v>1192.21</v>
      </c>
      <c r="Y6" s="3">
        <f>YEAR(Table1[[#This Row],[Order Date]])</f>
        <v>2021</v>
      </c>
      <c r="Z6" s="3" t="str">
        <f>TEXT(Table1[[#This Row],[Order Date]],"MMM")</f>
        <v>Aug</v>
      </c>
      <c r="AA6" s="3">
        <f>DAY(Table1[[#This Row],[Order Date]])</f>
        <v>31</v>
      </c>
    </row>
    <row r="7" spans="1:27" x14ac:dyDescent="0.35">
      <c r="A7" s="1">
        <v>6</v>
      </c>
      <c r="B7" s="1" t="s">
        <v>77</v>
      </c>
      <c r="C7" s="1" t="s">
        <v>78</v>
      </c>
      <c r="D7" s="1" t="s">
        <v>79</v>
      </c>
      <c r="E7" t="s">
        <v>38</v>
      </c>
      <c r="F7" t="s">
        <v>80</v>
      </c>
      <c r="G7" t="s">
        <v>81</v>
      </c>
      <c r="H7" t="s">
        <v>27</v>
      </c>
      <c r="I7" s="1" t="s">
        <v>28</v>
      </c>
      <c r="J7" t="s">
        <v>29</v>
      </c>
      <c r="K7" t="s">
        <v>29</v>
      </c>
      <c r="L7" s="1">
        <v>642489</v>
      </c>
      <c r="M7" s="1" t="s">
        <v>30</v>
      </c>
      <c r="N7" t="s">
        <v>82</v>
      </c>
      <c r="O7" t="s">
        <v>68</v>
      </c>
      <c r="P7" t="s">
        <v>69</v>
      </c>
      <c r="Q7" t="s">
        <v>70</v>
      </c>
      <c r="R7">
        <v>12903.19</v>
      </c>
      <c r="S7" s="25" t="e">
        <f>IF(Table1[[#This Row],[Sales]]=MIN(Table1[Sales]), Table1[[#This Row],[Sales]], NA())</f>
        <v>#N/A</v>
      </c>
      <c r="T7" s="25">
        <f>IF(AND(Table1[[#This Row],[Sales]]&lt;&gt;MIN(Table1[Sales]),Table1[[#This Row],[Sales]]&lt;&gt;MAX(Table1[Sales])), Table1[[#This Row],[Sales]], NA())</f>
        <v>12903.19</v>
      </c>
      <c r="U7" s="25" t="e">
        <f>IF(Table1[[#This Row],[Sales]]=MAX(Table1[Sales]), Table1[[#This Row],[Sales]], NA())</f>
        <v>#N/A</v>
      </c>
      <c r="V7">
        <v>5</v>
      </c>
      <c r="W7">
        <v>0.2</v>
      </c>
      <c r="X7">
        <v>387.1</v>
      </c>
      <c r="Y7" s="3">
        <f>YEAR(Table1[[#This Row],[Order Date]])</f>
        <v>2022</v>
      </c>
      <c r="Z7" s="3" t="str">
        <f>TEXT(Table1[[#This Row],[Order Date]],"MMM")</f>
        <v>Jun</v>
      </c>
      <c r="AA7" s="3">
        <f>DAY(Table1[[#This Row],[Order Date]])</f>
        <v>10</v>
      </c>
    </row>
    <row r="8" spans="1:27" x14ac:dyDescent="0.35">
      <c r="A8" s="1">
        <v>7</v>
      </c>
      <c r="B8" s="1" t="s">
        <v>83</v>
      </c>
      <c r="C8" s="1" t="s">
        <v>84</v>
      </c>
      <c r="D8" s="1" t="s">
        <v>85</v>
      </c>
      <c r="E8" t="s">
        <v>24</v>
      </c>
      <c r="F8" t="s">
        <v>86</v>
      </c>
      <c r="G8" t="s">
        <v>87</v>
      </c>
      <c r="H8" t="s">
        <v>41</v>
      </c>
      <c r="I8" s="1" t="s">
        <v>28</v>
      </c>
      <c r="J8" t="s">
        <v>53</v>
      </c>
      <c r="K8" t="s">
        <v>54</v>
      </c>
      <c r="L8" s="1">
        <v>264166</v>
      </c>
      <c r="M8" s="1" t="s">
        <v>55</v>
      </c>
      <c r="N8" t="s">
        <v>88</v>
      </c>
      <c r="O8" t="s">
        <v>32</v>
      </c>
      <c r="P8" t="s">
        <v>33</v>
      </c>
      <c r="Q8" t="s">
        <v>34</v>
      </c>
      <c r="R8">
        <v>16365.92</v>
      </c>
      <c r="S8" s="25" t="e">
        <f>IF(Table1[[#This Row],[Sales]]=MIN(Table1[Sales]), Table1[[#This Row],[Sales]], NA())</f>
        <v>#N/A</v>
      </c>
      <c r="T8" s="25">
        <f>IF(AND(Table1[[#This Row],[Sales]]&lt;&gt;MIN(Table1[Sales]),Table1[[#This Row],[Sales]]&lt;&gt;MAX(Table1[Sales])), Table1[[#This Row],[Sales]], NA())</f>
        <v>16365.92</v>
      </c>
      <c r="U8" s="25" t="e">
        <f>IF(Table1[[#This Row],[Sales]]=MAX(Table1[Sales]), Table1[[#This Row],[Sales]], NA())</f>
        <v>#N/A</v>
      </c>
      <c r="V8">
        <v>7</v>
      </c>
      <c r="W8">
        <v>0</v>
      </c>
      <c r="X8">
        <v>1309.27</v>
      </c>
      <c r="Y8" s="3">
        <f>YEAR(Table1[[#This Row],[Order Date]])</f>
        <v>2021</v>
      </c>
      <c r="Z8" s="3" t="str">
        <f>TEXT(Table1[[#This Row],[Order Date]],"MMM")</f>
        <v>Apr</v>
      </c>
      <c r="AA8" s="3">
        <f>DAY(Table1[[#This Row],[Order Date]])</f>
        <v>14</v>
      </c>
    </row>
    <row r="9" spans="1:27" x14ac:dyDescent="0.35">
      <c r="A9" s="1">
        <v>8</v>
      </c>
      <c r="B9" s="1" t="s">
        <v>89</v>
      </c>
      <c r="C9" s="1" t="s">
        <v>90</v>
      </c>
      <c r="D9" s="1" t="s">
        <v>91</v>
      </c>
      <c r="E9" t="s">
        <v>38</v>
      </c>
      <c r="F9" t="s">
        <v>92</v>
      </c>
      <c r="G9" t="s">
        <v>93</v>
      </c>
      <c r="H9" t="s">
        <v>94</v>
      </c>
      <c r="I9" s="1" t="s">
        <v>28</v>
      </c>
      <c r="J9" t="s">
        <v>64</v>
      </c>
      <c r="K9" t="s">
        <v>65</v>
      </c>
      <c r="L9" s="1">
        <v>410838</v>
      </c>
      <c r="M9" s="1" t="s">
        <v>66</v>
      </c>
      <c r="N9" t="s">
        <v>95</v>
      </c>
      <c r="O9" t="s">
        <v>46</v>
      </c>
      <c r="P9" t="s">
        <v>47</v>
      </c>
      <c r="Q9" t="s">
        <v>48</v>
      </c>
      <c r="R9">
        <v>23916.19</v>
      </c>
      <c r="S9" s="25" t="e">
        <f>IF(Table1[[#This Row],[Sales]]=MIN(Table1[Sales]), Table1[[#This Row],[Sales]], NA())</f>
        <v>#N/A</v>
      </c>
      <c r="T9" s="25">
        <f>IF(AND(Table1[[#This Row],[Sales]]&lt;&gt;MIN(Table1[Sales]),Table1[[#This Row],[Sales]]&lt;&gt;MAX(Table1[Sales])), Table1[[#This Row],[Sales]], NA())</f>
        <v>23916.19</v>
      </c>
      <c r="U9" s="25" t="e">
        <f>IF(Table1[[#This Row],[Sales]]=MAX(Table1[Sales]), Table1[[#This Row],[Sales]], NA())</f>
        <v>#N/A</v>
      </c>
      <c r="V9">
        <v>5</v>
      </c>
      <c r="W9">
        <v>0.1</v>
      </c>
      <c r="X9">
        <v>1315.39</v>
      </c>
      <c r="Y9" s="3">
        <f>YEAR(Table1[[#This Row],[Order Date]])</f>
        <v>2023</v>
      </c>
      <c r="Z9" s="3" t="str">
        <f>TEXT(Table1[[#This Row],[Order Date]],"MMM")</f>
        <v>Aug</v>
      </c>
      <c r="AA9" s="3">
        <f>DAY(Table1[[#This Row],[Order Date]])</f>
        <v>27</v>
      </c>
    </row>
    <row r="10" spans="1:27" x14ac:dyDescent="0.35">
      <c r="A10" s="1">
        <v>9</v>
      </c>
      <c r="B10" s="1" t="s">
        <v>96</v>
      </c>
      <c r="C10" s="1" t="s">
        <v>97</v>
      </c>
      <c r="D10" s="1" t="s">
        <v>98</v>
      </c>
      <c r="E10" t="s">
        <v>62</v>
      </c>
      <c r="F10" t="s">
        <v>99</v>
      </c>
      <c r="G10" t="s">
        <v>26</v>
      </c>
      <c r="H10" t="s">
        <v>27</v>
      </c>
      <c r="I10" s="1" t="s">
        <v>28</v>
      </c>
      <c r="J10" t="s">
        <v>64</v>
      </c>
      <c r="K10" t="s">
        <v>65</v>
      </c>
      <c r="L10" s="1">
        <v>419202</v>
      </c>
      <c r="M10" s="1" t="s">
        <v>66</v>
      </c>
      <c r="N10" t="s">
        <v>100</v>
      </c>
      <c r="O10" t="s">
        <v>68</v>
      </c>
      <c r="P10" t="s">
        <v>69</v>
      </c>
      <c r="Q10" t="s">
        <v>70</v>
      </c>
      <c r="R10">
        <v>14860.88</v>
      </c>
      <c r="S10" s="25" t="e">
        <f>IF(Table1[[#This Row],[Sales]]=MIN(Table1[Sales]), Table1[[#This Row],[Sales]], NA())</f>
        <v>#N/A</v>
      </c>
      <c r="T10" s="25">
        <f>IF(AND(Table1[[#This Row],[Sales]]&lt;&gt;MIN(Table1[Sales]),Table1[[#This Row],[Sales]]&lt;&gt;MAX(Table1[Sales])), Table1[[#This Row],[Sales]], NA())</f>
        <v>14860.88</v>
      </c>
      <c r="U10" s="25" t="e">
        <f>IF(Table1[[#This Row],[Sales]]=MAX(Table1[Sales]), Table1[[#This Row],[Sales]], NA())</f>
        <v>#N/A</v>
      </c>
      <c r="V10">
        <v>8</v>
      </c>
      <c r="W10">
        <v>0</v>
      </c>
      <c r="X10">
        <v>1188.8699999999999</v>
      </c>
      <c r="Y10" s="3">
        <f>YEAR(Table1[[#This Row],[Order Date]])</f>
        <v>2024</v>
      </c>
      <c r="Z10" s="3" t="str">
        <f>TEXT(Table1[[#This Row],[Order Date]],"MMM")</f>
        <v>Mar</v>
      </c>
      <c r="AA10" s="3">
        <f>DAY(Table1[[#This Row],[Order Date]])</f>
        <v>7</v>
      </c>
    </row>
    <row r="11" spans="1:27" x14ac:dyDescent="0.35">
      <c r="A11" s="1">
        <v>10</v>
      </c>
      <c r="B11" s="1" t="s">
        <v>101</v>
      </c>
      <c r="C11" s="1" t="s">
        <v>102</v>
      </c>
      <c r="D11" s="1" t="s">
        <v>103</v>
      </c>
      <c r="E11" t="s">
        <v>62</v>
      </c>
      <c r="F11" t="s">
        <v>104</v>
      </c>
      <c r="G11" t="s">
        <v>93</v>
      </c>
      <c r="H11" t="s">
        <v>94</v>
      </c>
      <c r="I11" s="1" t="s">
        <v>28</v>
      </c>
      <c r="J11" t="s">
        <v>53</v>
      </c>
      <c r="K11" t="s">
        <v>54</v>
      </c>
      <c r="L11" s="1">
        <v>341472</v>
      </c>
      <c r="M11" s="1" t="s">
        <v>55</v>
      </c>
      <c r="N11" t="s">
        <v>105</v>
      </c>
      <c r="O11" t="s">
        <v>32</v>
      </c>
      <c r="P11" t="s">
        <v>33</v>
      </c>
      <c r="Q11" t="s">
        <v>34</v>
      </c>
      <c r="R11">
        <v>55593.79</v>
      </c>
      <c r="S11" s="25" t="e">
        <f>IF(Table1[[#This Row],[Sales]]=MIN(Table1[Sales]), Table1[[#This Row],[Sales]], NA())</f>
        <v>#N/A</v>
      </c>
      <c r="T11" s="25">
        <f>IF(AND(Table1[[#This Row],[Sales]]&lt;&gt;MIN(Table1[Sales]),Table1[[#This Row],[Sales]]&lt;&gt;MAX(Table1[Sales])), Table1[[#This Row],[Sales]], NA())</f>
        <v>55593.79</v>
      </c>
      <c r="U11" s="25" t="e">
        <f>IF(Table1[[#This Row],[Sales]]=MAX(Table1[Sales]), Table1[[#This Row],[Sales]], NA())</f>
        <v>#N/A</v>
      </c>
      <c r="V11">
        <v>3</v>
      </c>
      <c r="W11">
        <v>0.2</v>
      </c>
      <c r="X11">
        <v>1667.81</v>
      </c>
      <c r="Y11" s="3">
        <f>YEAR(Table1[[#This Row],[Order Date]])</f>
        <v>2023</v>
      </c>
      <c r="Z11" s="3" t="str">
        <f>TEXT(Table1[[#This Row],[Order Date]],"MMM")</f>
        <v>Jul</v>
      </c>
      <c r="AA11" s="3">
        <f>DAY(Table1[[#This Row],[Order Date]])</f>
        <v>3</v>
      </c>
    </row>
    <row r="12" spans="1:27" x14ac:dyDescent="0.35">
      <c r="A12" s="1">
        <v>11</v>
      </c>
      <c r="B12" s="1" t="s">
        <v>106</v>
      </c>
      <c r="C12" s="1" t="s">
        <v>107</v>
      </c>
      <c r="D12" s="1" t="s">
        <v>108</v>
      </c>
      <c r="E12" t="s">
        <v>24</v>
      </c>
      <c r="F12" t="s">
        <v>109</v>
      </c>
      <c r="G12" t="s">
        <v>110</v>
      </c>
      <c r="H12" t="s">
        <v>41</v>
      </c>
      <c r="I12" s="1" t="s">
        <v>28</v>
      </c>
      <c r="J12" t="s">
        <v>29</v>
      </c>
      <c r="K12" t="s">
        <v>29</v>
      </c>
      <c r="L12" s="1">
        <v>854290</v>
      </c>
      <c r="M12" s="1" t="s">
        <v>30</v>
      </c>
      <c r="N12" t="s">
        <v>111</v>
      </c>
      <c r="O12" t="s">
        <v>46</v>
      </c>
      <c r="P12" t="s">
        <v>47</v>
      </c>
      <c r="Q12" t="s">
        <v>48</v>
      </c>
      <c r="R12">
        <v>59464.71</v>
      </c>
      <c r="S12" s="25" t="e">
        <f>IF(Table1[[#This Row],[Sales]]=MIN(Table1[Sales]), Table1[[#This Row],[Sales]], NA())</f>
        <v>#N/A</v>
      </c>
      <c r="T12" s="25">
        <f>IF(AND(Table1[[#This Row],[Sales]]&lt;&gt;MIN(Table1[Sales]),Table1[[#This Row],[Sales]]&lt;&gt;MAX(Table1[Sales])), Table1[[#This Row],[Sales]], NA())</f>
        <v>59464.71</v>
      </c>
      <c r="U12" s="25" t="e">
        <f>IF(Table1[[#This Row],[Sales]]=MAX(Table1[Sales]), Table1[[#This Row],[Sales]], NA())</f>
        <v>#N/A</v>
      </c>
      <c r="V12">
        <v>1</v>
      </c>
      <c r="W12">
        <v>0.2</v>
      </c>
      <c r="X12">
        <v>1783.94</v>
      </c>
      <c r="Y12" s="3">
        <f>YEAR(Table1[[#This Row],[Order Date]])</f>
        <v>2024</v>
      </c>
      <c r="Z12" s="3" t="str">
        <f>TEXT(Table1[[#This Row],[Order Date]],"MMM")</f>
        <v>Apr</v>
      </c>
      <c r="AA12" s="3">
        <f>DAY(Table1[[#This Row],[Order Date]])</f>
        <v>2</v>
      </c>
    </row>
    <row r="13" spans="1:27" x14ac:dyDescent="0.35">
      <c r="A13" s="1">
        <v>12</v>
      </c>
      <c r="B13" s="1" t="s">
        <v>112</v>
      </c>
      <c r="C13" s="1" t="s">
        <v>113</v>
      </c>
      <c r="D13" s="1" t="s">
        <v>114</v>
      </c>
      <c r="E13" t="s">
        <v>115</v>
      </c>
      <c r="F13" t="s">
        <v>116</v>
      </c>
      <c r="G13" t="s">
        <v>110</v>
      </c>
      <c r="H13" t="s">
        <v>94</v>
      </c>
      <c r="I13" s="1" t="s">
        <v>28</v>
      </c>
      <c r="J13" t="s">
        <v>53</v>
      </c>
      <c r="K13" t="s">
        <v>54</v>
      </c>
      <c r="L13" s="1">
        <v>952748</v>
      </c>
      <c r="M13" s="1" t="s">
        <v>55</v>
      </c>
      <c r="N13" t="s">
        <v>117</v>
      </c>
      <c r="O13" t="s">
        <v>46</v>
      </c>
      <c r="P13" t="s">
        <v>47</v>
      </c>
      <c r="Q13" t="s">
        <v>48</v>
      </c>
      <c r="R13">
        <v>4162.0200000000004</v>
      </c>
      <c r="S13" s="25" t="e">
        <f>IF(Table1[[#This Row],[Sales]]=MIN(Table1[Sales]), Table1[[#This Row],[Sales]], NA())</f>
        <v>#N/A</v>
      </c>
      <c r="T13" s="25">
        <f>IF(AND(Table1[[#This Row],[Sales]]&lt;&gt;MIN(Table1[Sales]),Table1[[#This Row],[Sales]]&lt;&gt;MAX(Table1[Sales])), Table1[[#This Row],[Sales]], NA())</f>
        <v>4162.0200000000004</v>
      </c>
      <c r="U13" s="25" t="e">
        <f>IF(Table1[[#This Row],[Sales]]=MAX(Table1[Sales]), Table1[[#This Row],[Sales]], NA())</f>
        <v>#N/A</v>
      </c>
      <c r="V13">
        <v>6</v>
      </c>
      <c r="W13">
        <v>0.1</v>
      </c>
      <c r="X13">
        <v>228.91</v>
      </c>
      <c r="Y13" s="3">
        <f>YEAR(Table1[[#This Row],[Order Date]])</f>
        <v>2021</v>
      </c>
      <c r="Z13" s="3" t="str">
        <f>TEXT(Table1[[#This Row],[Order Date]],"MMM")</f>
        <v>Oct</v>
      </c>
      <c r="AA13" s="3">
        <f>DAY(Table1[[#This Row],[Order Date]])</f>
        <v>1</v>
      </c>
    </row>
    <row r="14" spans="1:27" x14ac:dyDescent="0.35">
      <c r="A14" s="1">
        <v>13</v>
      </c>
      <c r="B14" s="1" t="s">
        <v>118</v>
      </c>
      <c r="C14" s="1" t="s">
        <v>119</v>
      </c>
      <c r="D14" s="1" t="s">
        <v>120</v>
      </c>
      <c r="E14" t="s">
        <v>38</v>
      </c>
      <c r="F14" t="s">
        <v>121</v>
      </c>
      <c r="G14" t="s">
        <v>122</v>
      </c>
      <c r="H14" t="s">
        <v>94</v>
      </c>
      <c r="I14" s="1" t="s">
        <v>28</v>
      </c>
      <c r="J14" t="s">
        <v>53</v>
      </c>
      <c r="K14" t="s">
        <v>54</v>
      </c>
      <c r="L14" s="1">
        <v>613946</v>
      </c>
      <c r="M14" s="1" t="s">
        <v>55</v>
      </c>
      <c r="N14" t="s">
        <v>123</v>
      </c>
      <c r="O14" t="s">
        <v>46</v>
      </c>
      <c r="P14" t="s">
        <v>57</v>
      </c>
      <c r="Q14" t="s">
        <v>58</v>
      </c>
      <c r="R14">
        <v>85451.95</v>
      </c>
      <c r="S14" s="25" t="e">
        <f>IF(Table1[[#This Row],[Sales]]=MIN(Table1[Sales]), Table1[[#This Row],[Sales]], NA())</f>
        <v>#N/A</v>
      </c>
      <c r="T14" s="25">
        <f>IF(AND(Table1[[#This Row],[Sales]]&lt;&gt;MIN(Table1[Sales]),Table1[[#This Row],[Sales]]&lt;&gt;MAX(Table1[Sales])), Table1[[#This Row],[Sales]], NA())</f>
        <v>85451.95</v>
      </c>
      <c r="U14" s="25" t="e">
        <f>IF(Table1[[#This Row],[Sales]]=MAX(Table1[Sales]), Table1[[#This Row],[Sales]], NA())</f>
        <v>#N/A</v>
      </c>
      <c r="V14">
        <v>1</v>
      </c>
      <c r="W14">
        <v>0</v>
      </c>
      <c r="X14">
        <v>6836.16</v>
      </c>
      <c r="Y14" s="3">
        <f>YEAR(Table1[[#This Row],[Order Date]])</f>
        <v>2021</v>
      </c>
      <c r="Z14" s="3" t="str">
        <f>TEXT(Table1[[#This Row],[Order Date]],"MMM")</f>
        <v>Oct</v>
      </c>
      <c r="AA14" s="3">
        <f>DAY(Table1[[#This Row],[Order Date]])</f>
        <v>18</v>
      </c>
    </row>
    <row r="15" spans="1:27" x14ac:dyDescent="0.35">
      <c r="A15" s="1">
        <v>14</v>
      </c>
      <c r="B15" s="1" t="s">
        <v>124</v>
      </c>
      <c r="C15" s="1" t="s">
        <v>125</v>
      </c>
      <c r="D15" s="1" t="s">
        <v>126</v>
      </c>
      <c r="E15" t="s">
        <v>24</v>
      </c>
      <c r="F15" t="s">
        <v>127</v>
      </c>
      <c r="G15" t="s">
        <v>26</v>
      </c>
      <c r="H15" t="s">
        <v>94</v>
      </c>
      <c r="I15" s="1" t="s">
        <v>28</v>
      </c>
      <c r="J15" t="s">
        <v>128</v>
      </c>
      <c r="K15" t="s">
        <v>129</v>
      </c>
      <c r="L15" s="1">
        <v>526156</v>
      </c>
      <c r="M15" s="1" t="s">
        <v>66</v>
      </c>
      <c r="N15" t="s">
        <v>130</v>
      </c>
      <c r="O15" t="s">
        <v>46</v>
      </c>
      <c r="P15" t="s">
        <v>47</v>
      </c>
      <c r="Q15" t="s">
        <v>48</v>
      </c>
      <c r="R15">
        <v>66705.27</v>
      </c>
      <c r="S15" s="25" t="e">
        <f>IF(Table1[[#This Row],[Sales]]=MIN(Table1[Sales]), Table1[[#This Row],[Sales]], NA())</f>
        <v>#N/A</v>
      </c>
      <c r="T15" s="25">
        <f>IF(AND(Table1[[#This Row],[Sales]]&lt;&gt;MIN(Table1[Sales]),Table1[[#This Row],[Sales]]&lt;&gt;MAX(Table1[Sales])), Table1[[#This Row],[Sales]], NA())</f>
        <v>66705.27</v>
      </c>
      <c r="U15" s="25" t="e">
        <f>IF(Table1[[#This Row],[Sales]]=MAX(Table1[Sales]), Table1[[#This Row],[Sales]], NA())</f>
        <v>#N/A</v>
      </c>
      <c r="V15">
        <v>8</v>
      </c>
      <c r="W15">
        <v>0</v>
      </c>
      <c r="X15">
        <v>5336.42</v>
      </c>
      <c r="Y15" s="3">
        <f>YEAR(Table1[[#This Row],[Order Date]])</f>
        <v>2021</v>
      </c>
      <c r="Z15" s="3" t="str">
        <f>TEXT(Table1[[#This Row],[Order Date]],"MMM")</f>
        <v>May</v>
      </c>
      <c r="AA15" s="3">
        <f>DAY(Table1[[#This Row],[Order Date]])</f>
        <v>31</v>
      </c>
    </row>
    <row r="16" spans="1:27" x14ac:dyDescent="0.35">
      <c r="A16" s="1">
        <v>15</v>
      </c>
      <c r="B16" s="1" t="s">
        <v>131</v>
      </c>
      <c r="C16" s="1" t="s">
        <v>132</v>
      </c>
      <c r="D16" s="1" t="s">
        <v>133</v>
      </c>
      <c r="E16" t="s">
        <v>115</v>
      </c>
      <c r="F16" t="s">
        <v>134</v>
      </c>
      <c r="G16" t="s">
        <v>40</v>
      </c>
      <c r="H16" t="s">
        <v>41</v>
      </c>
      <c r="I16" s="1" t="s">
        <v>28</v>
      </c>
      <c r="J16" t="s">
        <v>42</v>
      </c>
      <c r="K16" t="s">
        <v>43</v>
      </c>
      <c r="L16" s="1">
        <v>327215</v>
      </c>
      <c r="M16" s="1" t="s">
        <v>44</v>
      </c>
      <c r="N16" t="s">
        <v>135</v>
      </c>
      <c r="O16" t="s">
        <v>68</v>
      </c>
      <c r="P16" t="s">
        <v>69</v>
      </c>
      <c r="Q16" t="s">
        <v>70</v>
      </c>
      <c r="R16">
        <v>44943.73</v>
      </c>
      <c r="S16" s="25" t="e">
        <f>IF(Table1[[#This Row],[Sales]]=MIN(Table1[Sales]), Table1[[#This Row],[Sales]], NA())</f>
        <v>#N/A</v>
      </c>
      <c r="T16" s="25">
        <f>IF(AND(Table1[[#This Row],[Sales]]&lt;&gt;MIN(Table1[Sales]),Table1[[#This Row],[Sales]]&lt;&gt;MAX(Table1[Sales])), Table1[[#This Row],[Sales]], NA())</f>
        <v>44943.73</v>
      </c>
      <c r="U16" s="25" t="e">
        <f>IF(Table1[[#This Row],[Sales]]=MAX(Table1[Sales]), Table1[[#This Row],[Sales]], NA())</f>
        <v>#N/A</v>
      </c>
      <c r="V16">
        <v>7</v>
      </c>
      <c r="W16">
        <v>0</v>
      </c>
      <c r="X16">
        <v>3595.5</v>
      </c>
      <c r="Y16" s="3">
        <f>YEAR(Table1[[#This Row],[Order Date]])</f>
        <v>2025</v>
      </c>
      <c r="Z16" s="3" t="str">
        <f>TEXT(Table1[[#This Row],[Order Date]],"MMM")</f>
        <v>Jun</v>
      </c>
      <c r="AA16" s="3">
        <f>DAY(Table1[[#This Row],[Order Date]])</f>
        <v>7</v>
      </c>
    </row>
    <row r="17" spans="1:27" x14ac:dyDescent="0.35">
      <c r="A17" s="1">
        <v>16</v>
      </c>
      <c r="B17" s="1" t="s">
        <v>136</v>
      </c>
      <c r="C17" s="1" t="s">
        <v>137</v>
      </c>
      <c r="D17" s="1" t="s">
        <v>138</v>
      </c>
      <c r="E17" t="s">
        <v>24</v>
      </c>
      <c r="F17" t="s">
        <v>139</v>
      </c>
      <c r="G17" t="s">
        <v>140</v>
      </c>
      <c r="H17" t="s">
        <v>27</v>
      </c>
      <c r="I17" s="1" t="s">
        <v>28</v>
      </c>
      <c r="J17" t="s">
        <v>29</v>
      </c>
      <c r="K17" t="s">
        <v>29</v>
      </c>
      <c r="L17" s="1">
        <v>723483</v>
      </c>
      <c r="M17" s="1" t="s">
        <v>30</v>
      </c>
      <c r="N17" t="s">
        <v>141</v>
      </c>
      <c r="O17" t="s">
        <v>46</v>
      </c>
      <c r="P17" t="s">
        <v>57</v>
      </c>
      <c r="Q17" t="s">
        <v>58</v>
      </c>
      <c r="R17">
        <v>37072.75</v>
      </c>
      <c r="S17" s="25" t="e">
        <f>IF(Table1[[#This Row],[Sales]]=MIN(Table1[Sales]), Table1[[#This Row],[Sales]], NA())</f>
        <v>#N/A</v>
      </c>
      <c r="T17" s="25">
        <f>IF(AND(Table1[[#This Row],[Sales]]&lt;&gt;MIN(Table1[Sales]),Table1[[#This Row],[Sales]]&lt;&gt;MAX(Table1[Sales])), Table1[[#This Row],[Sales]], NA())</f>
        <v>37072.75</v>
      </c>
      <c r="U17" s="25" t="e">
        <f>IF(Table1[[#This Row],[Sales]]=MAX(Table1[Sales]), Table1[[#This Row],[Sales]], NA())</f>
        <v>#N/A</v>
      </c>
      <c r="V17">
        <v>4</v>
      </c>
      <c r="W17">
        <v>0.2</v>
      </c>
      <c r="X17">
        <v>1112.18</v>
      </c>
      <c r="Y17" s="3">
        <f>YEAR(Table1[[#This Row],[Order Date]])</f>
        <v>2024</v>
      </c>
      <c r="Z17" s="3" t="str">
        <f>TEXT(Table1[[#This Row],[Order Date]],"MMM")</f>
        <v>Jan</v>
      </c>
      <c r="AA17" s="3">
        <f>DAY(Table1[[#This Row],[Order Date]])</f>
        <v>28</v>
      </c>
    </row>
    <row r="18" spans="1:27" x14ac:dyDescent="0.35">
      <c r="A18" s="1">
        <v>17</v>
      </c>
      <c r="B18" s="1" t="s">
        <v>142</v>
      </c>
      <c r="C18" s="1" t="s">
        <v>143</v>
      </c>
      <c r="D18" s="1" t="s">
        <v>144</v>
      </c>
      <c r="E18" t="s">
        <v>115</v>
      </c>
      <c r="F18" t="s">
        <v>145</v>
      </c>
      <c r="G18" t="s">
        <v>122</v>
      </c>
      <c r="H18" t="s">
        <v>94</v>
      </c>
      <c r="I18" s="1" t="s">
        <v>28</v>
      </c>
      <c r="J18" t="s">
        <v>29</v>
      </c>
      <c r="K18" t="s">
        <v>29</v>
      </c>
      <c r="L18" s="1">
        <v>191281</v>
      </c>
      <c r="M18" s="1" t="s">
        <v>30</v>
      </c>
      <c r="N18" t="s">
        <v>146</v>
      </c>
      <c r="O18" t="s">
        <v>68</v>
      </c>
      <c r="P18" t="s">
        <v>69</v>
      </c>
      <c r="Q18" t="s">
        <v>70</v>
      </c>
      <c r="R18">
        <v>78226.39</v>
      </c>
      <c r="S18" s="25" t="e">
        <f>IF(Table1[[#This Row],[Sales]]=MIN(Table1[Sales]), Table1[[#This Row],[Sales]], NA())</f>
        <v>#N/A</v>
      </c>
      <c r="T18" s="25">
        <f>IF(AND(Table1[[#This Row],[Sales]]&lt;&gt;MIN(Table1[Sales]),Table1[[#This Row],[Sales]]&lt;&gt;MAX(Table1[Sales])), Table1[[#This Row],[Sales]], NA())</f>
        <v>78226.39</v>
      </c>
      <c r="U18" s="25" t="e">
        <f>IF(Table1[[#This Row],[Sales]]=MAX(Table1[Sales]), Table1[[#This Row],[Sales]], NA())</f>
        <v>#N/A</v>
      </c>
      <c r="V18">
        <v>4</v>
      </c>
      <c r="W18">
        <v>0.3</v>
      </c>
      <c r="X18">
        <v>391.13</v>
      </c>
      <c r="Y18" s="3">
        <f>YEAR(Table1[[#This Row],[Order Date]])</f>
        <v>2025</v>
      </c>
      <c r="Z18" s="3" t="str">
        <f>TEXT(Table1[[#This Row],[Order Date]],"MMM")</f>
        <v>Oct</v>
      </c>
      <c r="AA18" s="3">
        <f>DAY(Table1[[#This Row],[Order Date]])</f>
        <v>24</v>
      </c>
    </row>
    <row r="19" spans="1:27" x14ac:dyDescent="0.35">
      <c r="A19" s="1">
        <v>18</v>
      </c>
      <c r="B19" s="1" t="s">
        <v>147</v>
      </c>
      <c r="C19" s="1" t="s">
        <v>148</v>
      </c>
      <c r="D19" s="1" t="s">
        <v>149</v>
      </c>
      <c r="E19" t="s">
        <v>115</v>
      </c>
      <c r="F19" t="s">
        <v>150</v>
      </c>
      <c r="G19" t="s">
        <v>110</v>
      </c>
      <c r="H19" t="s">
        <v>27</v>
      </c>
      <c r="I19" s="1" t="s">
        <v>28</v>
      </c>
      <c r="J19" t="s">
        <v>53</v>
      </c>
      <c r="K19" t="s">
        <v>54</v>
      </c>
      <c r="L19" s="1">
        <v>784130</v>
      </c>
      <c r="M19" s="1" t="s">
        <v>55</v>
      </c>
      <c r="N19" t="s">
        <v>151</v>
      </c>
      <c r="O19" t="s">
        <v>68</v>
      </c>
      <c r="P19" t="s">
        <v>69</v>
      </c>
      <c r="Q19" t="s">
        <v>70</v>
      </c>
      <c r="R19">
        <v>71137.649999999994</v>
      </c>
      <c r="S19" s="25" t="e">
        <f>IF(Table1[[#This Row],[Sales]]=MIN(Table1[Sales]), Table1[[#This Row],[Sales]], NA())</f>
        <v>#N/A</v>
      </c>
      <c r="T19" s="25">
        <f>IF(AND(Table1[[#This Row],[Sales]]&lt;&gt;MIN(Table1[Sales]),Table1[[#This Row],[Sales]]&lt;&gt;MAX(Table1[Sales])), Table1[[#This Row],[Sales]], NA())</f>
        <v>71137.649999999994</v>
      </c>
      <c r="U19" s="25" t="e">
        <f>IF(Table1[[#This Row],[Sales]]=MAX(Table1[Sales]), Table1[[#This Row],[Sales]], NA())</f>
        <v>#N/A</v>
      </c>
      <c r="V19">
        <v>4</v>
      </c>
      <c r="W19">
        <v>0.1</v>
      </c>
      <c r="X19">
        <v>3912.57</v>
      </c>
      <c r="Y19" s="3">
        <f>YEAR(Table1[[#This Row],[Order Date]])</f>
        <v>2025</v>
      </c>
      <c r="Z19" s="3" t="str">
        <f>TEXT(Table1[[#This Row],[Order Date]],"MMM")</f>
        <v>Nov</v>
      </c>
      <c r="AA19" s="3">
        <f>DAY(Table1[[#This Row],[Order Date]])</f>
        <v>14</v>
      </c>
    </row>
    <row r="20" spans="1:27" x14ac:dyDescent="0.35">
      <c r="A20" s="1">
        <v>19</v>
      </c>
      <c r="B20" s="1" t="s">
        <v>152</v>
      </c>
      <c r="C20" s="1" t="s">
        <v>50</v>
      </c>
      <c r="D20" s="1" t="s">
        <v>153</v>
      </c>
      <c r="E20" t="s">
        <v>115</v>
      </c>
      <c r="F20" t="s">
        <v>154</v>
      </c>
      <c r="G20" t="s">
        <v>122</v>
      </c>
      <c r="H20" t="s">
        <v>27</v>
      </c>
      <c r="I20" s="1" t="s">
        <v>28</v>
      </c>
      <c r="J20" t="s">
        <v>53</v>
      </c>
      <c r="K20" t="s">
        <v>54</v>
      </c>
      <c r="L20" s="1">
        <v>742393</v>
      </c>
      <c r="M20" s="1" t="s">
        <v>55</v>
      </c>
      <c r="N20" t="s">
        <v>155</v>
      </c>
      <c r="O20" t="s">
        <v>32</v>
      </c>
      <c r="P20" t="s">
        <v>33</v>
      </c>
      <c r="Q20" t="s">
        <v>34</v>
      </c>
      <c r="R20">
        <v>4097.01</v>
      </c>
      <c r="S20" s="25" t="e">
        <f>IF(Table1[[#This Row],[Sales]]=MIN(Table1[Sales]), Table1[[#This Row],[Sales]], NA())</f>
        <v>#N/A</v>
      </c>
      <c r="T20" s="25">
        <f>IF(AND(Table1[[#This Row],[Sales]]&lt;&gt;MIN(Table1[Sales]),Table1[[#This Row],[Sales]]&lt;&gt;MAX(Table1[Sales])), Table1[[#This Row],[Sales]], NA())</f>
        <v>4097.01</v>
      </c>
      <c r="U20" s="25" t="e">
        <f>IF(Table1[[#This Row],[Sales]]=MAX(Table1[Sales]), Table1[[#This Row],[Sales]], NA())</f>
        <v>#N/A</v>
      </c>
      <c r="V20">
        <v>6</v>
      </c>
      <c r="W20">
        <v>0.2</v>
      </c>
      <c r="X20">
        <v>122.91</v>
      </c>
      <c r="Y20" s="3">
        <f>YEAR(Table1[[#This Row],[Order Date]])</f>
        <v>2021</v>
      </c>
      <c r="Z20" s="3" t="str">
        <f>TEXT(Table1[[#This Row],[Order Date]],"MMM")</f>
        <v>Dec</v>
      </c>
      <c r="AA20" s="3">
        <f>DAY(Table1[[#This Row],[Order Date]])</f>
        <v>22</v>
      </c>
    </row>
    <row r="21" spans="1:27" x14ac:dyDescent="0.35">
      <c r="A21" s="1">
        <v>20</v>
      </c>
      <c r="B21" s="1" t="s">
        <v>156</v>
      </c>
      <c r="C21" s="1" t="s">
        <v>73</v>
      </c>
      <c r="D21" s="1" t="s">
        <v>157</v>
      </c>
      <c r="E21" t="s">
        <v>24</v>
      </c>
      <c r="F21" t="s">
        <v>158</v>
      </c>
      <c r="G21" t="s">
        <v>110</v>
      </c>
      <c r="H21" t="s">
        <v>27</v>
      </c>
      <c r="I21" s="1" t="s">
        <v>28</v>
      </c>
      <c r="J21" t="s">
        <v>53</v>
      </c>
      <c r="K21" t="s">
        <v>54</v>
      </c>
      <c r="L21" s="1">
        <v>308808</v>
      </c>
      <c r="M21" s="1" t="s">
        <v>55</v>
      </c>
      <c r="N21" t="s">
        <v>159</v>
      </c>
      <c r="O21" t="s">
        <v>68</v>
      </c>
      <c r="P21" t="s">
        <v>69</v>
      </c>
      <c r="Q21" t="s">
        <v>70</v>
      </c>
      <c r="R21">
        <v>49467.16</v>
      </c>
      <c r="S21" s="25" t="e">
        <f>IF(Table1[[#This Row],[Sales]]=MIN(Table1[Sales]), Table1[[#This Row],[Sales]], NA())</f>
        <v>#N/A</v>
      </c>
      <c r="T21" s="25">
        <f>IF(AND(Table1[[#This Row],[Sales]]&lt;&gt;MIN(Table1[Sales]),Table1[[#This Row],[Sales]]&lt;&gt;MAX(Table1[Sales])), Table1[[#This Row],[Sales]], NA())</f>
        <v>49467.16</v>
      </c>
      <c r="U21" s="25" t="e">
        <f>IF(Table1[[#This Row],[Sales]]=MAX(Table1[Sales]), Table1[[#This Row],[Sales]], NA())</f>
        <v>#N/A</v>
      </c>
      <c r="V21">
        <v>4</v>
      </c>
      <c r="W21">
        <v>0.2</v>
      </c>
      <c r="X21">
        <v>1484.01</v>
      </c>
      <c r="Y21" s="3">
        <f>YEAR(Table1[[#This Row],[Order Date]])</f>
        <v>2021</v>
      </c>
      <c r="Z21" s="3" t="str">
        <f>TEXT(Table1[[#This Row],[Order Date]],"MMM")</f>
        <v>Sep</v>
      </c>
      <c r="AA21" s="3">
        <f>DAY(Table1[[#This Row],[Order Date]])</f>
        <v>6</v>
      </c>
    </row>
    <row r="22" spans="1:27" x14ac:dyDescent="0.35">
      <c r="A22" s="1">
        <v>21</v>
      </c>
      <c r="B22" s="1" t="s">
        <v>160</v>
      </c>
      <c r="C22" s="1" t="s">
        <v>161</v>
      </c>
      <c r="D22" s="1" t="s">
        <v>162</v>
      </c>
      <c r="E22" t="s">
        <v>24</v>
      </c>
      <c r="F22" t="s">
        <v>163</v>
      </c>
      <c r="G22" t="s">
        <v>122</v>
      </c>
      <c r="H22" t="s">
        <v>27</v>
      </c>
      <c r="I22" s="1" t="s">
        <v>28</v>
      </c>
      <c r="J22" t="s">
        <v>53</v>
      </c>
      <c r="K22" t="s">
        <v>54</v>
      </c>
      <c r="L22" s="1">
        <v>384188</v>
      </c>
      <c r="M22" s="1" t="s">
        <v>55</v>
      </c>
      <c r="N22" t="s">
        <v>164</v>
      </c>
      <c r="O22" t="s">
        <v>68</v>
      </c>
      <c r="P22" t="s">
        <v>69</v>
      </c>
      <c r="Q22" t="s">
        <v>70</v>
      </c>
      <c r="R22">
        <v>75585.88</v>
      </c>
      <c r="S22" s="25" t="e">
        <f>IF(Table1[[#This Row],[Sales]]=MIN(Table1[Sales]), Table1[[#This Row],[Sales]], NA())</f>
        <v>#N/A</v>
      </c>
      <c r="T22" s="25">
        <f>IF(AND(Table1[[#This Row],[Sales]]&lt;&gt;MIN(Table1[Sales]),Table1[[#This Row],[Sales]]&lt;&gt;MAX(Table1[Sales])), Table1[[#This Row],[Sales]], NA())</f>
        <v>75585.88</v>
      </c>
      <c r="U22" s="25" t="e">
        <f>IF(Table1[[#This Row],[Sales]]=MAX(Table1[Sales]), Table1[[#This Row],[Sales]], NA())</f>
        <v>#N/A</v>
      </c>
      <c r="V22">
        <v>9</v>
      </c>
      <c r="W22">
        <v>0.3</v>
      </c>
      <c r="X22">
        <v>377.93</v>
      </c>
      <c r="Y22" s="3">
        <f>YEAR(Table1[[#This Row],[Order Date]])</f>
        <v>2024</v>
      </c>
      <c r="Z22" s="3" t="str">
        <f>TEXT(Table1[[#This Row],[Order Date]],"MMM")</f>
        <v>Nov</v>
      </c>
      <c r="AA22" s="3">
        <f>DAY(Table1[[#This Row],[Order Date]])</f>
        <v>30</v>
      </c>
    </row>
    <row r="23" spans="1:27" x14ac:dyDescent="0.35">
      <c r="A23" s="1">
        <v>22</v>
      </c>
      <c r="B23" s="1" t="s">
        <v>165</v>
      </c>
      <c r="C23" s="1" t="s">
        <v>166</v>
      </c>
      <c r="D23" s="1" t="s">
        <v>148</v>
      </c>
      <c r="E23" t="s">
        <v>38</v>
      </c>
      <c r="F23" t="s">
        <v>167</v>
      </c>
      <c r="G23" t="s">
        <v>87</v>
      </c>
      <c r="H23" t="s">
        <v>27</v>
      </c>
      <c r="I23" s="1" t="s">
        <v>28</v>
      </c>
      <c r="J23" t="s">
        <v>29</v>
      </c>
      <c r="K23" t="s">
        <v>29</v>
      </c>
      <c r="L23" s="1">
        <v>519675</v>
      </c>
      <c r="M23" s="1" t="s">
        <v>30</v>
      </c>
      <c r="N23" t="s">
        <v>168</v>
      </c>
      <c r="O23" t="s">
        <v>46</v>
      </c>
      <c r="P23" t="s">
        <v>47</v>
      </c>
      <c r="Q23" t="s">
        <v>48</v>
      </c>
      <c r="R23">
        <v>96209.55</v>
      </c>
      <c r="S23" s="25" t="e">
        <f>IF(Table1[[#This Row],[Sales]]=MIN(Table1[Sales]), Table1[[#This Row],[Sales]], NA())</f>
        <v>#N/A</v>
      </c>
      <c r="T23" s="25">
        <f>IF(AND(Table1[[#This Row],[Sales]]&lt;&gt;MIN(Table1[Sales]),Table1[[#This Row],[Sales]]&lt;&gt;MAX(Table1[Sales])), Table1[[#This Row],[Sales]], NA())</f>
        <v>96209.55</v>
      </c>
      <c r="U23" s="25" t="e">
        <f>IF(Table1[[#This Row],[Sales]]=MAX(Table1[Sales]), Table1[[#This Row],[Sales]], NA())</f>
        <v>#N/A</v>
      </c>
      <c r="V23">
        <v>3</v>
      </c>
      <c r="W23">
        <v>0.1</v>
      </c>
      <c r="X23">
        <v>5291.53</v>
      </c>
      <c r="Y23" s="3">
        <f>YEAR(Table1[[#This Row],[Order Date]])</f>
        <v>2025</v>
      </c>
      <c r="Z23" s="3" t="str">
        <f>TEXT(Table1[[#This Row],[Order Date]],"MMM")</f>
        <v>Nov</v>
      </c>
      <c r="AA23" s="3">
        <f>DAY(Table1[[#This Row],[Order Date]])</f>
        <v>12</v>
      </c>
    </row>
    <row r="24" spans="1:27" x14ac:dyDescent="0.35">
      <c r="A24" s="1">
        <v>23</v>
      </c>
      <c r="B24" s="1" t="s">
        <v>169</v>
      </c>
      <c r="C24" s="1" t="s">
        <v>170</v>
      </c>
      <c r="D24" s="1" t="s">
        <v>171</v>
      </c>
      <c r="E24" t="s">
        <v>115</v>
      </c>
      <c r="F24" t="s">
        <v>172</v>
      </c>
      <c r="G24" t="s">
        <v>87</v>
      </c>
      <c r="H24" t="s">
        <v>27</v>
      </c>
      <c r="I24" s="1" t="s">
        <v>28</v>
      </c>
      <c r="J24" t="s">
        <v>29</v>
      </c>
      <c r="K24" t="s">
        <v>29</v>
      </c>
      <c r="L24" s="1">
        <v>757948</v>
      </c>
      <c r="M24" s="1" t="s">
        <v>30</v>
      </c>
      <c r="N24" t="s">
        <v>173</v>
      </c>
      <c r="O24" t="s">
        <v>32</v>
      </c>
      <c r="P24" t="s">
        <v>33</v>
      </c>
      <c r="Q24" t="s">
        <v>34</v>
      </c>
      <c r="R24">
        <v>80903.89</v>
      </c>
      <c r="S24" s="25" t="e">
        <f>IF(Table1[[#This Row],[Sales]]=MIN(Table1[Sales]), Table1[[#This Row],[Sales]], NA())</f>
        <v>#N/A</v>
      </c>
      <c r="T24" s="25">
        <f>IF(AND(Table1[[#This Row],[Sales]]&lt;&gt;MIN(Table1[Sales]),Table1[[#This Row],[Sales]]&lt;&gt;MAX(Table1[Sales])), Table1[[#This Row],[Sales]], NA())</f>
        <v>80903.89</v>
      </c>
      <c r="U24" s="25" t="e">
        <f>IF(Table1[[#This Row],[Sales]]=MAX(Table1[Sales]), Table1[[#This Row],[Sales]], NA())</f>
        <v>#N/A</v>
      </c>
      <c r="V24">
        <v>3</v>
      </c>
      <c r="W24">
        <v>0.2</v>
      </c>
      <c r="X24">
        <v>2427.12</v>
      </c>
      <c r="Y24" s="3">
        <f>YEAR(Table1[[#This Row],[Order Date]])</f>
        <v>2023</v>
      </c>
      <c r="Z24" s="3" t="str">
        <f>TEXT(Table1[[#This Row],[Order Date]],"MMM")</f>
        <v>Nov</v>
      </c>
      <c r="AA24" s="3">
        <f>DAY(Table1[[#This Row],[Order Date]])</f>
        <v>27</v>
      </c>
    </row>
    <row r="25" spans="1:27" x14ac:dyDescent="0.35">
      <c r="A25" s="1">
        <v>24</v>
      </c>
      <c r="B25" s="1" t="s">
        <v>174</v>
      </c>
      <c r="C25" s="1" t="s">
        <v>175</v>
      </c>
      <c r="D25" s="1" t="s">
        <v>176</v>
      </c>
      <c r="E25" t="s">
        <v>115</v>
      </c>
      <c r="F25" t="s">
        <v>177</v>
      </c>
      <c r="G25" t="s">
        <v>87</v>
      </c>
      <c r="H25" t="s">
        <v>41</v>
      </c>
      <c r="I25" s="1" t="s">
        <v>28</v>
      </c>
      <c r="J25" t="s">
        <v>53</v>
      </c>
      <c r="K25" t="s">
        <v>54</v>
      </c>
      <c r="L25" s="1">
        <v>415589</v>
      </c>
      <c r="M25" s="1" t="s">
        <v>55</v>
      </c>
      <c r="N25" t="s">
        <v>178</v>
      </c>
      <c r="O25" t="s">
        <v>46</v>
      </c>
      <c r="P25" t="s">
        <v>47</v>
      </c>
      <c r="Q25" t="s">
        <v>48</v>
      </c>
      <c r="R25">
        <v>6328.73</v>
      </c>
      <c r="S25" s="25" t="e">
        <f>IF(Table1[[#This Row],[Sales]]=MIN(Table1[Sales]), Table1[[#This Row],[Sales]], NA())</f>
        <v>#N/A</v>
      </c>
      <c r="T25" s="25">
        <f>IF(AND(Table1[[#This Row],[Sales]]&lt;&gt;MIN(Table1[Sales]),Table1[[#This Row],[Sales]]&lt;&gt;MAX(Table1[Sales])), Table1[[#This Row],[Sales]], NA())</f>
        <v>6328.73</v>
      </c>
      <c r="U25" s="25" t="e">
        <f>IF(Table1[[#This Row],[Sales]]=MAX(Table1[Sales]), Table1[[#This Row],[Sales]], NA())</f>
        <v>#N/A</v>
      </c>
      <c r="V25">
        <v>1</v>
      </c>
      <c r="W25">
        <v>0.3</v>
      </c>
      <c r="X25">
        <v>31.64</v>
      </c>
      <c r="Y25" s="3">
        <f>YEAR(Table1[[#This Row],[Order Date]])</f>
        <v>2024</v>
      </c>
      <c r="Z25" s="3" t="str">
        <f>TEXT(Table1[[#This Row],[Order Date]],"MMM")</f>
        <v>Jun</v>
      </c>
      <c r="AA25" s="3">
        <f>DAY(Table1[[#This Row],[Order Date]])</f>
        <v>24</v>
      </c>
    </row>
    <row r="26" spans="1:27" x14ac:dyDescent="0.35">
      <c r="A26" s="1">
        <v>25</v>
      </c>
      <c r="B26" s="1" t="s">
        <v>179</v>
      </c>
      <c r="C26" s="1" t="s">
        <v>180</v>
      </c>
      <c r="D26" s="1" t="s">
        <v>181</v>
      </c>
      <c r="E26" t="s">
        <v>38</v>
      </c>
      <c r="F26" t="s">
        <v>182</v>
      </c>
      <c r="G26" t="s">
        <v>122</v>
      </c>
      <c r="H26" t="s">
        <v>27</v>
      </c>
      <c r="I26" s="1" t="s">
        <v>28</v>
      </c>
      <c r="J26" t="s">
        <v>64</v>
      </c>
      <c r="K26" t="s">
        <v>65</v>
      </c>
      <c r="L26" s="1">
        <v>792187</v>
      </c>
      <c r="M26" s="1" t="s">
        <v>66</v>
      </c>
      <c r="N26" t="s">
        <v>183</v>
      </c>
      <c r="O26" t="s">
        <v>68</v>
      </c>
      <c r="P26" t="s">
        <v>69</v>
      </c>
      <c r="Q26" t="s">
        <v>70</v>
      </c>
      <c r="R26">
        <v>73848.39</v>
      </c>
      <c r="S26" s="25" t="e">
        <f>IF(Table1[[#This Row],[Sales]]=MIN(Table1[Sales]), Table1[[#This Row],[Sales]], NA())</f>
        <v>#N/A</v>
      </c>
      <c r="T26" s="25">
        <f>IF(AND(Table1[[#This Row],[Sales]]&lt;&gt;MIN(Table1[Sales]),Table1[[#This Row],[Sales]]&lt;&gt;MAX(Table1[Sales])), Table1[[#This Row],[Sales]], NA())</f>
        <v>73848.39</v>
      </c>
      <c r="U26" s="25" t="e">
        <f>IF(Table1[[#This Row],[Sales]]=MAX(Table1[Sales]), Table1[[#This Row],[Sales]], NA())</f>
        <v>#N/A</v>
      </c>
      <c r="V26">
        <v>1</v>
      </c>
      <c r="W26">
        <v>0.3</v>
      </c>
      <c r="X26">
        <v>369.24</v>
      </c>
      <c r="Y26" s="3">
        <f>YEAR(Table1[[#This Row],[Order Date]])</f>
        <v>2022</v>
      </c>
      <c r="Z26" s="3" t="str">
        <f>TEXT(Table1[[#This Row],[Order Date]],"MMM")</f>
        <v>Mar</v>
      </c>
      <c r="AA26" s="3">
        <f>DAY(Table1[[#This Row],[Order Date]])</f>
        <v>25</v>
      </c>
    </row>
    <row r="27" spans="1:27" x14ac:dyDescent="0.35">
      <c r="A27" s="1">
        <v>26</v>
      </c>
      <c r="B27" s="1" t="s">
        <v>184</v>
      </c>
      <c r="C27" s="1" t="s">
        <v>185</v>
      </c>
      <c r="D27" s="1" t="s">
        <v>186</v>
      </c>
      <c r="E27" t="s">
        <v>115</v>
      </c>
      <c r="F27" t="s">
        <v>187</v>
      </c>
      <c r="G27" t="s">
        <v>188</v>
      </c>
      <c r="H27" t="s">
        <v>27</v>
      </c>
      <c r="I27" s="1" t="s">
        <v>28</v>
      </c>
      <c r="J27" t="s">
        <v>42</v>
      </c>
      <c r="K27" t="s">
        <v>43</v>
      </c>
      <c r="L27" s="1">
        <v>533755</v>
      </c>
      <c r="M27" s="1" t="s">
        <v>44</v>
      </c>
      <c r="N27" t="s">
        <v>189</v>
      </c>
      <c r="O27" t="s">
        <v>32</v>
      </c>
      <c r="P27" t="s">
        <v>33</v>
      </c>
      <c r="Q27" t="s">
        <v>34</v>
      </c>
      <c r="R27">
        <v>77486.490000000005</v>
      </c>
      <c r="S27" s="25" t="e">
        <f>IF(Table1[[#This Row],[Sales]]=MIN(Table1[Sales]), Table1[[#This Row],[Sales]], NA())</f>
        <v>#N/A</v>
      </c>
      <c r="T27" s="25">
        <f>IF(AND(Table1[[#This Row],[Sales]]&lt;&gt;MIN(Table1[Sales]),Table1[[#This Row],[Sales]]&lt;&gt;MAX(Table1[Sales])), Table1[[#This Row],[Sales]], NA())</f>
        <v>77486.490000000005</v>
      </c>
      <c r="U27" s="25" t="e">
        <f>IF(Table1[[#This Row],[Sales]]=MAX(Table1[Sales]), Table1[[#This Row],[Sales]], NA())</f>
        <v>#N/A</v>
      </c>
      <c r="V27">
        <v>5</v>
      </c>
      <c r="W27">
        <v>0</v>
      </c>
      <c r="X27">
        <v>6198.92</v>
      </c>
      <c r="Y27" s="3">
        <f>YEAR(Table1[[#This Row],[Order Date]])</f>
        <v>2022</v>
      </c>
      <c r="Z27" s="3" t="str">
        <f>TEXT(Table1[[#This Row],[Order Date]],"MMM")</f>
        <v>Feb</v>
      </c>
      <c r="AA27" s="3">
        <f>DAY(Table1[[#This Row],[Order Date]])</f>
        <v>9</v>
      </c>
    </row>
    <row r="28" spans="1:27" x14ac:dyDescent="0.35">
      <c r="A28" s="1">
        <v>27</v>
      </c>
      <c r="B28" s="1" t="s">
        <v>190</v>
      </c>
      <c r="C28" s="1" t="s">
        <v>191</v>
      </c>
      <c r="D28" s="1" t="s">
        <v>192</v>
      </c>
      <c r="E28" t="s">
        <v>115</v>
      </c>
      <c r="F28" t="s">
        <v>193</v>
      </c>
      <c r="G28" t="s">
        <v>40</v>
      </c>
      <c r="H28" t="s">
        <v>94</v>
      </c>
      <c r="I28" s="1" t="s">
        <v>28</v>
      </c>
      <c r="J28" t="s">
        <v>64</v>
      </c>
      <c r="K28" t="s">
        <v>65</v>
      </c>
      <c r="L28" s="1">
        <v>310864</v>
      </c>
      <c r="M28" s="1" t="s">
        <v>66</v>
      </c>
      <c r="N28" t="s">
        <v>194</v>
      </c>
      <c r="O28" t="s">
        <v>68</v>
      </c>
      <c r="P28" t="s">
        <v>69</v>
      </c>
      <c r="Q28" t="s">
        <v>70</v>
      </c>
      <c r="R28">
        <v>3476.54</v>
      </c>
      <c r="S28" s="25" t="e">
        <f>IF(Table1[[#This Row],[Sales]]=MIN(Table1[Sales]), Table1[[#This Row],[Sales]], NA())</f>
        <v>#N/A</v>
      </c>
      <c r="T28" s="25">
        <f>IF(AND(Table1[[#This Row],[Sales]]&lt;&gt;MIN(Table1[Sales]),Table1[[#This Row],[Sales]]&lt;&gt;MAX(Table1[Sales])), Table1[[#This Row],[Sales]], NA())</f>
        <v>3476.54</v>
      </c>
      <c r="U28" s="25" t="e">
        <f>IF(Table1[[#This Row],[Sales]]=MAX(Table1[Sales]), Table1[[#This Row],[Sales]], NA())</f>
        <v>#N/A</v>
      </c>
      <c r="V28">
        <v>8</v>
      </c>
      <c r="W28">
        <v>0</v>
      </c>
      <c r="X28">
        <v>278.12</v>
      </c>
      <c r="Y28" s="3">
        <f>YEAR(Table1[[#This Row],[Order Date]])</f>
        <v>2024</v>
      </c>
      <c r="Z28" s="3" t="str">
        <f>TEXT(Table1[[#This Row],[Order Date]],"MMM")</f>
        <v>Jun</v>
      </c>
      <c r="AA28" s="3">
        <f>DAY(Table1[[#This Row],[Order Date]])</f>
        <v>18</v>
      </c>
    </row>
    <row r="29" spans="1:27" x14ac:dyDescent="0.35">
      <c r="A29" s="1">
        <v>28</v>
      </c>
      <c r="B29" s="1" t="s">
        <v>195</v>
      </c>
      <c r="C29" s="1" t="s">
        <v>196</v>
      </c>
      <c r="D29" s="1" t="s">
        <v>197</v>
      </c>
      <c r="E29" t="s">
        <v>38</v>
      </c>
      <c r="F29" t="s">
        <v>198</v>
      </c>
      <c r="G29" t="s">
        <v>26</v>
      </c>
      <c r="H29" t="s">
        <v>41</v>
      </c>
      <c r="I29" s="1" t="s">
        <v>28</v>
      </c>
      <c r="J29" t="s">
        <v>42</v>
      </c>
      <c r="K29" t="s">
        <v>43</v>
      </c>
      <c r="L29" s="1">
        <v>493083</v>
      </c>
      <c r="M29" s="1" t="s">
        <v>44</v>
      </c>
      <c r="N29" t="s">
        <v>199</v>
      </c>
      <c r="O29" t="s">
        <v>68</v>
      </c>
      <c r="P29" t="s">
        <v>69</v>
      </c>
      <c r="Q29" t="s">
        <v>70</v>
      </c>
      <c r="R29">
        <v>72537.17</v>
      </c>
      <c r="S29" s="25" t="e">
        <f>IF(Table1[[#This Row],[Sales]]=MIN(Table1[Sales]), Table1[[#This Row],[Sales]], NA())</f>
        <v>#N/A</v>
      </c>
      <c r="T29" s="25">
        <f>IF(AND(Table1[[#This Row],[Sales]]&lt;&gt;MIN(Table1[Sales]),Table1[[#This Row],[Sales]]&lt;&gt;MAX(Table1[Sales])), Table1[[#This Row],[Sales]], NA())</f>
        <v>72537.17</v>
      </c>
      <c r="U29" s="25" t="e">
        <f>IF(Table1[[#This Row],[Sales]]=MAX(Table1[Sales]), Table1[[#This Row],[Sales]], NA())</f>
        <v>#N/A</v>
      </c>
      <c r="V29">
        <v>2</v>
      </c>
      <c r="W29">
        <v>0.3</v>
      </c>
      <c r="X29">
        <v>362.69</v>
      </c>
      <c r="Y29" s="3">
        <f>YEAR(Table1[[#This Row],[Order Date]])</f>
        <v>2023</v>
      </c>
      <c r="Z29" s="3" t="str">
        <f>TEXT(Table1[[#This Row],[Order Date]],"MMM")</f>
        <v>Feb</v>
      </c>
      <c r="AA29" s="3">
        <f>DAY(Table1[[#This Row],[Order Date]])</f>
        <v>18</v>
      </c>
    </row>
    <row r="30" spans="1:27" x14ac:dyDescent="0.35">
      <c r="A30" s="1">
        <v>29</v>
      </c>
      <c r="B30" s="1" t="s">
        <v>200</v>
      </c>
      <c r="C30" s="1" t="s">
        <v>201</v>
      </c>
      <c r="D30" s="1" t="s">
        <v>202</v>
      </c>
      <c r="E30" t="s">
        <v>38</v>
      </c>
      <c r="F30" t="s">
        <v>203</v>
      </c>
      <c r="G30" t="s">
        <v>81</v>
      </c>
      <c r="H30" t="s">
        <v>27</v>
      </c>
      <c r="I30" s="1" t="s">
        <v>28</v>
      </c>
      <c r="J30" t="s">
        <v>128</v>
      </c>
      <c r="K30" t="s">
        <v>129</v>
      </c>
      <c r="L30" s="1">
        <v>601963</v>
      </c>
      <c r="M30" s="1" t="s">
        <v>66</v>
      </c>
      <c r="N30" t="s">
        <v>204</v>
      </c>
      <c r="O30" t="s">
        <v>46</v>
      </c>
      <c r="P30" t="s">
        <v>57</v>
      </c>
      <c r="Q30" t="s">
        <v>58</v>
      </c>
      <c r="R30">
        <v>24622.04</v>
      </c>
      <c r="S30" s="25" t="e">
        <f>IF(Table1[[#This Row],[Sales]]=MIN(Table1[Sales]), Table1[[#This Row],[Sales]], NA())</f>
        <v>#N/A</v>
      </c>
      <c r="T30" s="25">
        <f>IF(AND(Table1[[#This Row],[Sales]]&lt;&gt;MIN(Table1[Sales]),Table1[[#This Row],[Sales]]&lt;&gt;MAX(Table1[Sales])), Table1[[#This Row],[Sales]], NA())</f>
        <v>24622.04</v>
      </c>
      <c r="U30" s="25" t="e">
        <f>IF(Table1[[#This Row],[Sales]]=MAX(Table1[Sales]), Table1[[#This Row],[Sales]], NA())</f>
        <v>#N/A</v>
      </c>
      <c r="V30">
        <v>3</v>
      </c>
      <c r="W30">
        <v>0.2</v>
      </c>
      <c r="X30">
        <v>738.66</v>
      </c>
      <c r="Y30" s="3">
        <f>YEAR(Table1[[#This Row],[Order Date]])</f>
        <v>2022</v>
      </c>
      <c r="Z30" s="3" t="str">
        <f>TEXT(Table1[[#This Row],[Order Date]],"MMM")</f>
        <v>Nov</v>
      </c>
      <c r="AA30" s="3">
        <f>DAY(Table1[[#This Row],[Order Date]])</f>
        <v>1</v>
      </c>
    </row>
    <row r="31" spans="1:27" x14ac:dyDescent="0.35">
      <c r="A31" s="1">
        <v>30</v>
      </c>
      <c r="B31" s="1" t="s">
        <v>205</v>
      </c>
      <c r="C31" s="1" t="s">
        <v>206</v>
      </c>
      <c r="D31" s="1" t="s">
        <v>207</v>
      </c>
      <c r="E31" t="s">
        <v>115</v>
      </c>
      <c r="F31" t="s">
        <v>208</v>
      </c>
      <c r="G31" t="s">
        <v>87</v>
      </c>
      <c r="H31" t="s">
        <v>94</v>
      </c>
      <c r="I31" s="1" t="s">
        <v>28</v>
      </c>
      <c r="J31" t="s">
        <v>128</v>
      </c>
      <c r="K31" t="s">
        <v>129</v>
      </c>
      <c r="L31" s="1">
        <v>421969</v>
      </c>
      <c r="M31" s="1" t="s">
        <v>66</v>
      </c>
      <c r="N31" t="s">
        <v>209</v>
      </c>
      <c r="O31" t="s">
        <v>46</v>
      </c>
      <c r="P31" t="s">
        <v>57</v>
      </c>
      <c r="Q31" t="s">
        <v>58</v>
      </c>
      <c r="R31">
        <v>41753.629999999997</v>
      </c>
      <c r="S31" s="25" t="e">
        <f>IF(Table1[[#This Row],[Sales]]=MIN(Table1[Sales]), Table1[[#This Row],[Sales]], NA())</f>
        <v>#N/A</v>
      </c>
      <c r="T31" s="25">
        <f>IF(AND(Table1[[#This Row],[Sales]]&lt;&gt;MIN(Table1[Sales]),Table1[[#This Row],[Sales]]&lt;&gt;MAX(Table1[Sales])), Table1[[#This Row],[Sales]], NA())</f>
        <v>41753.629999999997</v>
      </c>
      <c r="U31" s="25" t="e">
        <f>IF(Table1[[#This Row],[Sales]]=MAX(Table1[Sales]), Table1[[#This Row],[Sales]], NA())</f>
        <v>#N/A</v>
      </c>
      <c r="V31">
        <v>4</v>
      </c>
      <c r="W31">
        <v>0.2</v>
      </c>
      <c r="X31">
        <v>1252.6099999999999</v>
      </c>
      <c r="Y31" s="3">
        <f>YEAR(Table1[[#This Row],[Order Date]])</f>
        <v>2023</v>
      </c>
      <c r="Z31" s="3" t="str">
        <f>TEXT(Table1[[#This Row],[Order Date]],"MMM")</f>
        <v>Oct</v>
      </c>
      <c r="AA31" s="3">
        <f>DAY(Table1[[#This Row],[Order Date]])</f>
        <v>29</v>
      </c>
    </row>
    <row r="32" spans="1:27" x14ac:dyDescent="0.35">
      <c r="A32" s="1">
        <v>31</v>
      </c>
      <c r="B32" s="1" t="s">
        <v>210</v>
      </c>
      <c r="C32" s="1" t="s">
        <v>211</v>
      </c>
      <c r="D32" s="1" t="s">
        <v>212</v>
      </c>
      <c r="E32" t="s">
        <v>24</v>
      </c>
      <c r="F32" t="s">
        <v>213</v>
      </c>
      <c r="G32" t="s">
        <v>188</v>
      </c>
      <c r="H32" t="s">
        <v>41</v>
      </c>
      <c r="I32" s="1" t="s">
        <v>28</v>
      </c>
      <c r="J32" t="s">
        <v>128</v>
      </c>
      <c r="K32" t="s">
        <v>129</v>
      </c>
      <c r="L32" s="1">
        <v>429837</v>
      </c>
      <c r="M32" s="1" t="s">
        <v>66</v>
      </c>
      <c r="N32" t="s">
        <v>214</v>
      </c>
      <c r="O32" t="s">
        <v>68</v>
      </c>
      <c r="P32" t="s">
        <v>69</v>
      </c>
      <c r="Q32" t="s">
        <v>70</v>
      </c>
      <c r="R32">
        <v>43327.62</v>
      </c>
      <c r="S32" s="25" t="e">
        <f>IF(Table1[[#This Row],[Sales]]=MIN(Table1[Sales]), Table1[[#This Row],[Sales]], NA())</f>
        <v>#N/A</v>
      </c>
      <c r="T32" s="25">
        <f>IF(AND(Table1[[#This Row],[Sales]]&lt;&gt;MIN(Table1[Sales]),Table1[[#This Row],[Sales]]&lt;&gt;MAX(Table1[Sales])), Table1[[#This Row],[Sales]], NA())</f>
        <v>43327.62</v>
      </c>
      <c r="U32" s="25" t="e">
        <f>IF(Table1[[#This Row],[Sales]]=MAX(Table1[Sales]), Table1[[#This Row],[Sales]], NA())</f>
        <v>#N/A</v>
      </c>
      <c r="V32">
        <v>1</v>
      </c>
      <c r="W32">
        <v>0.1</v>
      </c>
      <c r="X32">
        <v>2383.02</v>
      </c>
      <c r="Y32" s="3">
        <f>YEAR(Table1[[#This Row],[Order Date]])</f>
        <v>2022</v>
      </c>
      <c r="Z32" s="3" t="str">
        <f>TEXT(Table1[[#This Row],[Order Date]],"MMM")</f>
        <v>Jun</v>
      </c>
      <c r="AA32" s="3">
        <f>DAY(Table1[[#This Row],[Order Date]])</f>
        <v>20</v>
      </c>
    </row>
    <row r="33" spans="1:27" x14ac:dyDescent="0.35">
      <c r="A33" s="1">
        <v>32</v>
      </c>
      <c r="B33" s="1" t="s">
        <v>215</v>
      </c>
      <c r="C33" s="1" t="s">
        <v>216</v>
      </c>
      <c r="D33" s="1" t="s">
        <v>217</v>
      </c>
      <c r="E33" t="s">
        <v>24</v>
      </c>
      <c r="F33" t="s">
        <v>218</v>
      </c>
      <c r="G33" t="s">
        <v>40</v>
      </c>
      <c r="H33" t="s">
        <v>41</v>
      </c>
      <c r="I33" s="1" t="s">
        <v>28</v>
      </c>
      <c r="J33" t="s">
        <v>64</v>
      </c>
      <c r="K33" t="s">
        <v>65</v>
      </c>
      <c r="L33" s="1">
        <v>187349</v>
      </c>
      <c r="M33" s="1" t="s">
        <v>66</v>
      </c>
      <c r="N33" t="s">
        <v>219</v>
      </c>
      <c r="O33" t="s">
        <v>46</v>
      </c>
      <c r="P33" t="s">
        <v>47</v>
      </c>
      <c r="Q33" t="s">
        <v>48</v>
      </c>
      <c r="R33">
        <v>9902.3799999999992</v>
      </c>
      <c r="S33" s="25" t="e">
        <f>IF(Table1[[#This Row],[Sales]]=MIN(Table1[Sales]), Table1[[#This Row],[Sales]], NA())</f>
        <v>#N/A</v>
      </c>
      <c r="T33" s="25">
        <f>IF(AND(Table1[[#This Row],[Sales]]&lt;&gt;MIN(Table1[Sales]),Table1[[#This Row],[Sales]]&lt;&gt;MAX(Table1[Sales])), Table1[[#This Row],[Sales]], NA())</f>
        <v>9902.3799999999992</v>
      </c>
      <c r="U33" s="25" t="e">
        <f>IF(Table1[[#This Row],[Sales]]=MAX(Table1[Sales]), Table1[[#This Row],[Sales]], NA())</f>
        <v>#N/A</v>
      </c>
      <c r="V33">
        <v>4</v>
      </c>
      <c r="W33">
        <v>0</v>
      </c>
      <c r="X33">
        <v>792.19</v>
      </c>
      <c r="Y33" s="3">
        <f>YEAR(Table1[[#This Row],[Order Date]])</f>
        <v>2021</v>
      </c>
      <c r="Z33" s="3" t="str">
        <f>TEXT(Table1[[#This Row],[Order Date]],"MMM")</f>
        <v>May</v>
      </c>
      <c r="AA33" s="3">
        <f>DAY(Table1[[#This Row],[Order Date]])</f>
        <v>6</v>
      </c>
    </row>
    <row r="34" spans="1:27" x14ac:dyDescent="0.35">
      <c r="A34" s="1">
        <v>33</v>
      </c>
      <c r="B34" s="1" t="s">
        <v>220</v>
      </c>
      <c r="C34" s="1" t="s">
        <v>221</v>
      </c>
      <c r="D34" s="1" t="s">
        <v>222</v>
      </c>
      <c r="E34" t="s">
        <v>38</v>
      </c>
      <c r="F34" t="s">
        <v>223</v>
      </c>
      <c r="G34" t="s">
        <v>75</v>
      </c>
      <c r="H34" t="s">
        <v>94</v>
      </c>
      <c r="I34" s="1" t="s">
        <v>28</v>
      </c>
      <c r="J34" t="s">
        <v>128</v>
      </c>
      <c r="K34" t="s">
        <v>129</v>
      </c>
      <c r="L34" s="1">
        <v>730314</v>
      </c>
      <c r="M34" s="1" t="s">
        <v>66</v>
      </c>
      <c r="N34" t="s">
        <v>224</v>
      </c>
      <c r="O34" t="s">
        <v>32</v>
      </c>
      <c r="P34" t="s">
        <v>33</v>
      </c>
      <c r="Q34" t="s">
        <v>34</v>
      </c>
      <c r="R34">
        <v>65374.82</v>
      </c>
      <c r="S34" s="25" t="e">
        <f>IF(Table1[[#This Row],[Sales]]=MIN(Table1[Sales]), Table1[[#This Row],[Sales]], NA())</f>
        <v>#N/A</v>
      </c>
      <c r="T34" s="25">
        <f>IF(AND(Table1[[#This Row],[Sales]]&lt;&gt;MIN(Table1[Sales]),Table1[[#This Row],[Sales]]&lt;&gt;MAX(Table1[Sales])), Table1[[#This Row],[Sales]], NA())</f>
        <v>65374.82</v>
      </c>
      <c r="U34" s="25" t="e">
        <f>IF(Table1[[#This Row],[Sales]]=MAX(Table1[Sales]), Table1[[#This Row],[Sales]], NA())</f>
        <v>#N/A</v>
      </c>
      <c r="V34">
        <v>10</v>
      </c>
      <c r="W34">
        <v>0.1</v>
      </c>
      <c r="X34">
        <v>3595.62</v>
      </c>
      <c r="Y34" s="3">
        <f>YEAR(Table1[[#This Row],[Order Date]])</f>
        <v>2022</v>
      </c>
      <c r="Z34" s="3" t="str">
        <f>TEXT(Table1[[#This Row],[Order Date]],"MMM")</f>
        <v>May</v>
      </c>
      <c r="AA34" s="3">
        <f>DAY(Table1[[#This Row],[Order Date]])</f>
        <v>6</v>
      </c>
    </row>
    <row r="35" spans="1:27" x14ac:dyDescent="0.35">
      <c r="A35" s="1">
        <v>34</v>
      </c>
      <c r="B35" s="1" t="s">
        <v>225</v>
      </c>
      <c r="C35" s="1" t="s">
        <v>226</v>
      </c>
      <c r="D35" s="1" t="s">
        <v>227</v>
      </c>
      <c r="E35" t="s">
        <v>24</v>
      </c>
      <c r="F35" t="s">
        <v>228</v>
      </c>
      <c r="G35" t="s">
        <v>93</v>
      </c>
      <c r="H35" t="s">
        <v>41</v>
      </c>
      <c r="I35" s="1" t="s">
        <v>28</v>
      </c>
      <c r="J35" t="s">
        <v>29</v>
      </c>
      <c r="K35" t="s">
        <v>29</v>
      </c>
      <c r="L35" s="1">
        <v>400409</v>
      </c>
      <c r="M35" s="1" t="s">
        <v>30</v>
      </c>
      <c r="N35" t="s">
        <v>229</v>
      </c>
      <c r="O35" t="s">
        <v>46</v>
      </c>
      <c r="P35" t="s">
        <v>57</v>
      </c>
      <c r="Q35" t="s">
        <v>58</v>
      </c>
      <c r="R35">
        <v>55847.43</v>
      </c>
      <c r="S35" s="25" t="e">
        <f>IF(Table1[[#This Row],[Sales]]=MIN(Table1[Sales]), Table1[[#This Row],[Sales]], NA())</f>
        <v>#N/A</v>
      </c>
      <c r="T35" s="25">
        <f>IF(AND(Table1[[#This Row],[Sales]]&lt;&gt;MIN(Table1[Sales]),Table1[[#This Row],[Sales]]&lt;&gt;MAX(Table1[Sales])), Table1[[#This Row],[Sales]], NA())</f>
        <v>55847.43</v>
      </c>
      <c r="U35" s="25" t="e">
        <f>IF(Table1[[#This Row],[Sales]]=MAX(Table1[Sales]), Table1[[#This Row],[Sales]], NA())</f>
        <v>#N/A</v>
      </c>
      <c r="V35">
        <v>2</v>
      </c>
      <c r="W35">
        <v>0.3</v>
      </c>
      <c r="X35">
        <v>279.24</v>
      </c>
      <c r="Y35" s="3">
        <f>YEAR(Table1[[#This Row],[Order Date]])</f>
        <v>2023</v>
      </c>
      <c r="Z35" s="3" t="str">
        <f>TEXT(Table1[[#This Row],[Order Date]],"MMM")</f>
        <v>Jan</v>
      </c>
      <c r="AA35" s="3">
        <f>DAY(Table1[[#This Row],[Order Date]])</f>
        <v>30</v>
      </c>
    </row>
    <row r="36" spans="1:27" x14ac:dyDescent="0.35">
      <c r="A36" s="1">
        <v>35</v>
      </c>
      <c r="B36" s="1" t="s">
        <v>230</v>
      </c>
      <c r="C36" s="1" t="s">
        <v>231</v>
      </c>
      <c r="D36" s="1" t="s">
        <v>232</v>
      </c>
      <c r="E36" t="s">
        <v>115</v>
      </c>
      <c r="F36" t="s">
        <v>233</v>
      </c>
      <c r="G36" t="s">
        <v>188</v>
      </c>
      <c r="H36" t="s">
        <v>41</v>
      </c>
      <c r="I36" s="1" t="s">
        <v>28</v>
      </c>
      <c r="J36" t="s">
        <v>128</v>
      </c>
      <c r="K36" t="s">
        <v>129</v>
      </c>
      <c r="L36" s="1">
        <v>369698</v>
      </c>
      <c r="M36" s="1" t="s">
        <v>66</v>
      </c>
      <c r="N36" t="s">
        <v>234</v>
      </c>
      <c r="O36" t="s">
        <v>32</v>
      </c>
      <c r="P36" t="s">
        <v>33</v>
      </c>
      <c r="Q36" t="s">
        <v>34</v>
      </c>
      <c r="R36">
        <v>27851.3</v>
      </c>
      <c r="S36" s="25" t="e">
        <f>IF(Table1[[#This Row],[Sales]]=MIN(Table1[Sales]), Table1[[#This Row],[Sales]], NA())</f>
        <v>#N/A</v>
      </c>
      <c r="T36" s="25">
        <f>IF(AND(Table1[[#This Row],[Sales]]&lt;&gt;MIN(Table1[Sales]),Table1[[#This Row],[Sales]]&lt;&gt;MAX(Table1[Sales])), Table1[[#This Row],[Sales]], NA())</f>
        <v>27851.3</v>
      </c>
      <c r="U36" s="25" t="e">
        <f>IF(Table1[[#This Row],[Sales]]=MAX(Table1[Sales]), Table1[[#This Row],[Sales]], NA())</f>
        <v>#N/A</v>
      </c>
      <c r="V36">
        <v>6</v>
      </c>
      <c r="W36">
        <v>0.1</v>
      </c>
      <c r="X36">
        <v>1531.82</v>
      </c>
      <c r="Y36" s="3">
        <f>YEAR(Table1[[#This Row],[Order Date]])</f>
        <v>2021</v>
      </c>
      <c r="Z36" s="3" t="str">
        <f>TEXT(Table1[[#This Row],[Order Date]],"MMM")</f>
        <v>Oct</v>
      </c>
      <c r="AA36" s="3">
        <f>DAY(Table1[[#This Row],[Order Date]])</f>
        <v>16</v>
      </c>
    </row>
    <row r="37" spans="1:27" x14ac:dyDescent="0.35">
      <c r="A37" s="1">
        <v>36</v>
      </c>
      <c r="B37" s="1" t="s">
        <v>235</v>
      </c>
      <c r="C37" s="1" t="s">
        <v>236</v>
      </c>
      <c r="D37" s="1" t="s">
        <v>237</v>
      </c>
      <c r="E37" t="s">
        <v>62</v>
      </c>
      <c r="F37" t="s">
        <v>238</v>
      </c>
      <c r="G37" t="s">
        <v>26</v>
      </c>
      <c r="H37" t="s">
        <v>94</v>
      </c>
      <c r="I37" s="1" t="s">
        <v>28</v>
      </c>
      <c r="J37" t="s">
        <v>64</v>
      </c>
      <c r="K37" t="s">
        <v>65</v>
      </c>
      <c r="L37" s="1">
        <v>669602</v>
      </c>
      <c r="M37" s="1" t="s">
        <v>66</v>
      </c>
      <c r="N37" t="s">
        <v>239</v>
      </c>
      <c r="O37" t="s">
        <v>46</v>
      </c>
      <c r="P37" t="s">
        <v>57</v>
      </c>
      <c r="Q37" t="s">
        <v>58</v>
      </c>
      <c r="R37">
        <v>29318.59</v>
      </c>
      <c r="S37" s="25" t="e">
        <f>IF(Table1[[#This Row],[Sales]]=MIN(Table1[Sales]), Table1[[#This Row],[Sales]], NA())</f>
        <v>#N/A</v>
      </c>
      <c r="T37" s="25">
        <f>IF(AND(Table1[[#This Row],[Sales]]&lt;&gt;MIN(Table1[Sales]),Table1[[#This Row],[Sales]]&lt;&gt;MAX(Table1[Sales])), Table1[[#This Row],[Sales]], NA())</f>
        <v>29318.59</v>
      </c>
      <c r="U37" s="25" t="e">
        <f>IF(Table1[[#This Row],[Sales]]=MAX(Table1[Sales]), Table1[[#This Row],[Sales]], NA())</f>
        <v>#N/A</v>
      </c>
      <c r="V37">
        <v>9</v>
      </c>
      <c r="W37">
        <v>0.2</v>
      </c>
      <c r="X37">
        <v>879.56</v>
      </c>
      <c r="Y37" s="3">
        <f>YEAR(Table1[[#This Row],[Order Date]])</f>
        <v>2025</v>
      </c>
      <c r="Z37" s="3" t="str">
        <f>TEXT(Table1[[#This Row],[Order Date]],"MMM")</f>
        <v>Apr</v>
      </c>
      <c r="AA37" s="3">
        <f>DAY(Table1[[#This Row],[Order Date]])</f>
        <v>26</v>
      </c>
    </row>
    <row r="38" spans="1:27" x14ac:dyDescent="0.35">
      <c r="A38" s="1">
        <v>37</v>
      </c>
      <c r="B38" s="1" t="s">
        <v>240</v>
      </c>
      <c r="C38" s="1" t="s">
        <v>241</v>
      </c>
      <c r="D38" s="1" t="s">
        <v>242</v>
      </c>
      <c r="E38" t="s">
        <v>38</v>
      </c>
      <c r="F38" t="s">
        <v>243</v>
      </c>
      <c r="G38" t="s">
        <v>122</v>
      </c>
      <c r="H38" t="s">
        <v>27</v>
      </c>
      <c r="I38" s="1" t="s">
        <v>28</v>
      </c>
      <c r="J38" t="s">
        <v>29</v>
      </c>
      <c r="K38" t="s">
        <v>29</v>
      </c>
      <c r="L38" s="1">
        <v>981550</v>
      </c>
      <c r="M38" s="1" t="s">
        <v>30</v>
      </c>
      <c r="N38" t="s">
        <v>244</v>
      </c>
      <c r="O38" t="s">
        <v>68</v>
      </c>
      <c r="P38" t="s">
        <v>69</v>
      </c>
      <c r="Q38" t="s">
        <v>70</v>
      </c>
      <c r="R38">
        <v>94353.38</v>
      </c>
      <c r="S38" s="25" t="e">
        <f>IF(Table1[[#This Row],[Sales]]=MIN(Table1[Sales]), Table1[[#This Row],[Sales]], NA())</f>
        <v>#N/A</v>
      </c>
      <c r="T38" s="25">
        <f>IF(AND(Table1[[#This Row],[Sales]]&lt;&gt;MIN(Table1[Sales]),Table1[[#This Row],[Sales]]&lt;&gt;MAX(Table1[Sales])), Table1[[#This Row],[Sales]], NA())</f>
        <v>94353.38</v>
      </c>
      <c r="U38" s="25" t="e">
        <f>IF(Table1[[#This Row],[Sales]]=MAX(Table1[Sales]), Table1[[#This Row],[Sales]], NA())</f>
        <v>#N/A</v>
      </c>
      <c r="V38">
        <v>5</v>
      </c>
      <c r="W38">
        <v>0.2</v>
      </c>
      <c r="X38">
        <v>2830.6</v>
      </c>
      <c r="Y38" s="3">
        <f>YEAR(Table1[[#This Row],[Order Date]])</f>
        <v>2024</v>
      </c>
      <c r="Z38" s="3" t="str">
        <f>TEXT(Table1[[#This Row],[Order Date]],"MMM")</f>
        <v>Jan</v>
      </c>
      <c r="AA38" s="3">
        <f>DAY(Table1[[#This Row],[Order Date]])</f>
        <v>10</v>
      </c>
    </row>
    <row r="39" spans="1:27" x14ac:dyDescent="0.35">
      <c r="A39" s="1">
        <v>38</v>
      </c>
      <c r="B39" s="1" t="s">
        <v>245</v>
      </c>
      <c r="C39" s="1" t="s">
        <v>246</v>
      </c>
      <c r="D39" s="1" t="s">
        <v>247</v>
      </c>
      <c r="E39" t="s">
        <v>62</v>
      </c>
      <c r="F39" t="s">
        <v>248</v>
      </c>
      <c r="G39" t="s">
        <v>40</v>
      </c>
      <c r="H39" t="s">
        <v>41</v>
      </c>
      <c r="I39" s="1" t="s">
        <v>28</v>
      </c>
      <c r="J39" t="s">
        <v>64</v>
      </c>
      <c r="K39" t="s">
        <v>65</v>
      </c>
      <c r="L39" s="1">
        <v>645818</v>
      </c>
      <c r="M39" s="1" t="s">
        <v>66</v>
      </c>
      <c r="N39" t="s">
        <v>249</v>
      </c>
      <c r="O39" t="s">
        <v>46</v>
      </c>
      <c r="P39" t="s">
        <v>57</v>
      </c>
      <c r="Q39" t="s">
        <v>58</v>
      </c>
      <c r="R39">
        <v>66970.37</v>
      </c>
      <c r="S39" s="25" t="e">
        <f>IF(Table1[[#This Row],[Sales]]=MIN(Table1[Sales]), Table1[[#This Row],[Sales]], NA())</f>
        <v>#N/A</v>
      </c>
      <c r="T39" s="25">
        <f>IF(AND(Table1[[#This Row],[Sales]]&lt;&gt;MIN(Table1[Sales]),Table1[[#This Row],[Sales]]&lt;&gt;MAX(Table1[Sales])), Table1[[#This Row],[Sales]], NA())</f>
        <v>66970.37</v>
      </c>
      <c r="U39" s="25" t="e">
        <f>IF(Table1[[#This Row],[Sales]]=MAX(Table1[Sales]), Table1[[#This Row],[Sales]], NA())</f>
        <v>#N/A</v>
      </c>
      <c r="V39">
        <v>8</v>
      </c>
      <c r="W39">
        <v>0</v>
      </c>
      <c r="X39">
        <v>5357.63</v>
      </c>
      <c r="Y39" s="3">
        <f>YEAR(Table1[[#This Row],[Order Date]])</f>
        <v>2024</v>
      </c>
      <c r="Z39" s="3" t="str">
        <f>TEXT(Table1[[#This Row],[Order Date]],"MMM")</f>
        <v>Feb</v>
      </c>
      <c r="AA39" s="3">
        <f>DAY(Table1[[#This Row],[Order Date]])</f>
        <v>22</v>
      </c>
    </row>
    <row r="40" spans="1:27" x14ac:dyDescent="0.35">
      <c r="A40" s="1">
        <v>39</v>
      </c>
      <c r="B40" s="1" t="s">
        <v>250</v>
      </c>
      <c r="C40" s="1" t="s">
        <v>251</v>
      </c>
      <c r="D40" s="1" t="s">
        <v>252</v>
      </c>
      <c r="E40" t="s">
        <v>24</v>
      </c>
      <c r="F40" t="s">
        <v>253</v>
      </c>
      <c r="G40" t="s">
        <v>93</v>
      </c>
      <c r="H40" t="s">
        <v>94</v>
      </c>
      <c r="I40" s="1" t="s">
        <v>28</v>
      </c>
      <c r="J40" t="s">
        <v>29</v>
      </c>
      <c r="K40" t="s">
        <v>29</v>
      </c>
      <c r="L40" s="1">
        <v>563791</v>
      </c>
      <c r="M40" s="1" t="s">
        <v>30</v>
      </c>
      <c r="N40" t="s">
        <v>254</v>
      </c>
      <c r="O40" t="s">
        <v>68</v>
      </c>
      <c r="P40" t="s">
        <v>69</v>
      </c>
      <c r="Q40" t="s">
        <v>70</v>
      </c>
      <c r="R40">
        <v>88292.9</v>
      </c>
      <c r="S40" s="25" t="e">
        <f>IF(Table1[[#This Row],[Sales]]=MIN(Table1[Sales]), Table1[[#This Row],[Sales]], NA())</f>
        <v>#N/A</v>
      </c>
      <c r="T40" s="25">
        <f>IF(AND(Table1[[#This Row],[Sales]]&lt;&gt;MIN(Table1[Sales]),Table1[[#This Row],[Sales]]&lt;&gt;MAX(Table1[Sales])), Table1[[#This Row],[Sales]], NA())</f>
        <v>88292.9</v>
      </c>
      <c r="U40" s="25" t="e">
        <f>IF(Table1[[#This Row],[Sales]]=MAX(Table1[Sales]), Table1[[#This Row],[Sales]], NA())</f>
        <v>#N/A</v>
      </c>
      <c r="V40">
        <v>8</v>
      </c>
      <c r="W40">
        <v>0.3</v>
      </c>
      <c r="X40">
        <v>441.46</v>
      </c>
      <c r="Y40" s="3">
        <f>YEAR(Table1[[#This Row],[Order Date]])</f>
        <v>2024</v>
      </c>
      <c r="Z40" s="3" t="str">
        <f>TEXT(Table1[[#This Row],[Order Date]],"MMM")</f>
        <v>Mar</v>
      </c>
      <c r="AA40" s="3">
        <f>DAY(Table1[[#This Row],[Order Date]])</f>
        <v>4</v>
      </c>
    </row>
    <row r="41" spans="1:27" x14ac:dyDescent="0.35">
      <c r="A41" s="1">
        <v>40</v>
      </c>
      <c r="B41" s="1" t="s">
        <v>255</v>
      </c>
      <c r="C41" s="1" t="s">
        <v>256</v>
      </c>
      <c r="D41" s="1" t="s">
        <v>257</v>
      </c>
      <c r="E41" t="s">
        <v>24</v>
      </c>
      <c r="F41" t="s">
        <v>258</v>
      </c>
      <c r="G41" t="s">
        <v>122</v>
      </c>
      <c r="H41" t="s">
        <v>94</v>
      </c>
      <c r="I41" s="1" t="s">
        <v>28</v>
      </c>
      <c r="J41" t="s">
        <v>53</v>
      </c>
      <c r="K41" t="s">
        <v>54</v>
      </c>
      <c r="L41" s="1">
        <v>620048</v>
      </c>
      <c r="M41" s="1" t="s">
        <v>55</v>
      </c>
      <c r="N41" t="s">
        <v>259</v>
      </c>
      <c r="O41" t="s">
        <v>46</v>
      </c>
      <c r="P41" t="s">
        <v>47</v>
      </c>
      <c r="Q41" t="s">
        <v>48</v>
      </c>
      <c r="R41">
        <v>84913.56</v>
      </c>
      <c r="S41" s="25" t="e">
        <f>IF(Table1[[#This Row],[Sales]]=MIN(Table1[Sales]), Table1[[#This Row],[Sales]], NA())</f>
        <v>#N/A</v>
      </c>
      <c r="T41" s="25">
        <f>IF(AND(Table1[[#This Row],[Sales]]&lt;&gt;MIN(Table1[Sales]),Table1[[#This Row],[Sales]]&lt;&gt;MAX(Table1[Sales])), Table1[[#This Row],[Sales]], NA())</f>
        <v>84913.56</v>
      </c>
      <c r="U41" s="25" t="e">
        <f>IF(Table1[[#This Row],[Sales]]=MAX(Table1[Sales]), Table1[[#This Row],[Sales]], NA())</f>
        <v>#N/A</v>
      </c>
      <c r="V41">
        <v>8</v>
      </c>
      <c r="W41">
        <v>0</v>
      </c>
      <c r="X41">
        <v>6793.08</v>
      </c>
      <c r="Y41" s="3">
        <f>YEAR(Table1[[#This Row],[Order Date]])</f>
        <v>2025</v>
      </c>
      <c r="Z41" s="3" t="str">
        <f>TEXT(Table1[[#This Row],[Order Date]],"MMM")</f>
        <v>Jul</v>
      </c>
      <c r="AA41" s="3">
        <f>DAY(Table1[[#This Row],[Order Date]])</f>
        <v>31</v>
      </c>
    </row>
    <row r="42" spans="1:27" x14ac:dyDescent="0.35">
      <c r="A42" s="1">
        <v>41</v>
      </c>
      <c r="B42" s="1" t="s">
        <v>260</v>
      </c>
      <c r="C42" s="1" t="s">
        <v>261</v>
      </c>
      <c r="D42" s="1" t="s">
        <v>262</v>
      </c>
      <c r="E42" t="s">
        <v>62</v>
      </c>
      <c r="F42" t="s">
        <v>263</v>
      </c>
      <c r="G42" t="s">
        <v>75</v>
      </c>
      <c r="H42" t="s">
        <v>27</v>
      </c>
      <c r="I42" s="1" t="s">
        <v>28</v>
      </c>
      <c r="J42" t="s">
        <v>42</v>
      </c>
      <c r="K42" t="s">
        <v>43</v>
      </c>
      <c r="L42" s="1">
        <v>431548</v>
      </c>
      <c r="M42" s="1" t="s">
        <v>44</v>
      </c>
      <c r="N42" t="s">
        <v>264</v>
      </c>
      <c r="O42" t="s">
        <v>32</v>
      </c>
      <c r="P42" t="s">
        <v>33</v>
      </c>
      <c r="Q42" t="s">
        <v>34</v>
      </c>
      <c r="R42">
        <v>97999.94</v>
      </c>
      <c r="S42" s="25" t="e">
        <f>IF(Table1[[#This Row],[Sales]]=MIN(Table1[Sales]), Table1[[#This Row],[Sales]], NA())</f>
        <v>#N/A</v>
      </c>
      <c r="T42" s="25">
        <f>IF(AND(Table1[[#This Row],[Sales]]&lt;&gt;MIN(Table1[Sales]),Table1[[#This Row],[Sales]]&lt;&gt;MAX(Table1[Sales])), Table1[[#This Row],[Sales]], NA())</f>
        <v>97999.94</v>
      </c>
      <c r="U42" s="25" t="e">
        <f>IF(Table1[[#This Row],[Sales]]=MAX(Table1[Sales]), Table1[[#This Row],[Sales]], NA())</f>
        <v>#N/A</v>
      </c>
      <c r="V42">
        <v>10</v>
      </c>
      <c r="W42">
        <v>0</v>
      </c>
      <c r="X42">
        <v>7840</v>
      </c>
      <c r="Y42" s="3">
        <f>YEAR(Table1[[#This Row],[Order Date]])</f>
        <v>2022</v>
      </c>
      <c r="Z42" s="3" t="str">
        <f>TEXT(Table1[[#This Row],[Order Date]],"MMM")</f>
        <v>Aug</v>
      </c>
      <c r="AA42" s="3">
        <f>DAY(Table1[[#This Row],[Order Date]])</f>
        <v>18</v>
      </c>
    </row>
    <row r="43" spans="1:27" x14ac:dyDescent="0.35">
      <c r="A43" s="1">
        <v>42</v>
      </c>
      <c r="B43" s="1" t="s">
        <v>265</v>
      </c>
      <c r="C43" s="1" t="s">
        <v>266</v>
      </c>
      <c r="D43" s="1" t="s">
        <v>267</v>
      </c>
      <c r="E43" t="s">
        <v>38</v>
      </c>
      <c r="F43" t="s">
        <v>268</v>
      </c>
      <c r="G43" t="s">
        <v>81</v>
      </c>
      <c r="H43" t="s">
        <v>41</v>
      </c>
      <c r="I43" s="1" t="s">
        <v>28</v>
      </c>
      <c r="J43" t="s">
        <v>128</v>
      </c>
      <c r="K43" t="s">
        <v>129</v>
      </c>
      <c r="L43" s="1">
        <v>210494</v>
      </c>
      <c r="M43" s="1" t="s">
        <v>66</v>
      </c>
      <c r="N43" t="s">
        <v>269</v>
      </c>
      <c r="O43" t="s">
        <v>32</v>
      </c>
      <c r="P43" t="s">
        <v>33</v>
      </c>
      <c r="Q43" t="s">
        <v>34</v>
      </c>
      <c r="R43">
        <v>3749.48</v>
      </c>
      <c r="S43" s="25" t="e">
        <f>IF(Table1[[#This Row],[Sales]]=MIN(Table1[Sales]), Table1[[#This Row],[Sales]], NA())</f>
        <v>#N/A</v>
      </c>
      <c r="T43" s="25">
        <f>IF(AND(Table1[[#This Row],[Sales]]&lt;&gt;MIN(Table1[Sales]),Table1[[#This Row],[Sales]]&lt;&gt;MAX(Table1[Sales])), Table1[[#This Row],[Sales]], NA())</f>
        <v>3749.48</v>
      </c>
      <c r="U43" s="25" t="e">
        <f>IF(Table1[[#This Row],[Sales]]=MAX(Table1[Sales]), Table1[[#This Row],[Sales]], NA())</f>
        <v>#N/A</v>
      </c>
      <c r="V43">
        <v>4</v>
      </c>
      <c r="W43">
        <v>0</v>
      </c>
      <c r="X43">
        <v>299.95999999999998</v>
      </c>
      <c r="Y43" s="3">
        <f>YEAR(Table1[[#This Row],[Order Date]])</f>
        <v>2022</v>
      </c>
      <c r="Z43" s="3" t="str">
        <f>TEXT(Table1[[#This Row],[Order Date]],"MMM")</f>
        <v>Sep</v>
      </c>
      <c r="AA43" s="3">
        <f>DAY(Table1[[#This Row],[Order Date]])</f>
        <v>1</v>
      </c>
    </row>
    <row r="44" spans="1:27" x14ac:dyDescent="0.35">
      <c r="A44" s="1">
        <v>43</v>
      </c>
      <c r="B44" s="1" t="s">
        <v>270</v>
      </c>
      <c r="C44" s="1" t="s">
        <v>271</v>
      </c>
      <c r="D44" s="1" t="s">
        <v>272</v>
      </c>
      <c r="E44" t="s">
        <v>24</v>
      </c>
      <c r="F44" t="s">
        <v>273</v>
      </c>
      <c r="G44" t="s">
        <v>110</v>
      </c>
      <c r="H44" t="s">
        <v>94</v>
      </c>
      <c r="I44" s="1" t="s">
        <v>28</v>
      </c>
      <c r="J44" t="s">
        <v>29</v>
      </c>
      <c r="K44" t="s">
        <v>29</v>
      </c>
      <c r="L44" s="1">
        <v>292843</v>
      </c>
      <c r="M44" s="1" t="s">
        <v>30</v>
      </c>
      <c r="N44" t="s">
        <v>274</v>
      </c>
      <c r="O44" t="s">
        <v>32</v>
      </c>
      <c r="P44" t="s">
        <v>33</v>
      </c>
      <c r="Q44" t="s">
        <v>34</v>
      </c>
      <c r="R44">
        <v>98115.68</v>
      </c>
      <c r="S44" s="25" t="e">
        <f>IF(Table1[[#This Row],[Sales]]=MIN(Table1[Sales]), Table1[[#This Row],[Sales]], NA())</f>
        <v>#N/A</v>
      </c>
      <c r="T44" s="25">
        <f>IF(AND(Table1[[#This Row],[Sales]]&lt;&gt;MIN(Table1[Sales]),Table1[[#This Row],[Sales]]&lt;&gt;MAX(Table1[Sales])), Table1[[#This Row],[Sales]], NA())</f>
        <v>98115.68</v>
      </c>
      <c r="U44" s="25" t="e">
        <f>IF(Table1[[#This Row],[Sales]]=MAX(Table1[Sales]), Table1[[#This Row],[Sales]], NA())</f>
        <v>#N/A</v>
      </c>
      <c r="V44">
        <v>10</v>
      </c>
      <c r="W44">
        <v>0</v>
      </c>
      <c r="X44">
        <v>7849.25</v>
      </c>
      <c r="Y44" s="3">
        <f>YEAR(Table1[[#This Row],[Order Date]])</f>
        <v>2025</v>
      </c>
      <c r="Z44" s="3" t="str">
        <f>TEXT(Table1[[#This Row],[Order Date]],"MMM")</f>
        <v>Oct</v>
      </c>
      <c r="AA44" s="3">
        <f>DAY(Table1[[#This Row],[Order Date]])</f>
        <v>29</v>
      </c>
    </row>
    <row r="45" spans="1:27" x14ac:dyDescent="0.35">
      <c r="A45" s="1">
        <v>44</v>
      </c>
      <c r="B45" s="1" t="s">
        <v>275</v>
      </c>
      <c r="C45" s="1" t="s">
        <v>276</v>
      </c>
      <c r="D45" s="1" t="s">
        <v>277</v>
      </c>
      <c r="E45" t="s">
        <v>24</v>
      </c>
      <c r="F45" t="s">
        <v>278</v>
      </c>
      <c r="G45" t="s">
        <v>81</v>
      </c>
      <c r="H45" t="s">
        <v>41</v>
      </c>
      <c r="I45" s="1" t="s">
        <v>28</v>
      </c>
      <c r="J45" t="s">
        <v>29</v>
      </c>
      <c r="K45" t="s">
        <v>29</v>
      </c>
      <c r="L45" s="1">
        <v>614719</v>
      </c>
      <c r="M45" s="1" t="s">
        <v>30</v>
      </c>
      <c r="N45" t="s">
        <v>279</v>
      </c>
      <c r="O45" t="s">
        <v>46</v>
      </c>
      <c r="P45" t="s">
        <v>47</v>
      </c>
      <c r="Q45" t="s">
        <v>48</v>
      </c>
      <c r="R45">
        <v>26210.93</v>
      </c>
      <c r="S45" s="25" t="e">
        <f>IF(Table1[[#This Row],[Sales]]=MIN(Table1[Sales]), Table1[[#This Row],[Sales]], NA())</f>
        <v>#N/A</v>
      </c>
      <c r="T45" s="25">
        <f>IF(AND(Table1[[#This Row],[Sales]]&lt;&gt;MIN(Table1[Sales]),Table1[[#This Row],[Sales]]&lt;&gt;MAX(Table1[Sales])), Table1[[#This Row],[Sales]], NA())</f>
        <v>26210.93</v>
      </c>
      <c r="U45" s="25" t="e">
        <f>IF(Table1[[#This Row],[Sales]]=MAX(Table1[Sales]), Table1[[#This Row],[Sales]], NA())</f>
        <v>#N/A</v>
      </c>
      <c r="V45">
        <v>6</v>
      </c>
      <c r="W45">
        <v>0.2</v>
      </c>
      <c r="X45">
        <v>786.33</v>
      </c>
      <c r="Y45" s="3">
        <f>YEAR(Table1[[#This Row],[Order Date]])</f>
        <v>2023</v>
      </c>
      <c r="Z45" s="3" t="str">
        <f>TEXT(Table1[[#This Row],[Order Date]],"MMM")</f>
        <v>Nov</v>
      </c>
      <c r="AA45" s="3">
        <f>DAY(Table1[[#This Row],[Order Date]])</f>
        <v>24</v>
      </c>
    </row>
    <row r="46" spans="1:27" x14ac:dyDescent="0.35">
      <c r="A46" s="1">
        <v>45</v>
      </c>
      <c r="B46" s="1" t="s">
        <v>280</v>
      </c>
      <c r="C46" s="1" t="s">
        <v>281</v>
      </c>
      <c r="D46" s="1" t="s">
        <v>185</v>
      </c>
      <c r="E46" t="s">
        <v>115</v>
      </c>
      <c r="F46" t="s">
        <v>282</v>
      </c>
      <c r="G46" t="s">
        <v>81</v>
      </c>
      <c r="H46" t="s">
        <v>41</v>
      </c>
      <c r="I46" s="1" t="s">
        <v>28</v>
      </c>
      <c r="J46" t="s">
        <v>42</v>
      </c>
      <c r="K46" t="s">
        <v>43</v>
      </c>
      <c r="L46" s="1">
        <v>354445</v>
      </c>
      <c r="M46" s="1" t="s">
        <v>44</v>
      </c>
      <c r="N46" t="s">
        <v>283</v>
      </c>
      <c r="O46" t="s">
        <v>46</v>
      </c>
      <c r="P46" t="s">
        <v>57</v>
      </c>
      <c r="Q46" t="s">
        <v>58</v>
      </c>
      <c r="R46">
        <v>41541.699999999997</v>
      </c>
      <c r="S46" s="25" t="e">
        <f>IF(Table1[[#This Row],[Sales]]=MIN(Table1[Sales]), Table1[[#This Row],[Sales]], NA())</f>
        <v>#N/A</v>
      </c>
      <c r="T46" s="25">
        <f>IF(AND(Table1[[#This Row],[Sales]]&lt;&gt;MIN(Table1[Sales]),Table1[[#This Row],[Sales]]&lt;&gt;MAX(Table1[Sales])), Table1[[#This Row],[Sales]], NA())</f>
        <v>41541.699999999997</v>
      </c>
      <c r="U46" s="25" t="e">
        <f>IF(Table1[[#This Row],[Sales]]=MAX(Table1[Sales]), Table1[[#This Row],[Sales]], NA())</f>
        <v>#N/A</v>
      </c>
      <c r="V46">
        <v>8</v>
      </c>
      <c r="W46">
        <v>0.3</v>
      </c>
      <c r="X46">
        <v>207.71</v>
      </c>
      <c r="Y46" s="3">
        <f>YEAR(Table1[[#This Row],[Order Date]])</f>
        <v>2022</v>
      </c>
      <c r="Z46" s="3" t="str">
        <f>TEXT(Table1[[#This Row],[Order Date]],"MMM")</f>
        <v>Feb</v>
      </c>
      <c r="AA46" s="3">
        <f>DAY(Table1[[#This Row],[Order Date]])</f>
        <v>2</v>
      </c>
    </row>
    <row r="47" spans="1:27" x14ac:dyDescent="0.35">
      <c r="A47" s="1">
        <v>46</v>
      </c>
      <c r="B47" s="1" t="s">
        <v>284</v>
      </c>
      <c r="C47" s="1" t="s">
        <v>285</v>
      </c>
      <c r="D47" s="1" t="s">
        <v>286</v>
      </c>
      <c r="E47" t="s">
        <v>38</v>
      </c>
      <c r="F47" t="s">
        <v>287</v>
      </c>
      <c r="G47" t="s">
        <v>26</v>
      </c>
      <c r="H47" t="s">
        <v>94</v>
      </c>
      <c r="I47" s="1" t="s">
        <v>28</v>
      </c>
      <c r="J47" t="s">
        <v>29</v>
      </c>
      <c r="K47" t="s">
        <v>29</v>
      </c>
      <c r="L47" s="1">
        <v>721214</v>
      </c>
      <c r="M47" s="1" t="s">
        <v>30</v>
      </c>
      <c r="N47" t="s">
        <v>288</v>
      </c>
      <c r="O47" t="s">
        <v>32</v>
      </c>
      <c r="P47" t="s">
        <v>33</v>
      </c>
      <c r="Q47" t="s">
        <v>34</v>
      </c>
      <c r="R47">
        <v>30256.55</v>
      </c>
      <c r="S47" s="25" t="e">
        <f>IF(Table1[[#This Row],[Sales]]=MIN(Table1[Sales]), Table1[[#This Row],[Sales]], NA())</f>
        <v>#N/A</v>
      </c>
      <c r="T47" s="25">
        <f>IF(AND(Table1[[#This Row],[Sales]]&lt;&gt;MIN(Table1[Sales]),Table1[[#This Row],[Sales]]&lt;&gt;MAX(Table1[Sales])), Table1[[#This Row],[Sales]], NA())</f>
        <v>30256.55</v>
      </c>
      <c r="U47" s="25" t="e">
        <f>IF(Table1[[#This Row],[Sales]]=MAX(Table1[Sales]), Table1[[#This Row],[Sales]], NA())</f>
        <v>#N/A</v>
      </c>
      <c r="V47">
        <v>1</v>
      </c>
      <c r="W47">
        <v>0.1</v>
      </c>
      <c r="X47">
        <v>1664.11</v>
      </c>
      <c r="Y47" s="3">
        <f>YEAR(Table1[[#This Row],[Order Date]])</f>
        <v>2025</v>
      </c>
      <c r="Z47" s="3" t="str">
        <f>TEXT(Table1[[#This Row],[Order Date]],"MMM")</f>
        <v>Oct</v>
      </c>
      <c r="AA47" s="3">
        <f>DAY(Table1[[#This Row],[Order Date]])</f>
        <v>10</v>
      </c>
    </row>
    <row r="48" spans="1:27" x14ac:dyDescent="0.35">
      <c r="A48" s="1">
        <v>47</v>
      </c>
      <c r="B48" s="1" t="s">
        <v>289</v>
      </c>
      <c r="C48" s="1" t="s">
        <v>290</v>
      </c>
      <c r="D48" s="1" t="s">
        <v>291</v>
      </c>
      <c r="E48" t="s">
        <v>115</v>
      </c>
      <c r="F48" t="s">
        <v>292</v>
      </c>
      <c r="G48" t="s">
        <v>81</v>
      </c>
      <c r="H48" t="s">
        <v>41</v>
      </c>
      <c r="I48" s="1" t="s">
        <v>28</v>
      </c>
      <c r="J48" t="s">
        <v>128</v>
      </c>
      <c r="K48" t="s">
        <v>129</v>
      </c>
      <c r="L48" s="1">
        <v>391948</v>
      </c>
      <c r="M48" s="1" t="s">
        <v>66</v>
      </c>
      <c r="N48" t="s">
        <v>293</v>
      </c>
      <c r="O48" t="s">
        <v>68</v>
      </c>
      <c r="P48" t="s">
        <v>69</v>
      </c>
      <c r="Q48" t="s">
        <v>70</v>
      </c>
      <c r="R48">
        <v>86970.95</v>
      </c>
      <c r="S48" s="25" t="e">
        <f>IF(Table1[[#This Row],[Sales]]=MIN(Table1[Sales]), Table1[[#This Row],[Sales]], NA())</f>
        <v>#N/A</v>
      </c>
      <c r="T48" s="25">
        <f>IF(AND(Table1[[#This Row],[Sales]]&lt;&gt;MIN(Table1[Sales]),Table1[[#This Row],[Sales]]&lt;&gt;MAX(Table1[Sales])), Table1[[#This Row],[Sales]], NA())</f>
        <v>86970.95</v>
      </c>
      <c r="U48" s="25" t="e">
        <f>IF(Table1[[#This Row],[Sales]]=MAX(Table1[Sales]), Table1[[#This Row],[Sales]], NA())</f>
        <v>#N/A</v>
      </c>
      <c r="V48">
        <v>8</v>
      </c>
      <c r="W48">
        <v>0.2</v>
      </c>
      <c r="X48">
        <v>2609.13</v>
      </c>
      <c r="Y48" s="3">
        <f>YEAR(Table1[[#This Row],[Order Date]])</f>
        <v>2024</v>
      </c>
      <c r="Z48" s="3" t="str">
        <f>TEXT(Table1[[#This Row],[Order Date]],"MMM")</f>
        <v>May</v>
      </c>
      <c r="AA48" s="3">
        <f>DAY(Table1[[#This Row],[Order Date]])</f>
        <v>29</v>
      </c>
    </row>
    <row r="49" spans="1:27" x14ac:dyDescent="0.35">
      <c r="A49" s="1">
        <v>48</v>
      </c>
      <c r="B49" s="1" t="s">
        <v>294</v>
      </c>
      <c r="C49" s="1" t="s">
        <v>295</v>
      </c>
      <c r="D49" s="1" t="s">
        <v>296</v>
      </c>
      <c r="E49" t="s">
        <v>38</v>
      </c>
      <c r="F49" t="s">
        <v>297</v>
      </c>
      <c r="G49" t="s">
        <v>110</v>
      </c>
      <c r="H49" t="s">
        <v>41</v>
      </c>
      <c r="I49" s="1" t="s">
        <v>28</v>
      </c>
      <c r="J49" t="s">
        <v>128</v>
      </c>
      <c r="K49" t="s">
        <v>129</v>
      </c>
      <c r="L49" s="1">
        <v>665576</v>
      </c>
      <c r="M49" s="1" t="s">
        <v>66</v>
      </c>
      <c r="N49" t="s">
        <v>298</v>
      </c>
      <c r="O49" t="s">
        <v>32</v>
      </c>
      <c r="P49" t="s">
        <v>33</v>
      </c>
      <c r="Q49" t="s">
        <v>34</v>
      </c>
      <c r="R49">
        <v>84624.94</v>
      </c>
      <c r="S49" s="25" t="e">
        <f>IF(Table1[[#This Row],[Sales]]=MIN(Table1[Sales]), Table1[[#This Row],[Sales]], NA())</f>
        <v>#N/A</v>
      </c>
      <c r="T49" s="25">
        <f>IF(AND(Table1[[#This Row],[Sales]]&lt;&gt;MIN(Table1[Sales]),Table1[[#This Row],[Sales]]&lt;&gt;MAX(Table1[Sales])), Table1[[#This Row],[Sales]], NA())</f>
        <v>84624.94</v>
      </c>
      <c r="U49" s="25" t="e">
        <f>IF(Table1[[#This Row],[Sales]]=MAX(Table1[Sales]), Table1[[#This Row],[Sales]], NA())</f>
        <v>#N/A</v>
      </c>
      <c r="V49">
        <v>9</v>
      </c>
      <c r="W49">
        <v>0</v>
      </c>
      <c r="X49">
        <v>6770</v>
      </c>
      <c r="Y49" s="3">
        <f>YEAR(Table1[[#This Row],[Order Date]])</f>
        <v>2024</v>
      </c>
      <c r="Z49" s="3" t="str">
        <f>TEXT(Table1[[#This Row],[Order Date]],"MMM")</f>
        <v>Jan</v>
      </c>
      <c r="AA49" s="3">
        <f>DAY(Table1[[#This Row],[Order Date]])</f>
        <v>11</v>
      </c>
    </row>
    <row r="50" spans="1:27" x14ac:dyDescent="0.35">
      <c r="A50" s="1">
        <v>49</v>
      </c>
      <c r="B50" s="1" t="s">
        <v>299</v>
      </c>
      <c r="C50" s="1" t="s">
        <v>300</v>
      </c>
      <c r="D50" s="1" t="s">
        <v>301</v>
      </c>
      <c r="E50" t="s">
        <v>115</v>
      </c>
      <c r="F50" t="s">
        <v>302</v>
      </c>
      <c r="G50" t="s">
        <v>87</v>
      </c>
      <c r="H50" t="s">
        <v>27</v>
      </c>
      <c r="I50" s="1" t="s">
        <v>28</v>
      </c>
      <c r="J50" t="s">
        <v>64</v>
      </c>
      <c r="K50" t="s">
        <v>65</v>
      </c>
      <c r="L50" s="1">
        <v>662572</v>
      </c>
      <c r="M50" s="1" t="s">
        <v>66</v>
      </c>
      <c r="N50" t="s">
        <v>303</v>
      </c>
      <c r="O50" t="s">
        <v>68</v>
      </c>
      <c r="P50" t="s">
        <v>69</v>
      </c>
      <c r="Q50" t="s">
        <v>70</v>
      </c>
      <c r="R50">
        <v>23652.49</v>
      </c>
      <c r="S50" s="25" t="e">
        <f>IF(Table1[[#This Row],[Sales]]=MIN(Table1[Sales]), Table1[[#This Row],[Sales]], NA())</f>
        <v>#N/A</v>
      </c>
      <c r="T50" s="25">
        <f>IF(AND(Table1[[#This Row],[Sales]]&lt;&gt;MIN(Table1[Sales]),Table1[[#This Row],[Sales]]&lt;&gt;MAX(Table1[Sales])), Table1[[#This Row],[Sales]], NA())</f>
        <v>23652.49</v>
      </c>
      <c r="U50" s="25" t="e">
        <f>IF(Table1[[#This Row],[Sales]]=MAX(Table1[Sales]), Table1[[#This Row],[Sales]], NA())</f>
        <v>#N/A</v>
      </c>
      <c r="V50">
        <v>3</v>
      </c>
      <c r="W50">
        <v>0.1</v>
      </c>
      <c r="X50">
        <v>1300.8900000000001</v>
      </c>
      <c r="Y50" s="3">
        <f>YEAR(Table1[[#This Row],[Order Date]])</f>
        <v>2023</v>
      </c>
      <c r="Z50" s="3" t="str">
        <f>TEXT(Table1[[#This Row],[Order Date]],"MMM")</f>
        <v>Mar</v>
      </c>
      <c r="AA50" s="3">
        <f>DAY(Table1[[#This Row],[Order Date]])</f>
        <v>26</v>
      </c>
    </row>
    <row r="51" spans="1:27" x14ac:dyDescent="0.35">
      <c r="A51" s="1">
        <v>50</v>
      </c>
      <c r="B51" s="1" t="s">
        <v>304</v>
      </c>
      <c r="C51" s="1" t="s">
        <v>305</v>
      </c>
      <c r="D51" s="1" t="s">
        <v>306</v>
      </c>
      <c r="E51" t="s">
        <v>24</v>
      </c>
      <c r="F51" t="s">
        <v>307</v>
      </c>
      <c r="G51" t="s">
        <v>110</v>
      </c>
      <c r="H51" t="s">
        <v>27</v>
      </c>
      <c r="I51" s="1" t="s">
        <v>28</v>
      </c>
      <c r="J51" t="s">
        <v>42</v>
      </c>
      <c r="K51" t="s">
        <v>43</v>
      </c>
      <c r="L51" s="1">
        <v>263379</v>
      </c>
      <c r="M51" s="1" t="s">
        <v>44</v>
      </c>
      <c r="N51" t="s">
        <v>308</v>
      </c>
      <c r="O51" t="s">
        <v>46</v>
      </c>
      <c r="P51" t="s">
        <v>57</v>
      </c>
      <c r="Q51" t="s">
        <v>58</v>
      </c>
      <c r="R51">
        <v>23984.97</v>
      </c>
      <c r="S51" s="25" t="e">
        <f>IF(Table1[[#This Row],[Sales]]=MIN(Table1[Sales]), Table1[[#This Row],[Sales]], NA())</f>
        <v>#N/A</v>
      </c>
      <c r="T51" s="25">
        <f>IF(AND(Table1[[#This Row],[Sales]]&lt;&gt;MIN(Table1[Sales]),Table1[[#This Row],[Sales]]&lt;&gt;MAX(Table1[Sales])), Table1[[#This Row],[Sales]], NA())</f>
        <v>23984.97</v>
      </c>
      <c r="U51" s="25" t="e">
        <f>IF(Table1[[#This Row],[Sales]]=MAX(Table1[Sales]), Table1[[#This Row],[Sales]], NA())</f>
        <v>#N/A</v>
      </c>
      <c r="V51">
        <v>1</v>
      </c>
      <c r="W51">
        <v>0.2</v>
      </c>
      <c r="X51">
        <v>719.55</v>
      </c>
      <c r="Y51" s="3">
        <f>YEAR(Table1[[#This Row],[Order Date]])</f>
        <v>2024</v>
      </c>
      <c r="Z51" s="3" t="str">
        <f>TEXT(Table1[[#This Row],[Order Date]],"MMM")</f>
        <v>Dec</v>
      </c>
      <c r="AA51" s="3">
        <f>DAY(Table1[[#This Row],[Order Date]])</f>
        <v>2</v>
      </c>
    </row>
    <row r="52" spans="1:27" x14ac:dyDescent="0.35">
      <c r="A52" s="1">
        <v>51</v>
      </c>
      <c r="B52" s="1" t="s">
        <v>309</v>
      </c>
      <c r="C52" s="1" t="s">
        <v>310</v>
      </c>
      <c r="D52" s="1" t="s">
        <v>311</v>
      </c>
      <c r="E52" t="s">
        <v>115</v>
      </c>
      <c r="F52" t="s">
        <v>312</v>
      </c>
      <c r="G52" t="s">
        <v>188</v>
      </c>
      <c r="H52" t="s">
        <v>27</v>
      </c>
      <c r="I52" s="1" t="s">
        <v>28</v>
      </c>
      <c r="J52" t="s">
        <v>128</v>
      </c>
      <c r="K52" t="s">
        <v>129</v>
      </c>
      <c r="L52" s="1">
        <v>451019</v>
      </c>
      <c r="M52" s="1" t="s">
        <v>66</v>
      </c>
      <c r="N52" t="s">
        <v>313</v>
      </c>
      <c r="O52" t="s">
        <v>68</v>
      </c>
      <c r="P52" t="s">
        <v>69</v>
      </c>
      <c r="Q52" t="s">
        <v>70</v>
      </c>
      <c r="R52">
        <v>49532.99</v>
      </c>
      <c r="S52" s="25" t="e">
        <f>IF(Table1[[#This Row],[Sales]]=MIN(Table1[Sales]), Table1[[#This Row],[Sales]], NA())</f>
        <v>#N/A</v>
      </c>
      <c r="T52" s="25">
        <f>IF(AND(Table1[[#This Row],[Sales]]&lt;&gt;MIN(Table1[Sales]),Table1[[#This Row],[Sales]]&lt;&gt;MAX(Table1[Sales])), Table1[[#This Row],[Sales]], NA())</f>
        <v>49532.99</v>
      </c>
      <c r="U52" s="25" t="e">
        <f>IF(Table1[[#This Row],[Sales]]=MAX(Table1[Sales]), Table1[[#This Row],[Sales]], NA())</f>
        <v>#N/A</v>
      </c>
      <c r="V52">
        <v>10</v>
      </c>
      <c r="W52">
        <v>0.2</v>
      </c>
      <c r="X52">
        <v>1485.99</v>
      </c>
      <c r="Y52" s="3">
        <f>YEAR(Table1[[#This Row],[Order Date]])</f>
        <v>2021</v>
      </c>
      <c r="Z52" s="3" t="str">
        <f>TEXT(Table1[[#This Row],[Order Date]],"MMM")</f>
        <v>Mar</v>
      </c>
      <c r="AA52" s="3">
        <f>DAY(Table1[[#This Row],[Order Date]])</f>
        <v>8</v>
      </c>
    </row>
    <row r="53" spans="1:27" x14ac:dyDescent="0.35">
      <c r="A53" s="1">
        <v>52</v>
      </c>
      <c r="B53" s="1" t="s">
        <v>314</v>
      </c>
      <c r="C53" s="1" t="s">
        <v>315</v>
      </c>
      <c r="D53" s="1" t="s">
        <v>316</v>
      </c>
      <c r="E53" t="s">
        <v>62</v>
      </c>
      <c r="F53" t="s">
        <v>317</v>
      </c>
      <c r="G53" t="s">
        <v>40</v>
      </c>
      <c r="H53" t="s">
        <v>27</v>
      </c>
      <c r="I53" s="1" t="s">
        <v>28</v>
      </c>
      <c r="J53" t="s">
        <v>128</v>
      </c>
      <c r="K53" t="s">
        <v>129</v>
      </c>
      <c r="L53" s="1">
        <v>420238</v>
      </c>
      <c r="M53" s="1" t="s">
        <v>66</v>
      </c>
      <c r="N53" t="s">
        <v>318</v>
      </c>
      <c r="O53" t="s">
        <v>68</v>
      </c>
      <c r="P53" t="s">
        <v>69</v>
      </c>
      <c r="Q53" t="s">
        <v>70</v>
      </c>
      <c r="R53">
        <v>5223.5600000000004</v>
      </c>
      <c r="S53" s="25" t="e">
        <f>IF(Table1[[#This Row],[Sales]]=MIN(Table1[Sales]), Table1[[#This Row],[Sales]], NA())</f>
        <v>#N/A</v>
      </c>
      <c r="T53" s="25">
        <f>IF(AND(Table1[[#This Row],[Sales]]&lt;&gt;MIN(Table1[Sales]),Table1[[#This Row],[Sales]]&lt;&gt;MAX(Table1[Sales])), Table1[[#This Row],[Sales]], NA())</f>
        <v>5223.5600000000004</v>
      </c>
      <c r="U53" s="25" t="e">
        <f>IF(Table1[[#This Row],[Sales]]=MAX(Table1[Sales]), Table1[[#This Row],[Sales]], NA())</f>
        <v>#N/A</v>
      </c>
      <c r="V53">
        <v>6</v>
      </c>
      <c r="W53">
        <v>0.1</v>
      </c>
      <c r="X53">
        <v>287.3</v>
      </c>
      <c r="Y53" s="3">
        <f>YEAR(Table1[[#This Row],[Order Date]])</f>
        <v>2024</v>
      </c>
      <c r="Z53" s="3" t="str">
        <f>TEXT(Table1[[#This Row],[Order Date]],"MMM")</f>
        <v>Jan</v>
      </c>
      <c r="AA53" s="3">
        <f>DAY(Table1[[#This Row],[Order Date]])</f>
        <v>27</v>
      </c>
    </row>
    <row r="54" spans="1:27" x14ac:dyDescent="0.35">
      <c r="A54" s="1">
        <v>53</v>
      </c>
      <c r="B54" s="1" t="s">
        <v>319</v>
      </c>
      <c r="C54" s="1" t="s">
        <v>320</v>
      </c>
      <c r="D54" s="1" t="s">
        <v>321</v>
      </c>
      <c r="E54" t="s">
        <v>115</v>
      </c>
      <c r="F54" t="s">
        <v>322</v>
      </c>
      <c r="G54" t="s">
        <v>93</v>
      </c>
      <c r="H54" t="s">
        <v>27</v>
      </c>
      <c r="I54" s="1" t="s">
        <v>28</v>
      </c>
      <c r="J54" t="s">
        <v>53</v>
      </c>
      <c r="K54" t="s">
        <v>54</v>
      </c>
      <c r="L54" s="1">
        <v>935222</v>
      </c>
      <c r="M54" s="1" t="s">
        <v>55</v>
      </c>
      <c r="N54" t="s">
        <v>323</v>
      </c>
      <c r="O54" t="s">
        <v>46</v>
      </c>
      <c r="P54" t="s">
        <v>47</v>
      </c>
      <c r="Q54" t="s">
        <v>48</v>
      </c>
      <c r="R54">
        <v>50727.040000000001</v>
      </c>
      <c r="S54" s="25" t="e">
        <f>IF(Table1[[#This Row],[Sales]]=MIN(Table1[Sales]), Table1[[#This Row],[Sales]], NA())</f>
        <v>#N/A</v>
      </c>
      <c r="T54" s="25">
        <f>IF(AND(Table1[[#This Row],[Sales]]&lt;&gt;MIN(Table1[Sales]),Table1[[#This Row],[Sales]]&lt;&gt;MAX(Table1[Sales])), Table1[[#This Row],[Sales]], NA())</f>
        <v>50727.040000000001</v>
      </c>
      <c r="U54" s="25" t="e">
        <f>IF(Table1[[#This Row],[Sales]]=MAX(Table1[Sales]), Table1[[#This Row],[Sales]], NA())</f>
        <v>#N/A</v>
      </c>
      <c r="V54">
        <v>10</v>
      </c>
      <c r="W54">
        <v>0</v>
      </c>
      <c r="X54">
        <v>4058.16</v>
      </c>
      <c r="Y54" s="3">
        <f>YEAR(Table1[[#This Row],[Order Date]])</f>
        <v>2024</v>
      </c>
      <c r="Z54" s="3" t="str">
        <f>TEXT(Table1[[#This Row],[Order Date]],"MMM")</f>
        <v>Feb</v>
      </c>
      <c r="AA54" s="3">
        <f>DAY(Table1[[#This Row],[Order Date]])</f>
        <v>23</v>
      </c>
    </row>
    <row r="55" spans="1:27" x14ac:dyDescent="0.35">
      <c r="A55" s="1">
        <v>54</v>
      </c>
      <c r="B55" s="1" t="s">
        <v>324</v>
      </c>
      <c r="C55" s="1" t="s">
        <v>325</v>
      </c>
      <c r="D55" s="1" t="s">
        <v>326</v>
      </c>
      <c r="E55" t="s">
        <v>38</v>
      </c>
      <c r="F55" t="s">
        <v>327</v>
      </c>
      <c r="G55" t="s">
        <v>140</v>
      </c>
      <c r="H55" t="s">
        <v>94</v>
      </c>
      <c r="I55" s="1" t="s">
        <v>28</v>
      </c>
      <c r="J55" t="s">
        <v>29</v>
      </c>
      <c r="K55" t="s">
        <v>29</v>
      </c>
      <c r="L55" s="1">
        <v>271135</v>
      </c>
      <c r="M55" s="1" t="s">
        <v>30</v>
      </c>
      <c r="N55" t="s">
        <v>328</v>
      </c>
      <c r="O55" t="s">
        <v>32</v>
      </c>
      <c r="P55" t="s">
        <v>33</v>
      </c>
      <c r="Q55" t="s">
        <v>34</v>
      </c>
      <c r="R55">
        <v>52048.03</v>
      </c>
      <c r="S55" s="25" t="e">
        <f>IF(Table1[[#This Row],[Sales]]=MIN(Table1[Sales]), Table1[[#This Row],[Sales]], NA())</f>
        <v>#N/A</v>
      </c>
      <c r="T55" s="25">
        <f>IF(AND(Table1[[#This Row],[Sales]]&lt;&gt;MIN(Table1[Sales]),Table1[[#This Row],[Sales]]&lt;&gt;MAX(Table1[Sales])), Table1[[#This Row],[Sales]], NA())</f>
        <v>52048.03</v>
      </c>
      <c r="U55" s="25" t="e">
        <f>IF(Table1[[#This Row],[Sales]]=MAX(Table1[Sales]), Table1[[#This Row],[Sales]], NA())</f>
        <v>#N/A</v>
      </c>
      <c r="V55">
        <v>1</v>
      </c>
      <c r="W55">
        <v>0</v>
      </c>
      <c r="X55">
        <v>4163.84</v>
      </c>
      <c r="Y55" s="3">
        <f>YEAR(Table1[[#This Row],[Order Date]])</f>
        <v>2024</v>
      </c>
      <c r="Z55" s="3" t="str">
        <f>TEXT(Table1[[#This Row],[Order Date]],"MMM")</f>
        <v>May</v>
      </c>
      <c r="AA55" s="3">
        <f>DAY(Table1[[#This Row],[Order Date]])</f>
        <v>8</v>
      </c>
    </row>
    <row r="56" spans="1:27" x14ac:dyDescent="0.35">
      <c r="A56" s="1">
        <v>55</v>
      </c>
      <c r="B56" s="1" t="s">
        <v>329</v>
      </c>
      <c r="C56" s="1" t="s">
        <v>330</v>
      </c>
      <c r="D56" s="1" t="s">
        <v>331</v>
      </c>
      <c r="E56" t="s">
        <v>115</v>
      </c>
      <c r="F56" t="s">
        <v>332</v>
      </c>
      <c r="G56" t="s">
        <v>87</v>
      </c>
      <c r="H56" t="s">
        <v>27</v>
      </c>
      <c r="I56" s="1" t="s">
        <v>28</v>
      </c>
      <c r="J56" t="s">
        <v>128</v>
      </c>
      <c r="K56" t="s">
        <v>129</v>
      </c>
      <c r="L56" s="1">
        <v>931983</v>
      </c>
      <c r="M56" s="1" t="s">
        <v>66</v>
      </c>
      <c r="N56" t="s">
        <v>333</v>
      </c>
      <c r="O56" t="s">
        <v>46</v>
      </c>
      <c r="P56" t="s">
        <v>47</v>
      </c>
      <c r="Q56" t="s">
        <v>48</v>
      </c>
      <c r="R56">
        <v>72337.289999999994</v>
      </c>
      <c r="S56" s="25" t="e">
        <f>IF(Table1[[#This Row],[Sales]]=MIN(Table1[Sales]), Table1[[#This Row],[Sales]], NA())</f>
        <v>#N/A</v>
      </c>
      <c r="T56" s="25">
        <f>IF(AND(Table1[[#This Row],[Sales]]&lt;&gt;MIN(Table1[Sales]),Table1[[#This Row],[Sales]]&lt;&gt;MAX(Table1[Sales])), Table1[[#This Row],[Sales]], NA())</f>
        <v>72337.289999999994</v>
      </c>
      <c r="U56" s="25" t="e">
        <f>IF(Table1[[#This Row],[Sales]]=MAX(Table1[Sales]), Table1[[#This Row],[Sales]], NA())</f>
        <v>#N/A</v>
      </c>
      <c r="V56">
        <v>10</v>
      </c>
      <c r="W56">
        <v>0</v>
      </c>
      <c r="X56">
        <v>5786.98</v>
      </c>
      <c r="Y56" s="3">
        <f>YEAR(Table1[[#This Row],[Order Date]])</f>
        <v>2024</v>
      </c>
      <c r="Z56" s="3" t="str">
        <f>TEXT(Table1[[#This Row],[Order Date]],"MMM")</f>
        <v>Sep</v>
      </c>
      <c r="AA56" s="3">
        <f>DAY(Table1[[#This Row],[Order Date]])</f>
        <v>14</v>
      </c>
    </row>
    <row r="57" spans="1:27" x14ac:dyDescent="0.35">
      <c r="A57" s="1">
        <v>56</v>
      </c>
      <c r="B57" s="1" t="s">
        <v>334</v>
      </c>
      <c r="C57" s="1" t="s">
        <v>335</v>
      </c>
      <c r="D57" s="1" t="s">
        <v>336</v>
      </c>
      <c r="E57" t="s">
        <v>38</v>
      </c>
      <c r="F57" t="s">
        <v>337</v>
      </c>
      <c r="G57" t="s">
        <v>81</v>
      </c>
      <c r="H57" t="s">
        <v>94</v>
      </c>
      <c r="I57" s="1" t="s">
        <v>28</v>
      </c>
      <c r="J57" t="s">
        <v>29</v>
      </c>
      <c r="K57" t="s">
        <v>29</v>
      </c>
      <c r="L57" s="1">
        <v>540057</v>
      </c>
      <c r="M57" s="1" t="s">
        <v>30</v>
      </c>
      <c r="N57" t="s">
        <v>338</v>
      </c>
      <c r="O57" t="s">
        <v>32</v>
      </c>
      <c r="P57" t="s">
        <v>33</v>
      </c>
      <c r="Q57" t="s">
        <v>34</v>
      </c>
      <c r="R57">
        <v>67868.2</v>
      </c>
      <c r="S57" s="25" t="e">
        <f>IF(Table1[[#This Row],[Sales]]=MIN(Table1[Sales]), Table1[[#This Row],[Sales]], NA())</f>
        <v>#N/A</v>
      </c>
      <c r="T57" s="25">
        <f>IF(AND(Table1[[#This Row],[Sales]]&lt;&gt;MIN(Table1[Sales]),Table1[[#This Row],[Sales]]&lt;&gt;MAX(Table1[Sales])), Table1[[#This Row],[Sales]], NA())</f>
        <v>67868.2</v>
      </c>
      <c r="U57" s="25" t="e">
        <f>IF(Table1[[#This Row],[Sales]]=MAX(Table1[Sales]), Table1[[#This Row],[Sales]], NA())</f>
        <v>#N/A</v>
      </c>
      <c r="V57">
        <v>5</v>
      </c>
      <c r="W57">
        <v>0.2</v>
      </c>
      <c r="X57">
        <v>2036.05</v>
      </c>
      <c r="Y57" s="3">
        <f>YEAR(Table1[[#This Row],[Order Date]])</f>
        <v>2022</v>
      </c>
      <c r="Z57" s="3" t="str">
        <f>TEXT(Table1[[#This Row],[Order Date]],"MMM")</f>
        <v>Aug</v>
      </c>
      <c r="AA57" s="3">
        <f>DAY(Table1[[#This Row],[Order Date]])</f>
        <v>1</v>
      </c>
    </row>
    <row r="58" spans="1:27" x14ac:dyDescent="0.35">
      <c r="A58" s="1">
        <v>57</v>
      </c>
      <c r="B58" s="1" t="s">
        <v>339</v>
      </c>
      <c r="C58" s="1" t="s">
        <v>340</v>
      </c>
      <c r="D58" s="1" t="s">
        <v>341</v>
      </c>
      <c r="E58" t="s">
        <v>115</v>
      </c>
      <c r="F58" t="s">
        <v>342</v>
      </c>
      <c r="G58" t="s">
        <v>81</v>
      </c>
      <c r="H58" t="s">
        <v>41</v>
      </c>
      <c r="I58" s="1" t="s">
        <v>28</v>
      </c>
      <c r="J58" t="s">
        <v>42</v>
      </c>
      <c r="K58" t="s">
        <v>43</v>
      </c>
      <c r="L58" s="1">
        <v>428809</v>
      </c>
      <c r="M58" s="1" t="s">
        <v>44</v>
      </c>
      <c r="N58" t="s">
        <v>343</v>
      </c>
      <c r="O58" t="s">
        <v>46</v>
      </c>
      <c r="P58" t="s">
        <v>57</v>
      </c>
      <c r="Q58" t="s">
        <v>58</v>
      </c>
      <c r="R58">
        <v>28939.46</v>
      </c>
      <c r="S58" s="25" t="e">
        <f>IF(Table1[[#This Row],[Sales]]=MIN(Table1[Sales]), Table1[[#This Row],[Sales]], NA())</f>
        <v>#N/A</v>
      </c>
      <c r="T58" s="25">
        <f>IF(AND(Table1[[#This Row],[Sales]]&lt;&gt;MIN(Table1[Sales]),Table1[[#This Row],[Sales]]&lt;&gt;MAX(Table1[Sales])), Table1[[#This Row],[Sales]], NA())</f>
        <v>28939.46</v>
      </c>
      <c r="U58" s="25" t="e">
        <f>IF(Table1[[#This Row],[Sales]]=MAX(Table1[Sales]), Table1[[#This Row],[Sales]], NA())</f>
        <v>#N/A</v>
      </c>
      <c r="V58">
        <v>1</v>
      </c>
      <c r="W58">
        <v>0.1</v>
      </c>
      <c r="X58">
        <v>1591.67</v>
      </c>
      <c r="Y58" s="3">
        <f>YEAR(Table1[[#This Row],[Order Date]])</f>
        <v>2021</v>
      </c>
      <c r="Z58" s="3" t="str">
        <f>TEXT(Table1[[#This Row],[Order Date]],"MMM")</f>
        <v>Jan</v>
      </c>
      <c r="AA58" s="3">
        <f>DAY(Table1[[#This Row],[Order Date]])</f>
        <v>1</v>
      </c>
    </row>
    <row r="59" spans="1:27" x14ac:dyDescent="0.35">
      <c r="A59" s="1">
        <v>58</v>
      </c>
      <c r="B59" s="1" t="s">
        <v>344</v>
      </c>
      <c r="C59" s="1" t="s">
        <v>345</v>
      </c>
      <c r="D59" s="1" t="s">
        <v>346</v>
      </c>
      <c r="E59" t="s">
        <v>62</v>
      </c>
      <c r="F59" t="s">
        <v>347</v>
      </c>
      <c r="G59" t="s">
        <v>93</v>
      </c>
      <c r="H59" t="s">
        <v>27</v>
      </c>
      <c r="I59" s="1" t="s">
        <v>28</v>
      </c>
      <c r="J59" t="s">
        <v>42</v>
      </c>
      <c r="K59" t="s">
        <v>43</v>
      </c>
      <c r="L59" s="1">
        <v>860612</v>
      </c>
      <c r="M59" s="1" t="s">
        <v>44</v>
      </c>
      <c r="N59" t="s">
        <v>348</v>
      </c>
      <c r="O59" t="s">
        <v>46</v>
      </c>
      <c r="P59" t="s">
        <v>57</v>
      </c>
      <c r="Q59" t="s">
        <v>58</v>
      </c>
      <c r="R59">
        <v>9367</v>
      </c>
      <c r="S59" s="25" t="e">
        <f>IF(Table1[[#This Row],[Sales]]=MIN(Table1[Sales]), Table1[[#This Row],[Sales]], NA())</f>
        <v>#N/A</v>
      </c>
      <c r="T59" s="25">
        <f>IF(AND(Table1[[#This Row],[Sales]]&lt;&gt;MIN(Table1[Sales]),Table1[[#This Row],[Sales]]&lt;&gt;MAX(Table1[Sales])), Table1[[#This Row],[Sales]], NA())</f>
        <v>9367</v>
      </c>
      <c r="U59" s="25" t="e">
        <f>IF(Table1[[#This Row],[Sales]]=MAX(Table1[Sales]), Table1[[#This Row],[Sales]], NA())</f>
        <v>#N/A</v>
      </c>
      <c r="V59">
        <v>2</v>
      </c>
      <c r="W59">
        <v>0</v>
      </c>
      <c r="X59">
        <v>749.36</v>
      </c>
      <c r="Y59" s="3">
        <f>YEAR(Table1[[#This Row],[Order Date]])</f>
        <v>2023</v>
      </c>
      <c r="Z59" s="3" t="str">
        <f>TEXT(Table1[[#This Row],[Order Date]],"MMM")</f>
        <v>Nov</v>
      </c>
      <c r="AA59" s="3">
        <f>DAY(Table1[[#This Row],[Order Date]])</f>
        <v>9</v>
      </c>
    </row>
    <row r="60" spans="1:27" x14ac:dyDescent="0.35">
      <c r="A60" s="1">
        <v>59</v>
      </c>
      <c r="B60" s="1" t="s">
        <v>349</v>
      </c>
      <c r="C60" s="1" t="s">
        <v>350</v>
      </c>
      <c r="D60" s="1" t="s">
        <v>351</v>
      </c>
      <c r="E60" t="s">
        <v>115</v>
      </c>
      <c r="F60" t="s">
        <v>352</v>
      </c>
      <c r="G60" t="s">
        <v>75</v>
      </c>
      <c r="H60" t="s">
        <v>41</v>
      </c>
      <c r="I60" s="1" t="s">
        <v>28</v>
      </c>
      <c r="J60" t="s">
        <v>128</v>
      </c>
      <c r="K60" t="s">
        <v>129</v>
      </c>
      <c r="L60" s="1">
        <v>370507</v>
      </c>
      <c r="M60" s="1" t="s">
        <v>66</v>
      </c>
      <c r="N60" t="s">
        <v>353</v>
      </c>
      <c r="O60" t="s">
        <v>68</v>
      </c>
      <c r="P60" t="s">
        <v>69</v>
      </c>
      <c r="Q60" t="s">
        <v>70</v>
      </c>
      <c r="R60">
        <v>1138.1199999999999</v>
      </c>
      <c r="S60" s="25" t="e">
        <f>IF(Table1[[#This Row],[Sales]]=MIN(Table1[Sales]), Table1[[#This Row],[Sales]], NA())</f>
        <v>#N/A</v>
      </c>
      <c r="T60" s="25">
        <f>IF(AND(Table1[[#This Row],[Sales]]&lt;&gt;MIN(Table1[Sales]),Table1[[#This Row],[Sales]]&lt;&gt;MAX(Table1[Sales])), Table1[[#This Row],[Sales]], NA())</f>
        <v>1138.1199999999999</v>
      </c>
      <c r="U60" s="25" t="e">
        <f>IF(Table1[[#This Row],[Sales]]=MAX(Table1[Sales]), Table1[[#This Row],[Sales]], NA())</f>
        <v>#N/A</v>
      </c>
      <c r="V60">
        <v>5</v>
      </c>
      <c r="W60">
        <v>0.1</v>
      </c>
      <c r="X60">
        <v>62.6</v>
      </c>
      <c r="Y60" s="3">
        <f>YEAR(Table1[[#This Row],[Order Date]])</f>
        <v>2021</v>
      </c>
      <c r="Z60" s="3" t="str">
        <f>TEXT(Table1[[#This Row],[Order Date]],"MMM")</f>
        <v>Aug</v>
      </c>
      <c r="AA60" s="3">
        <f>DAY(Table1[[#This Row],[Order Date]])</f>
        <v>6</v>
      </c>
    </row>
    <row r="61" spans="1:27" x14ac:dyDescent="0.35">
      <c r="A61" s="1">
        <v>60</v>
      </c>
      <c r="B61" s="1" t="s">
        <v>354</v>
      </c>
      <c r="C61" s="1" t="s">
        <v>355</v>
      </c>
      <c r="D61" s="1" t="s">
        <v>22</v>
      </c>
      <c r="E61" t="s">
        <v>24</v>
      </c>
      <c r="F61" t="s">
        <v>356</v>
      </c>
      <c r="G61" t="s">
        <v>87</v>
      </c>
      <c r="H61" t="s">
        <v>94</v>
      </c>
      <c r="I61" s="1" t="s">
        <v>28</v>
      </c>
      <c r="J61" t="s">
        <v>42</v>
      </c>
      <c r="K61" t="s">
        <v>43</v>
      </c>
      <c r="L61" s="1">
        <v>467563</v>
      </c>
      <c r="M61" s="1" t="s">
        <v>44</v>
      </c>
      <c r="N61" t="s">
        <v>357</v>
      </c>
      <c r="O61" t="s">
        <v>46</v>
      </c>
      <c r="P61" t="s">
        <v>47</v>
      </c>
      <c r="Q61" t="s">
        <v>48</v>
      </c>
      <c r="R61">
        <v>15331.39</v>
      </c>
      <c r="S61" s="25" t="e">
        <f>IF(Table1[[#This Row],[Sales]]=MIN(Table1[Sales]), Table1[[#This Row],[Sales]], NA())</f>
        <v>#N/A</v>
      </c>
      <c r="T61" s="25">
        <f>IF(AND(Table1[[#This Row],[Sales]]&lt;&gt;MIN(Table1[Sales]),Table1[[#This Row],[Sales]]&lt;&gt;MAX(Table1[Sales])), Table1[[#This Row],[Sales]], NA())</f>
        <v>15331.39</v>
      </c>
      <c r="U61" s="25" t="e">
        <f>IF(Table1[[#This Row],[Sales]]=MAX(Table1[Sales]), Table1[[#This Row],[Sales]], NA())</f>
        <v>#N/A</v>
      </c>
      <c r="V61">
        <v>6</v>
      </c>
      <c r="W61">
        <v>0</v>
      </c>
      <c r="X61">
        <v>1226.51</v>
      </c>
      <c r="Y61" s="3">
        <f>YEAR(Table1[[#This Row],[Order Date]])</f>
        <v>2021</v>
      </c>
      <c r="Z61" s="3" t="str">
        <f>TEXT(Table1[[#This Row],[Order Date]],"MMM")</f>
        <v>May</v>
      </c>
      <c r="AA61" s="3">
        <f>DAY(Table1[[#This Row],[Order Date]])</f>
        <v>14</v>
      </c>
    </row>
    <row r="62" spans="1:27" x14ac:dyDescent="0.35">
      <c r="A62" s="1">
        <v>61</v>
      </c>
      <c r="B62" s="1" t="s">
        <v>358</v>
      </c>
      <c r="C62" s="1" t="s">
        <v>359</v>
      </c>
      <c r="D62" s="1" t="s">
        <v>360</v>
      </c>
      <c r="E62" t="s">
        <v>62</v>
      </c>
      <c r="F62" t="s">
        <v>361</v>
      </c>
      <c r="G62" t="s">
        <v>122</v>
      </c>
      <c r="H62" t="s">
        <v>41</v>
      </c>
      <c r="I62" s="1" t="s">
        <v>28</v>
      </c>
      <c r="J62" t="s">
        <v>42</v>
      </c>
      <c r="K62" t="s">
        <v>43</v>
      </c>
      <c r="L62" s="1">
        <v>549946</v>
      </c>
      <c r="M62" s="1" t="s">
        <v>44</v>
      </c>
      <c r="N62" t="s">
        <v>362</v>
      </c>
      <c r="O62" t="s">
        <v>68</v>
      </c>
      <c r="P62" t="s">
        <v>69</v>
      </c>
      <c r="Q62" t="s">
        <v>70</v>
      </c>
      <c r="R62">
        <v>45819.59</v>
      </c>
      <c r="S62" s="25" t="e">
        <f>IF(Table1[[#This Row],[Sales]]=MIN(Table1[Sales]), Table1[[#This Row],[Sales]], NA())</f>
        <v>#N/A</v>
      </c>
      <c r="T62" s="25">
        <f>IF(AND(Table1[[#This Row],[Sales]]&lt;&gt;MIN(Table1[Sales]),Table1[[#This Row],[Sales]]&lt;&gt;MAX(Table1[Sales])), Table1[[#This Row],[Sales]], NA())</f>
        <v>45819.59</v>
      </c>
      <c r="U62" s="25" t="e">
        <f>IF(Table1[[#This Row],[Sales]]=MAX(Table1[Sales]), Table1[[#This Row],[Sales]], NA())</f>
        <v>#N/A</v>
      </c>
      <c r="V62">
        <v>3</v>
      </c>
      <c r="W62">
        <v>0.3</v>
      </c>
      <c r="X62">
        <v>229.1</v>
      </c>
      <c r="Y62" s="3">
        <f>YEAR(Table1[[#This Row],[Order Date]])</f>
        <v>2025</v>
      </c>
      <c r="Z62" s="3" t="str">
        <f>TEXT(Table1[[#This Row],[Order Date]],"MMM")</f>
        <v>Mar</v>
      </c>
      <c r="AA62" s="3">
        <f>DAY(Table1[[#This Row],[Order Date]])</f>
        <v>11</v>
      </c>
    </row>
    <row r="63" spans="1:27" x14ac:dyDescent="0.35">
      <c r="A63" s="1">
        <v>62</v>
      </c>
      <c r="B63" s="1" t="s">
        <v>363</v>
      </c>
      <c r="C63" s="1" t="s">
        <v>277</v>
      </c>
      <c r="D63" s="1" t="s">
        <v>364</v>
      </c>
      <c r="E63" t="s">
        <v>24</v>
      </c>
      <c r="F63" t="s">
        <v>365</v>
      </c>
      <c r="G63" t="s">
        <v>140</v>
      </c>
      <c r="H63" t="s">
        <v>94</v>
      </c>
      <c r="I63" s="1" t="s">
        <v>28</v>
      </c>
      <c r="J63" t="s">
        <v>64</v>
      </c>
      <c r="K63" t="s">
        <v>65</v>
      </c>
      <c r="L63" s="1">
        <v>122887</v>
      </c>
      <c r="M63" s="1" t="s">
        <v>66</v>
      </c>
      <c r="N63" t="s">
        <v>366</v>
      </c>
      <c r="O63" t="s">
        <v>46</v>
      </c>
      <c r="P63" t="s">
        <v>57</v>
      </c>
      <c r="Q63" t="s">
        <v>58</v>
      </c>
      <c r="R63">
        <v>65812.09</v>
      </c>
      <c r="S63" s="25" t="e">
        <f>IF(Table1[[#This Row],[Sales]]=MIN(Table1[Sales]), Table1[[#This Row],[Sales]], NA())</f>
        <v>#N/A</v>
      </c>
      <c r="T63" s="25">
        <f>IF(AND(Table1[[#This Row],[Sales]]&lt;&gt;MIN(Table1[Sales]),Table1[[#This Row],[Sales]]&lt;&gt;MAX(Table1[Sales])), Table1[[#This Row],[Sales]], NA())</f>
        <v>65812.09</v>
      </c>
      <c r="U63" s="25" t="e">
        <f>IF(Table1[[#This Row],[Sales]]=MAX(Table1[Sales]), Table1[[#This Row],[Sales]], NA())</f>
        <v>#N/A</v>
      </c>
      <c r="V63">
        <v>10</v>
      </c>
      <c r="W63">
        <v>0.2</v>
      </c>
      <c r="X63">
        <v>1974.36</v>
      </c>
      <c r="Y63" s="3">
        <f>YEAR(Table1[[#This Row],[Order Date]])</f>
        <v>2023</v>
      </c>
      <c r="Z63" s="3" t="str">
        <f>TEXT(Table1[[#This Row],[Order Date]],"MMM")</f>
        <v>Nov</v>
      </c>
      <c r="AA63" s="3">
        <f>DAY(Table1[[#This Row],[Order Date]])</f>
        <v>29</v>
      </c>
    </row>
    <row r="64" spans="1:27" x14ac:dyDescent="0.35">
      <c r="A64" s="1">
        <v>63</v>
      </c>
      <c r="B64" s="1" t="s">
        <v>367</v>
      </c>
      <c r="C64" s="1" t="s">
        <v>368</v>
      </c>
      <c r="D64" s="1" t="s">
        <v>241</v>
      </c>
      <c r="E64" t="s">
        <v>38</v>
      </c>
      <c r="F64" t="s">
        <v>369</v>
      </c>
      <c r="G64" t="s">
        <v>188</v>
      </c>
      <c r="H64" t="s">
        <v>41</v>
      </c>
      <c r="I64" s="1" t="s">
        <v>28</v>
      </c>
      <c r="J64" t="s">
        <v>53</v>
      </c>
      <c r="K64" t="s">
        <v>54</v>
      </c>
      <c r="L64" s="1">
        <v>570047</v>
      </c>
      <c r="M64" s="1" t="s">
        <v>55</v>
      </c>
      <c r="N64" t="s">
        <v>370</v>
      </c>
      <c r="O64" t="s">
        <v>46</v>
      </c>
      <c r="P64" t="s">
        <v>57</v>
      </c>
      <c r="Q64" t="s">
        <v>58</v>
      </c>
      <c r="R64">
        <v>40594.230000000003</v>
      </c>
      <c r="S64" s="25" t="e">
        <f>IF(Table1[[#This Row],[Sales]]=MIN(Table1[Sales]), Table1[[#This Row],[Sales]], NA())</f>
        <v>#N/A</v>
      </c>
      <c r="T64" s="25">
        <f>IF(AND(Table1[[#This Row],[Sales]]&lt;&gt;MIN(Table1[Sales]),Table1[[#This Row],[Sales]]&lt;&gt;MAX(Table1[Sales])), Table1[[#This Row],[Sales]], NA())</f>
        <v>40594.230000000003</v>
      </c>
      <c r="U64" s="25" t="e">
        <f>IF(Table1[[#This Row],[Sales]]=MAX(Table1[Sales]), Table1[[#This Row],[Sales]], NA())</f>
        <v>#N/A</v>
      </c>
      <c r="V64">
        <v>3</v>
      </c>
      <c r="W64">
        <v>0.3</v>
      </c>
      <c r="X64">
        <v>202.97</v>
      </c>
      <c r="Y64" s="3">
        <f>YEAR(Table1[[#This Row],[Order Date]])</f>
        <v>2024</v>
      </c>
      <c r="Z64" s="3" t="str">
        <f>TEXT(Table1[[#This Row],[Order Date]],"MMM")</f>
        <v>Jan</v>
      </c>
      <c r="AA64" s="3">
        <f>DAY(Table1[[#This Row],[Order Date]])</f>
        <v>9</v>
      </c>
    </row>
    <row r="65" spans="1:27" x14ac:dyDescent="0.35">
      <c r="A65" s="1">
        <v>64</v>
      </c>
      <c r="B65" s="1" t="s">
        <v>371</v>
      </c>
      <c r="C65" s="1" t="s">
        <v>372</v>
      </c>
      <c r="D65" s="1" t="s">
        <v>373</v>
      </c>
      <c r="E65" t="s">
        <v>62</v>
      </c>
      <c r="F65" t="s">
        <v>374</v>
      </c>
      <c r="G65" t="s">
        <v>93</v>
      </c>
      <c r="H65" t="s">
        <v>41</v>
      </c>
      <c r="I65" s="1" t="s">
        <v>28</v>
      </c>
      <c r="J65" t="s">
        <v>53</v>
      </c>
      <c r="K65" t="s">
        <v>54</v>
      </c>
      <c r="L65" s="1">
        <v>427912</v>
      </c>
      <c r="M65" s="1" t="s">
        <v>55</v>
      </c>
      <c r="N65" t="s">
        <v>375</v>
      </c>
      <c r="O65" t="s">
        <v>46</v>
      </c>
      <c r="P65" t="s">
        <v>57</v>
      </c>
      <c r="Q65" t="s">
        <v>58</v>
      </c>
      <c r="R65">
        <v>58020.79</v>
      </c>
      <c r="S65" s="25" t="e">
        <f>IF(Table1[[#This Row],[Sales]]=MIN(Table1[Sales]), Table1[[#This Row],[Sales]], NA())</f>
        <v>#N/A</v>
      </c>
      <c r="T65" s="25">
        <f>IF(AND(Table1[[#This Row],[Sales]]&lt;&gt;MIN(Table1[Sales]),Table1[[#This Row],[Sales]]&lt;&gt;MAX(Table1[Sales])), Table1[[#This Row],[Sales]], NA())</f>
        <v>58020.79</v>
      </c>
      <c r="U65" s="25" t="e">
        <f>IF(Table1[[#This Row],[Sales]]=MAX(Table1[Sales]), Table1[[#This Row],[Sales]], NA())</f>
        <v>#N/A</v>
      </c>
      <c r="V65">
        <v>3</v>
      </c>
      <c r="W65">
        <v>0.3</v>
      </c>
      <c r="X65">
        <v>290.10000000000002</v>
      </c>
      <c r="Y65" s="3">
        <f>YEAR(Table1[[#This Row],[Order Date]])</f>
        <v>2021</v>
      </c>
      <c r="Z65" s="3" t="str">
        <f>TEXT(Table1[[#This Row],[Order Date]],"MMM")</f>
        <v>May</v>
      </c>
      <c r="AA65" s="3">
        <f>DAY(Table1[[#This Row],[Order Date]])</f>
        <v>30</v>
      </c>
    </row>
    <row r="66" spans="1:27" x14ac:dyDescent="0.35">
      <c r="A66" s="1">
        <v>65</v>
      </c>
      <c r="B66" s="1" t="s">
        <v>376</v>
      </c>
      <c r="C66" s="1" t="s">
        <v>377</v>
      </c>
      <c r="D66" s="1" t="s">
        <v>378</v>
      </c>
      <c r="E66" t="s">
        <v>62</v>
      </c>
      <c r="F66" t="s">
        <v>379</v>
      </c>
      <c r="G66" t="s">
        <v>140</v>
      </c>
      <c r="H66" t="s">
        <v>94</v>
      </c>
      <c r="I66" s="1" t="s">
        <v>28</v>
      </c>
      <c r="J66" t="s">
        <v>42</v>
      </c>
      <c r="K66" t="s">
        <v>43</v>
      </c>
      <c r="L66" s="1">
        <v>337693</v>
      </c>
      <c r="M66" s="1" t="s">
        <v>44</v>
      </c>
      <c r="N66" t="s">
        <v>380</v>
      </c>
      <c r="O66" t="s">
        <v>46</v>
      </c>
      <c r="P66" t="s">
        <v>47</v>
      </c>
      <c r="Q66" t="s">
        <v>48</v>
      </c>
      <c r="R66">
        <v>23105.45</v>
      </c>
      <c r="S66" s="25" t="e">
        <f>IF(Table1[[#This Row],[Sales]]=MIN(Table1[Sales]), Table1[[#This Row],[Sales]], NA())</f>
        <v>#N/A</v>
      </c>
      <c r="T66" s="25">
        <f>IF(AND(Table1[[#This Row],[Sales]]&lt;&gt;MIN(Table1[Sales]),Table1[[#This Row],[Sales]]&lt;&gt;MAX(Table1[Sales])), Table1[[#This Row],[Sales]], NA())</f>
        <v>23105.45</v>
      </c>
      <c r="U66" s="25" t="e">
        <f>IF(Table1[[#This Row],[Sales]]=MAX(Table1[Sales]), Table1[[#This Row],[Sales]], NA())</f>
        <v>#N/A</v>
      </c>
      <c r="V66">
        <v>10</v>
      </c>
      <c r="W66">
        <v>0.3</v>
      </c>
      <c r="X66">
        <v>115.53</v>
      </c>
      <c r="Y66" s="3">
        <f>YEAR(Table1[[#This Row],[Order Date]])</f>
        <v>2023</v>
      </c>
      <c r="Z66" s="3" t="str">
        <f>TEXT(Table1[[#This Row],[Order Date]],"MMM")</f>
        <v>Oct</v>
      </c>
      <c r="AA66" s="3">
        <f>DAY(Table1[[#This Row],[Order Date]])</f>
        <v>28</v>
      </c>
    </row>
    <row r="67" spans="1:27" x14ac:dyDescent="0.35">
      <c r="A67" s="1">
        <v>66</v>
      </c>
      <c r="B67" s="1" t="s">
        <v>381</v>
      </c>
      <c r="C67" s="1" t="s">
        <v>382</v>
      </c>
      <c r="D67" s="1" t="s">
        <v>383</v>
      </c>
      <c r="E67" t="s">
        <v>38</v>
      </c>
      <c r="F67" t="s">
        <v>384</v>
      </c>
      <c r="G67" t="s">
        <v>87</v>
      </c>
      <c r="H67" t="s">
        <v>27</v>
      </c>
      <c r="I67" s="1" t="s">
        <v>28</v>
      </c>
      <c r="J67" t="s">
        <v>128</v>
      </c>
      <c r="K67" t="s">
        <v>129</v>
      </c>
      <c r="L67" s="1">
        <v>285180</v>
      </c>
      <c r="M67" s="1" t="s">
        <v>66</v>
      </c>
      <c r="N67" t="s">
        <v>385</v>
      </c>
      <c r="O67" t="s">
        <v>46</v>
      </c>
      <c r="P67" t="s">
        <v>47</v>
      </c>
      <c r="Q67" t="s">
        <v>48</v>
      </c>
      <c r="R67">
        <v>39523.81</v>
      </c>
      <c r="S67" s="25" t="e">
        <f>IF(Table1[[#This Row],[Sales]]=MIN(Table1[Sales]), Table1[[#This Row],[Sales]], NA())</f>
        <v>#N/A</v>
      </c>
      <c r="T67" s="25">
        <f>IF(AND(Table1[[#This Row],[Sales]]&lt;&gt;MIN(Table1[Sales]),Table1[[#This Row],[Sales]]&lt;&gt;MAX(Table1[Sales])), Table1[[#This Row],[Sales]], NA())</f>
        <v>39523.81</v>
      </c>
      <c r="U67" s="25" t="e">
        <f>IF(Table1[[#This Row],[Sales]]=MAX(Table1[Sales]), Table1[[#This Row],[Sales]], NA())</f>
        <v>#N/A</v>
      </c>
      <c r="V67">
        <v>2</v>
      </c>
      <c r="W67">
        <v>0.3</v>
      </c>
      <c r="X67">
        <v>197.62</v>
      </c>
      <c r="Y67" s="3">
        <f>YEAR(Table1[[#This Row],[Order Date]])</f>
        <v>2022</v>
      </c>
      <c r="Z67" s="3" t="str">
        <f>TEXT(Table1[[#This Row],[Order Date]],"MMM")</f>
        <v>Jul</v>
      </c>
      <c r="AA67" s="3">
        <f>DAY(Table1[[#This Row],[Order Date]])</f>
        <v>5</v>
      </c>
    </row>
    <row r="68" spans="1:27" x14ac:dyDescent="0.35">
      <c r="A68" s="1">
        <v>67</v>
      </c>
      <c r="B68" s="1" t="s">
        <v>386</v>
      </c>
      <c r="C68" s="1" t="s">
        <v>387</v>
      </c>
      <c r="D68" s="1" t="s">
        <v>388</v>
      </c>
      <c r="E68" t="s">
        <v>38</v>
      </c>
      <c r="F68" t="s">
        <v>389</v>
      </c>
      <c r="G68" t="s">
        <v>122</v>
      </c>
      <c r="H68" t="s">
        <v>41</v>
      </c>
      <c r="I68" s="1" t="s">
        <v>28</v>
      </c>
      <c r="J68" t="s">
        <v>128</v>
      </c>
      <c r="K68" t="s">
        <v>129</v>
      </c>
      <c r="L68" s="1">
        <v>887804</v>
      </c>
      <c r="M68" s="1" t="s">
        <v>66</v>
      </c>
      <c r="N68" t="s">
        <v>390</v>
      </c>
      <c r="O68" t="s">
        <v>46</v>
      </c>
      <c r="P68" t="s">
        <v>57</v>
      </c>
      <c r="Q68" t="s">
        <v>58</v>
      </c>
      <c r="R68">
        <v>74319</v>
      </c>
      <c r="S68" s="25" t="e">
        <f>IF(Table1[[#This Row],[Sales]]=MIN(Table1[Sales]), Table1[[#This Row],[Sales]], NA())</f>
        <v>#N/A</v>
      </c>
      <c r="T68" s="25">
        <f>IF(AND(Table1[[#This Row],[Sales]]&lt;&gt;MIN(Table1[Sales]),Table1[[#This Row],[Sales]]&lt;&gt;MAX(Table1[Sales])), Table1[[#This Row],[Sales]], NA())</f>
        <v>74319</v>
      </c>
      <c r="U68" s="25" t="e">
        <f>IF(Table1[[#This Row],[Sales]]=MAX(Table1[Sales]), Table1[[#This Row],[Sales]], NA())</f>
        <v>#N/A</v>
      </c>
      <c r="V68">
        <v>1</v>
      </c>
      <c r="W68">
        <v>0</v>
      </c>
      <c r="X68">
        <v>5945.52</v>
      </c>
      <c r="Y68" s="3">
        <f>YEAR(Table1[[#This Row],[Order Date]])</f>
        <v>2021</v>
      </c>
      <c r="Z68" s="3" t="str">
        <f>TEXT(Table1[[#This Row],[Order Date]],"MMM")</f>
        <v>Dec</v>
      </c>
      <c r="AA68" s="3">
        <f>DAY(Table1[[#This Row],[Order Date]])</f>
        <v>16</v>
      </c>
    </row>
    <row r="69" spans="1:27" x14ac:dyDescent="0.35">
      <c r="A69" s="1">
        <v>68</v>
      </c>
      <c r="B69" s="1" t="s">
        <v>391</v>
      </c>
      <c r="C69" s="1" t="s">
        <v>392</v>
      </c>
      <c r="D69" s="1" t="s">
        <v>393</v>
      </c>
      <c r="E69" t="s">
        <v>38</v>
      </c>
      <c r="F69" t="s">
        <v>394</v>
      </c>
      <c r="G69" t="s">
        <v>122</v>
      </c>
      <c r="H69" t="s">
        <v>94</v>
      </c>
      <c r="I69" s="1" t="s">
        <v>28</v>
      </c>
      <c r="J69" t="s">
        <v>64</v>
      </c>
      <c r="K69" t="s">
        <v>65</v>
      </c>
      <c r="L69" s="1">
        <v>422311</v>
      </c>
      <c r="M69" s="1" t="s">
        <v>66</v>
      </c>
      <c r="N69" t="s">
        <v>395</v>
      </c>
      <c r="O69" t="s">
        <v>46</v>
      </c>
      <c r="P69" t="s">
        <v>57</v>
      </c>
      <c r="Q69" t="s">
        <v>58</v>
      </c>
      <c r="R69">
        <v>29196.62</v>
      </c>
      <c r="S69" s="25" t="e">
        <f>IF(Table1[[#This Row],[Sales]]=MIN(Table1[Sales]), Table1[[#This Row],[Sales]], NA())</f>
        <v>#N/A</v>
      </c>
      <c r="T69" s="25">
        <f>IF(AND(Table1[[#This Row],[Sales]]&lt;&gt;MIN(Table1[Sales]),Table1[[#This Row],[Sales]]&lt;&gt;MAX(Table1[Sales])), Table1[[#This Row],[Sales]], NA())</f>
        <v>29196.62</v>
      </c>
      <c r="U69" s="25" t="e">
        <f>IF(Table1[[#This Row],[Sales]]=MAX(Table1[Sales]), Table1[[#This Row],[Sales]], NA())</f>
        <v>#N/A</v>
      </c>
      <c r="V69">
        <v>10</v>
      </c>
      <c r="W69">
        <v>0</v>
      </c>
      <c r="X69">
        <v>2335.73</v>
      </c>
      <c r="Y69" s="3">
        <f>YEAR(Table1[[#This Row],[Order Date]])</f>
        <v>2024</v>
      </c>
      <c r="Z69" s="3" t="str">
        <f>TEXT(Table1[[#This Row],[Order Date]],"MMM")</f>
        <v>Nov</v>
      </c>
      <c r="AA69" s="3">
        <f>DAY(Table1[[#This Row],[Order Date]])</f>
        <v>6</v>
      </c>
    </row>
    <row r="70" spans="1:27" x14ac:dyDescent="0.35">
      <c r="A70" s="1">
        <v>69</v>
      </c>
      <c r="B70" s="1" t="s">
        <v>396</v>
      </c>
      <c r="C70" s="1" t="s">
        <v>397</v>
      </c>
      <c r="D70" s="1" t="s">
        <v>398</v>
      </c>
      <c r="E70" t="s">
        <v>115</v>
      </c>
      <c r="F70" t="s">
        <v>399</v>
      </c>
      <c r="G70" t="s">
        <v>40</v>
      </c>
      <c r="H70" t="s">
        <v>94</v>
      </c>
      <c r="I70" s="1" t="s">
        <v>28</v>
      </c>
      <c r="J70" t="s">
        <v>64</v>
      </c>
      <c r="K70" t="s">
        <v>65</v>
      </c>
      <c r="L70" s="1">
        <v>712284</v>
      </c>
      <c r="M70" s="1" t="s">
        <v>66</v>
      </c>
      <c r="N70" t="s">
        <v>400</v>
      </c>
      <c r="O70" t="s">
        <v>68</v>
      </c>
      <c r="P70" t="s">
        <v>69</v>
      </c>
      <c r="Q70" t="s">
        <v>70</v>
      </c>
      <c r="R70">
        <v>44881.41</v>
      </c>
      <c r="S70" s="25" t="e">
        <f>IF(Table1[[#This Row],[Sales]]=MIN(Table1[Sales]), Table1[[#This Row],[Sales]], NA())</f>
        <v>#N/A</v>
      </c>
      <c r="T70" s="25">
        <f>IF(AND(Table1[[#This Row],[Sales]]&lt;&gt;MIN(Table1[Sales]),Table1[[#This Row],[Sales]]&lt;&gt;MAX(Table1[Sales])), Table1[[#This Row],[Sales]], NA())</f>
        <v>44881.41</v>
      </c>
      <c r="U70" s="25" t="e">
        <f>IF(Table1[[#This Row],[Sales]]=MAX(Table1[Sales]), Table1[[#This Row],[Sales]], NA())</f>
        <v>#N/A</v>
      </c>
      <c r="V70">
        <v>6</v>
      </c>
      <c r="W70">
        <v>0.3</v>
      </c>
      <c r="X70">
        <v>224.41</v>
      </c>
      <c r="Y70" s="3">
        <f>YEAR(Table1[[#This Row],[Order Date]])</f>
        <v>2021</v>
      </c>
      <c r="Z70" s="3" t="str">
        <f>TEXT(Table1[[#This Row],[Order Date]],"MMM")</f>
        <v>Dec</v>
      </c>
      <c r="AA70" s="3">
        <f>DAY(Table1[[#This Row],[Order Date]])</f>
        <v>6</v>
      </c>
    </row>
    <row r="71" spans="1:27" x14ac:dyDescent="0.35">
      <c r="A71" s="1">
        <v>70</v>
      </c>
      <c r="B71" s="1" t="s">
        <v>401</v>
      </c>
      <c r="C71" s="1" t="s">
        <v>402</v>
      </c>
      <c r="D71" s="1" t="s">
        <v>403</v>
      </c>
      <c r="E71" t="s">
        <v>24</v>
      </c>
      <c r="F71" t="s">
        <v>404</v>
      </c>
      <c r="G71" t="s">
        <v>93</v>
      </c>
      <c r="H71" t="s">
        <v>41</v>
      </c>
      <c r="I71" s="1" t="s">
        <v>28</v>
      </c>
      <c r="J71" t="s">
        <v>53</v>
      </c>
      <c r="K71" t="s">
        <v>54</v>
      </c>
      <c r="L71" s="1">
        <v>286270</v>
      </c>
      <c r="M71" s="1" t="s">
        <v>55</v>
      </c>
      <c r="N71" t="s">
        <v>405</v>
      </c>
      <c r="O71" t="s">
        <v>32</v>
      </c>
      <c r="P71" t="s">
        <v>33</v>
      </c>
      <c r="Q71" t="s">
        <v>34</v>
      </c>
      <c r="R71">
        <v>38279.300000000003</v>
      </c>
      <c r="S71" s="25" t="e">
        <f>IF(Table1[[#This Row],[Sales]]=MIN(Table1[Sales]), Table1[[#This Row],[Sales]], NA())</f>
        <v>#N/A</v>
      </c>
      <c r="T71" s="25">
        <f>IF(AND(Table1[[#This Row],[Sales]]&lt;&gt;MIN(Table1[Sales]),Table1[[#This Row],[Sales]]&lt;&gt;MAX(Table1[Sales])), Table1[[#This Row],[Sales]], NA())</f>
        <v>38279.300000000003</v>
      </c>
      <c r="U71" s="25" t="e">
        <f>IF(Table1[[#This Row],[Sales]]=MAX(Table1[Sales]), Table1[[#This Row],[Sales]], NA())</f>
        <v>#N/A</v>
      </c>
      <c r="V71">
        <v>3</v>
      </c>
      <c r="W71">
        <v>0.1</v>
      </c>
      <c r="X71">
        <v>2105.36</v>
      </c>
      <c r="Y71" s="3">
        <f>YEAR(Table1[[#This Row],[Order Date]])</f>
        <v>2023</v>
      </c>
      <c r="Z71" s="3" t="str">
        <f>TEXT(Table1[[#This Row],[Order Date]],"MMM")</f>
        <v>Dec</v>
      </c>
      <c r="AA71" s="3">
        <f>DAY(Table1[[#This Row],[Order Date]])</f>
        <v>28</v>
      </c>
    </row>
    <row r="72" spans="1:27" x14ac:dyDescent="0.35">
      <c r="A72" s="1">
        <v>71</v>
      </c>
      <c r="B72" s="1" t="s">
        <v>406</v>
      </c>
      <c r="C72" s="1" t="s">
        <v>407</v>
      </c>
      <c r="D72" s="1" t="s">
        <v>408</v>
      </c>
      <c r="E72" t="s">
        <v>62</v>
      </c>
      <c r="F72" t="s">
        <v>409</v>
      </c>
      <c r="G72" t="s">
        <v>93</v>
      </c>
      <c r="H72" t="s">
        <v>41</v>
      </c>
      <c r="I72" s="1" t="s">
        <v>28</v>
      </c>
      <c r="J72" t="s">
        <v>64</v>
      </c>
      <c r="K72" t="s">
        <v>65</v>
      </c>
      <c r="L72" s="1">
        <v>667883</v>
      </c>
      <c r="M72" s="1" t="s">
        <v>66</v>
      </c>
      <c r="N72" t="s">
        <v>410</v>
      </c>
      <c r="O72" t="s">
        <v>46</v>
      </c>
      <c r="P72" t="s">
        <v>47</v>
      </c>
      <c r="Q72" t="s">
        <v>48</v>
      </c>
      <c r="R72">
        <v>72565.94</v>
      </c>
      <c r="S72" s="25" t="e">
        <f>IF(Table1[[#This Row],[Sales]]=MIN(Table1[Sales]), Table1[[#This Row],[Sales]], NA())</f>
        <v>#N/A</v>
      </c>
      <c r="T72" s="25">
        <f>IF(AND(Table1[[#This Row],[Sales]]&lt;&gt;MIN(Table1[Sales]),Table1[[#This Row],[Sales]]&lt;&gt;MAX(Table1[Sales])), Table1[[#This Row],[Sales]], NA())</f>
        <v>72565.94</v>
      </c>
      <c r="U72" s="25" t="e">
        <f>IF(Table1[[#This Row],[Sales]]=MAX(Table1[Sales]), Table1[[#This Row],[Sales]], NA())</f>
        <v>#N/A</v>
      </c>
      <c r="V72">
        <v>10</v>
      </c>
      <c r="W72">
        <v>0.1</v>
      </c>
      <c r="X72">
        <v>3991.13</v>
      </c>
      <c r="Y72" s="3">
        <f>YEAR(Table1[[#This Row],[Order Date]])</f>
        <v>2025</v>
      </c>
      <c r="Z72" s="3" t="str">
        <f>TEXT(Table1[[#This Row],[Order Date]],"MMM")</f>
        <v>Jan</v>
      </c>
      <c r="AA72" s="3">
        <f>DAY(Table1[[#This Row],[Order Date]])</f>
        <v>10</v>
      </c>
    </row>
    <row r="73" spans="1:27" x14ac:dyDescent="0.35">
      <c r="A73" s="1">
        <v>72</v>
      </c>
      <c r="B73" s="1" t="s">
        <v>411</v>
      </c>
      <c r="C73" s="1" t="s">
        <v>412</v>
      </c>
      <c r="D73" s="1" t="s">
        <v>413</v>
      </c>
      <c r="E73" t="s">
        <v>62</v>
      </c>
      <c r="F73" t="s">
        <v>414</v>
      </c>
      <c r="G73" t="s">
        <v>93</v>
      </c>
      <c r="H73" t="s">
        <v>27</v>
      </c>
      <c r="I73" s="1" t="s">
        <v>28</v>
      </c>
      <c r="J73" t="s">
        <v>53</v>
      </c>
      <c r="K73" t="s">
        <v>54</v>
      </c>
      <c r="L73" s="1">
        <v>962958</v>
      </c>
      <c r="M73" s="1" t="s">
        <v>55</v>
      </c>
      <c r="N73" t="s">
        <v>415</v>
      </c>
      <c r="O73" t="s">
        <v>32</v>
      </c>
      <c r="P73" t="s">
        <v>33</v>
      </c>
      <c r="Q73" t="s">
        <v>34</v>
      </c>
      <c r="R73">
        <v>60058.63</v>
      </c>
      <c r="S73" s="25" t="e">
        <f>IF(Table1[[#This Row],[Sales]]=MIN(Table1[Sales]), Table1[[#This Row],[Sales]], NA())</f>
        <v>#N/A</v>
      </c>
      <c r="T73" s="25">
        <f>IF(AND(Table1[[#This Row],[Sales]]&lt;&gt;MIN(Table1[Sales]),Table1[[#This Row],[Sales]]&lt;&gt;MAX(Table1[Sales])), Table1[[#This Row],[Sales]], NA())</f>
        <v>60058.63</v>
      </c>
      <c r="U73" s="25" t="e">
        <f>IF(Table1[[#This Row],[Sales]]=MAX(Table1[Sales]), Table1[[#This Row],[Sales]], NA())</f>
        <v>#N/A</v>
      </c>
      <c r="V73">
        <v>8</v>
      </c>
      <c r="W73">
        <v>0.2</v>
      </c>
      <c r="X73">
        <v>1801.76</v>
      </c>
      <c r="Y73" s="3">
        <f>YEAR(Table1[[#This Row],[Order Date]])</f>
        <v>2022</v>
      </c>
      <c r="Z73" s="3" t="str">
        <f>TEXT(Table1[[#This Row],[Order Date]],"MMM")</f>
        <v>Nov</v>
      </c>
      <c r="AA73" s="3">
        <f>DAY(Table1[[#This Row],[Order Date]])</f>
        <v>14</v>
      </c>
    </row>
    <row r="74" spans="1:27" x14ac:dyDescent="0.35">
      <c r="A74" s="1">
        <v>73</v>
      </c>
      <c r="B74" s="1" t="s">
        <v>416</v>
      </c>
      <c r="C74" s="1" t="s">
        <v>417</v>
      </c>
      <c r="D74" s="1" t="s">
        <v>418</v>
      </c>
      <c r="E74" t="s">
        <v>38</v>
      </c>
      <c r="F74" t="s">
        <v>419</v>
      </c>
      <c r="G74" t="s">
        <v>26</v>
      </c>
      <c r="H74" t="s">
        <v>27</v>
      </c>
      <c r="I74" s="1" t="s">
        <v>28</v>
      </c>
      <c r="J74" t="s">
        <v>42</v>
      </c>
      <c r="K74" t="s">
        <v>43</v>
      </c>
      <c r="L74" s="1">
        <v>794359</v>
      </c>
      <c r="M74" s="1" t="s">
        <v>44</v>
      </c>
      <c r="N74" t="s">
        <v>420</v>
      </c>
      <c r="O74" t="s">
        <v>46</v>
      </c>
      <c r="P74" t="s">
        <v>47</v>
      </c>
      <c r="Q74" t="s">
        <v>48</v>
      </c>
      <c r="R74">
        <v>56768.78</v>
      </c>
      <c r="S74" s="25" t="e">
        <f>IF(Table1[[#This Row],[Sales]]=MIN(Table1[Sales]), Table1[[#This Row],[Sales]], NA())</f>
        <v>#N/A</v>
      </c>
      <c r="T74" s="25">
        <f>IF(AND(Table1[[#This Row],[Sales]]&lt;&gt;MIN(Table1[Sales]),Table1[[#This Row],[Sales]]&lt;&gt;MAX(Table1[Sales])), Table1[[#This Row],[Sales]], NA())</f>
        <v>56768.78</v>
      </c>
      <c r="U74" s="25" t="e">
        <f>IF(Table1[[#This Row],[Sales]]=MAX(Table1[Sales]), Table1[[#This Row],[Sales]], NA())</f>
        <v>#N/A</v>
      </c>
      <c r="V74">
        <v>2</v>
      </c>
      <c r="W74">
        <v>0.2</v>
      </c>
      <c r="X74">
        <v>1703.06</v>
      </c>
      <c r="Y74" s="3">
        <f>YEAR(Table1[[#This Row],[Order Date]])</f>
        <v>2021</v>
      </c>
      <c r="Z74" s="3" t="str">
        <f>TEXT(Table1[[#This Row],[Order Date]],"MMM")</f>
        <v>May</v>
      </c>
      <c r="AA74" s="3">
        <f>DAY(Table1[[#This Row],[Order Date]])</f>
        <v>5</v>
      </c>
    </row>
    <row r="75" spans="1:27" x14ac:dyDescent="0.35">
      <c r="A75" s="1">
        <v>74</v>
      </c>
      <c r="B75" s="1" t="s">
        <v>421</v>
      </c>
      <c r="C75" s="1" t="s">
        <v>422</v>
      </c>
      <c r="D75" s="1" t="s">
        <v>423</v>
      </c>
      <c r="E75" t="s">
        <v>38</v>
      </c>
      <c r="F75" t="s">
        <v>424</v>
      </c>
      <c r="G75" t="s">
        <v>140</v>
      </c>
      <c r="H75" t="s">
        <v>94</v>
      </c>
      <c r="I75" s="1" t="s">
        <v>28</v>
      </c>
      <c r="J75" t="s">
        <v>64</v>
      </c>
      <c r="K75" t="s">
        <v>65</v>
      </c>
      <c r="L75" s="1">
        <v>874858</v>
      </c>
      <c r="M75" s="1" t="s">
        <v>66</v>
      </c>
      <c r="N75" t="s">
        <v>425</v>
      </c>
      <c r="O75" t="s">
        <v>46</v>
      </c>
      <c r="P75" t="s">
        <v>47</v>
      </c>
      <c r="Q75" t="s">
        <v>48</v>
      </c>
      <c r="R75">
        <v>54660.29</v>
      </c>
      <c r="S75" s="25" t="e">
        <f>IF(Table1[[#This Row],[Sales]]=MIN(Table1[Sales]), Table1[[#This Row],[Sales]], NA())</f>
        <v>#N/A</v>
      </c>
      <c r="T75" s="25">
        <f>IF(AND(Table1[[#This Row],[Sales]]&lt;&gt;MIN(Table1[Sales]),Table1[[#This Row],[Sales]]&lt;&gt;MAX(Table1[Sales])), Table1[[#This Row],[Sales]], NA())</f>
        <v>54660.29</v>
      </c>
      <c r="U75" s="25" t="e">
        <f>IF(Table1[[#This Row],[Sales]]=MAX(Table1[Sales]), Table1[[#This Row],[Sales]], NA())</f>
        <v>#N/A</v>
      </c>
      <c r="V75">
        <v>1</v>
      </c>
      <c r="W75">
        <v>0.2</v>
      </c>
      <c r="X75">
        <v>1639.81</v>
      </c>
      <c r="Y75" s="3">
        <f>YEAR(Table1[[#This Row],[Order Date]])</f>
        <v>2023</v>
      </c>
      <c r="Z75" s="3" t="str">
        <f>TEXT(Table1[[#This Row],[Order Date]],"MMM")</f>
        <v>Jul</v>
      </c>
      <c r="AA75" s="3">
        <f>DAY(Table1[[#This Row],[Order Date]])</f>
        <v>7</v>
      </c>
    </row>
    <row r="76" spans="1:27" x14ac:dyDescent="0.35">
      <c r="A76" s="1">
        <v>75</v>
      </c>
      <c r="B76" s="1" t="s">
        <v>426</v>
      </c>
      <c r="C76" s="1" t="s">
        <v>427</v>
      </c>
      <c r="D76" s="1" t="s">
        <v>428</v>
      </c>
      <c r="E76" t="s">
        <v>115</v>
      </c>
      <c r="F76" t="s">
        <v>429</v>
      </c>
      <c r="G76" t="s">
        <v>40</v>
      </c>
      <c r="H76" t="s">
        <v>94</v>
      </c>
      <c r="I76" s="1" t="s">
        <v>28</v>
      </c>
      <c r="J76" t="s">
        <v>29</v>
      </c>
      <c r="K76" t="s">
        <v>29</v>
      </c>
      <c r="L76" s="1">
        <v>362481</v>
      </c>
      <c r="M76" s="1" t="s">
        <v>30</v>
      </c>
      <c r="N76" t="s">
        <v>430</v>
      </c>
      <c r="O76" t="s">
        <v>46</v>
      </c>
      <c r="P76" t="s">
        <v>47</v>
      </c>
      <c r="Q76" t="s">
        <v>48</v>
      </c>
      <c r="R76">
        <v>15247.35</v>
      </c>
      <c r="S76" s="25" t="e">
        <f>IF(Table1[[#This Row],[Sales]]=MIN(Table1[Sales]), Table1[[#This Row],[Sales]], NA())</f>
        <v>#N/A</v>
      </c>
      <c r="T76" s="25">
        <f>IF(AND(Table1[[#This Row],[Sales]]&lt;&gt;MIN(Table1[Sales]),Table1[[#This Row],[Sales]]&lt;&gt;MAX(Table1[Sales])), Table1[[#This Row],[Sales]], NA())</f>
        <v>15247.35</v>
      </c>
      <c r="U76" s="25" t="e">
        <f>IF(Table1[[#This Row],[Sales]]=MAX(Table1[Sales]), Table1[[#This Row],[Sales]], NA())</f>
        <v>#N/A</v>
      </c>
      <c r="V76">
        <v>10</v>
      </c>
      <c r="W76">
        <v>0.3</v>
      </c>
      <c r="X76">
        <v>76.239999999999995</v>
      </c>
      <c r="Y76" s="3">
        <f>YEAR(Table1[[#This Row],[Order Date]])</f>
        <v>2024</v>
      </c>
      <c r="Z76" s="3" t="str">
        <f>TEXT(Table1[[#This Row],[Order Date]],"MMM")</f>
        <v>Aug</v>
      </c>
      <c r="AA76" s="3">
        <f>DAY(Table1[[#This Row],[Order Date]])</f>
        <v>21</v>
      </c>
    </row>
    <row r="77" spans="1:27" x14ac:dyDescent="0.35">
      <c r="A77" s="1">
        <v>76</v>
      </c>
      <c r="B77" s="1" t="s">
        <v>431</v>
      </c>
      <c r="C77" s="1" t="s">
        <v>432</v>
      </c>
      <c r="D77" s="1" t="s">
        <v>433</v>
      </c>
      <c r="E77" t="s">
        <v>115</v>
      </c>
      <c r="F77" t="s">
        <v>434</v>
      </c>
      <c r="G77" t="s">
        <v>93</v>
      </c>
      <c r="H77" t="s">
        <v>27</v>
      </c>
      <c r="I77" s="1" t="s">
        <v>28</v>
      </c>
      <c r="J77" t="s">
        <v>128</v>
      </c>
      <c r="K77" t="s">
        <v>129</v>
      </c>
      <c r="L77" s="1">
        <v>148749</v>
      </c>
      <c r="M77" s="1" t="s">
        <v>66</v>
      </c>
      <c r="N77" t="s">
        <v>435</v>
      </c>
      <c r="O77" t="s">
        <v>32</v>
      </c>
      <c r="P77" t="s">
        <v>33</v>
      </c>
      <c r="Q77" t="s">
        <v>34</v>
      </c>
      <c r="R77">
        <v>28316.13</v>
      </c>
      <c r="S77" s="25" t="e">
        <f>IF(Table1[[#This Row],[Sales]]=MIN(Table1[Sales]), Table1[[#This Row],[Sales]], NA())</f>
        <v>#N/A</v>
      </c>
      <c r="T77" s="25">
        <f>IF(AND(Table1[[#This Row],[Sales]]&lt;&gt;MIN(Table1[Sales]),Table1[[#This Row],[Sales]]&lt;&gt;MAX(Table1[Sales])), Table1[[#This Row],[Sales]], NA())</f>
        <v>28316.13</v>
      </c>
      <c r="U77" s="25" t="e">
        <f>IF(Table1[[#This Row],[Sales]]=MAX(Table1[Sales]), Table1[[#This Row],[Sales]], NA())</f>
        <v>#N/A</v>
      </c>
      <c r="V77">
        <v>1</v>
      </c>
      <c r="W77">
        <v>0</v>
      </c>
      <c r="X77">
        <v>2265.29</v>
      </c>
      <c r="Y77" s="3">
        <f>YEAR(Table1[[#This Row],[Order Date]])</f>
        <v>2023</v>
      </c>
      <c r="Z77" s="3" t="str">
        <f>TEXT(Table1[[#This Row],[Order Date]],"MMM")</f>
        <v>Apr</v>
      </c>
      <c r="AA77" s="3">
        <f>DAY(Table1[[#This Row],[Order Date]])</f>
        <v>11</v>
      </c>
    </row>
    <row r="78" spans="1:27" x14ac:dyDescent="0.35">
      <c r="A78" s="1">
        <v>77</v>
      </c>
      <c r="B78" s="1" t="s">
        <v>436</v>
      </c>
      <c r="C78" s="1" t="s">
        <v>437</v>
      </c>
      <c r="D78" s="1" t="s">
        <v>438</v>
      </c>
      <c r="E78" t="s">
        <v>24</v>
      </c>
      <c r="F78" t="s">
        <v>439</v>
      </c>
      <c r="G78" t="s">
        <v>26</v>
      </c>
      <c r="H78" t="s">
        <v>41</v>
      </c>
      <c r="I78" s="1" t="s">
        <v>28</v>
      </c>
      <c r="J78" t="s">
        <v>64</v>
      </c>
      <c r="K78" t="s">
        <v>65</v>
      </c>
      <c r="L78" s="1">
        <v>128104</v>
      </c>
      <c r="M78" s="1" t="s">
        <v>66</v>
      </c>
      <c r="N78" t="s">
        <v>440</v>
      </c>
      <c r="O78" t="s">
        <v>46</v>
      </c>
      <c r="P78" t="s">
        <v>57</v>
      </c>
      <c r="Q78" t="s">
        <v>58</v>
      </c>
      <c r="R78">
        <v>62284.99</v>
      </c>
      <c r="S78" s="25" t="e">
        <f>IF(Table1[[#This Row],[Sales]]=MIN(Table1[Sales]), Table1[[#This Row],[Sales]], NA())</f>
        <v>#N/A</v>
      </c>
      <c r="T78" s="25">
        <f>IF(AND(Table1[[#This Row],[Sales]]&lt;&gt;MIN(Table1[Sales]),Table1[[#This Row],[Sales]]&lt;&gt;MAX(Table1[Sales])), Table1[[#This Row],[Sales]], NA())</f>
        <v>62284.99</v>
      </c>
      <c r="U78" s="25" t="e">
        <f>IF(Table1[[#This Row],[Sales]]=MAX(Table1[Sales]), Table1[[#This Row],[Sales]], NA())</f>
        <v>#N/A</v>
      </c>
      <c r="V78">
        <v>9</v>
      </c>
      <c r="W78">
        <v>0.3</v>
      </c>
      <c r="X78">
        <v>311.42</v>
      </c>
      <c r="Y78" s="3">
        <f>YEAR(Table1[[#This Row],[Order Date]])</f>
        <v>2022</v>
      </c>
      <c r="Z78" s="3" t="str">
        <f>TEXT(Table1[[#This Row],[Order Date]],"MMM")</f>
        <v>Feb</v>
      </c>
      <c r="AA78" s="3">
        <f>DAY(Table1[[#This Row],[Order Date]])</f>
        <v>26</v>
      </c>
    </row>
    <row r="79" spans="1:27" x14ac:dyDescent="0.35">
      <c r="A79" s="1">
        <v>78</v>
      </c>
      <c r="B79" s="1" t="s">
        <v>441</v>
      </c>
      <c r="C79" s="1" t="s">
        <v>442</v>
      </c>
      <c r="D79" s="1" t="s">
        <v>443</v>
      </c>
      <c r="E79" t="s">
        <v>62</v>
      </c>
      <c r="F79" t="s">
        <v>444</v>
      </c>
      <c r="G79" t="s">
        <v>188</v>
      </c>
      <c r="H79" t="s">
        <v>27</v>
      </c>
      <c r="I79" s="1" t="s">
        <v>28</v>
      </c>
      <c r="J79" t="s">
        <v>53</v>
      </c>
      <c r="K79" t="s">
        <v>54</v>
      </c>
      <c r="L79" s="1">
        <v>104396</v>
      </c>
      <c r="M79" s="1" t="s">
        <v>55</v>
      </c>
      <c r="N79" t="s">
        <v>445</v>
      </c>
      <c r="O79" t="s">
        <v>46</v>
      </c>
      <c r="P79" t="s">
        <v>47</v>
      </c>
      <c r="Q79" t="s">
        <v>48</v>
      </c>
      <c r="R79">
        <v>2070.69</v>
      </c>
      <c r="S79" s="25" t="e">
        <f>IF(Table1[[#This Row],[Sales]]=MIN(Table1[Sales]), Table1[[#This Row],[Sales]], NA())</f>
        <v>#N/A</v>
      </c>
      <c r="T79" s="25">
        <f>IF(AND(Table1[[#This Row],[Sales]]&lt;&gt;MIN(Table1[Sales]),Table1[[#This Row],[Sales]]&lt;&gt;MAX(Table1[Sales])), Table1[[#This Row],[Sales]], NA())</f>
        <v>2070.69</v>
      </c>
      <c r="U79" s="25" t="e">
        <f>IF(Table1[[#This Row],[Sales]]=MAX(Table1[Sales]), Table1[[#This Row],[Sales]], NA())</f>
        <v>#N/A</v>
      </c>
      <c r="V79">
        <v>9</v>
      </c>
      <c r="W79">
        <v>0.2</v>
      </c>
      <c r="X79">
        <v>62.12</v>
      </c>
      <c r="Y79" s="3">
        <f>YEAR(Table1[[#This Row],[Order Date]])</f>
        <v>2024</v>
      </c>
      <c r="Z79" s="3" t="str">
        <f>TEXT(Table1[[#This Row],[Order Date]],"MMM")</f>
        <v>Jul</v>
      </c>
      <c r="AA79" s="3">
        <f>DAY(Table1[[#This Row],[Order Date]])</f>
        <v>4</v>
      </c>
    </row>
    <row r="80" spans="1:27" x14ac:dyDescent="0.35">
      <c r="A80" s="1">
        <v>79</v>
      </c>
      <c r="B80" s="1" t="s">
        <v>446</v>
      </c>
      <c r="C80" s="1" t="s">
        <v>447</v>
      </c>
      <c r="D80" s="1" t="s">
        <v>355</v>
      </c>
      <c r="E80" t="s">
        <v>38</v>
      </c>
      <c r="F80" t="s">
        <v>448</v>
      </c>
      <c r="G80" t="s">
        <v>122</v>
      </c>
      <c r="H80" t="s">
        <v>27</v>
      </c>
      <c r="I80" s="1" t="s">
        <v>28</v>
      </c>
      <c r="J80" t="s">
        <v>29</v>
      </c>
      <c r="K80" t="s">
        <v>29</v>
      </c>
      <c r="L80" s="1">
        <v>219978</v>
      </c>
      <c r="M80" s="1" t="s">
        <v>30</v>
      </c>
      <c r="N80" t="s">
        <v>449</v>
      </c>
      <c r="O80" t="s">
        <v>32</v>
      </c>
      <c r="P80" t="s">
        <v>33</v>
      </c>
      <c r="Q80" t="s">
        <v>34</v>
      </c>
      <c r="R80">
        <v>4779.84</v>
      </c>
      <c r="S80" s="25" t="e">
        <f>IF(Table1[[#This Row],[Sales]]=MIN(Table1[Sales]), Table1[[#This Row],[Sales]], NA())</f>
        <v>#N/A</v>
      </c>
      <c r="T80" s="25">
        <f>IF(AND(Table1[[#This Row],[Sales]]&lt;&gt;MIN(Table1[Sales]),Table1[[#This Row],[Sales]]&lt;&gt;MAX(Table1[Sales])), Table1[[#This Row],[Sales]], NA())</f>
        <v>4779.84</v>
      </c>
      <c r="U80" s="25" t="e">
        <f>IF(Table1[[#This Row],[Sales]]=MAX(Table1[Sales]), Table1[[#This Row],[Sales]], NA())</f>
        <v>#N/A</v>
      </c>
      <c r="V80">
        <v>10</v>
      </c>
      <c r="W80">
        <v>0.3</v>
      </c>
      <c r="X80">
        <v>23.9</v>
      </c>
      <c r="Y80" s="3">
        <f>YEAR(Table1[[#This Row],[Order Date]])</f>
        <v>2021</v>
      </c>
      <c r="Z80" s="3" t="str">
        <f>TEXT(Table1[[#This Row],[Order Date]],"MMM")</f>
        <v>May</v>
      </c>
      <c r="AA80" s="3">
        <f>DAY(Table1[[#This Row],[Order Date]])</f>
        <v>10</v>
      </c>
    </row>
    <row r="81" spans="1:27" x14ac:dyDescent="0.35">
      <c r="A81" s="1">
        <v>80</v>
      </c>
      <c r="B81" s="1" t="s">
        <v>450</v>
      </c>
      <c r="C81" s="1" t="s">
        <v>451</v>
      </c>
      <c r="D81" s="1" t="s">
        <v>452</v>
      </c>
      <c r="E81" t="s">
        <v>115</v>
      </c>
      <c r="F81" t="s">
        <v>453</v>
      </c>
      <c r="G81" t="s">
        <v>110</v>
      </c>
      <c r="H81" t="s">
        <v>41</v>
      </c>
      <c r="I81" s="1" t="s">
        <v>28</v>
      </c>
      <c r="J81" t="s">
        <v>42</v>
      </c>
      <c r="K81" t="s">
        <v>43</v>
      </c>
      <c r="L81" s="1">
        <v>494705</v>
      </c>
      <c r="M81" s="1" t="s">
        <v>44</v>
      </c>
      <c r="N81" t="s">
        <v>454</v>
      </c>
      <c r="O81" t="s">
        <v>46</v>
      </c>
      <c r="P81" t="s">
        <v>57</v>
      </c>
      <c r="Q81" t="s">
        <v>58</v>
      </c>
      <c r="R81">
        <v>92197.56</v>
      </c>
      <c r="S81" s="25" t="e">
        <f>IF(Table1[[#This Row],[Sales]]=MIN(Table1[Sales]), Table1[[#This Row],[Sales]], NA())</f>
        <v>#N/A</v>
      </c>
      <c r="T81" s="25">
        <f>IF(AND(Table1[[#This Row],[Sales]]&lt;&gt;MIN(Table1[Sales]),Table1[[#This Row],[Sales]]&lt;&gt;MAX(Table1[Sales])), Table1[[#This Row],[Sales]], NA())</f>
        <v>92197.56</v>
      </c>
      <c r="U81" s="25" t="e">
        <f>IF(Table1[[#This Row],[Sales]]=MAX(Table1[Sales]), Table1[[#This Row],[Sales]], NA())</f>
        <v>#N/A</v>
      </c>
      <c r="V81">
        <v>8</v>
      </c>
      <c r="W81">
        <v>0.1</v>
      </c>
      <c r="X81">
        <v>5070.87</v>
      </c>
      <c r="Y81" s="3">
        <f>YEAR(Table1[[#This Row],[Order Date]])</f>
        <v>2023</v>
      </c>
      <c r="Z81" s="3" t="str">
        <f>TEXT(Table1[[#This Row],[Order Date]],"MMM")</f>
        <v>Nov</v>
      </c>
      <c r="AA81" s="3">
        <f>DAY(Table1[[#This Row],[Order Date]])</f>
        <v>2</v>
      </c>
    </row>
    <row r="82" spans="1:27" x14ac:dyDescent="0.35">
      <c r="A82" s="1">
        <v>81</v>
      </c>
      <c r="B82" s="1" t="s">
        <v>455</v>
      </c>
      <c r="C82" s="1" t="s">
        <v>456</v>
      </c>
      <c r="D82" s="1" t="s">
        <v>457</v>
      </c>
      <c r="E82" t="s">
        <v>38</v>
      </c>
      <c r="F82" t="s">
        <v>458</v>
      </c>
      <c r="G82" t="s">
        <v>188</v>
      </c>
      <c r="H82" t="s">
        <v>27</v>
      </c>
      <c r="I82" s="1" t="s">
        <v>28</v>
      </c>
      <c r="J82" t="s">
        <v>53</v>
      </c>
      <c r="K82" t="s">
        <v>54</v>
      </c>
      <c r="L82" s="1">
        <v>695545</v>
      </c>
      <c r="M82" s="1" t="s">
        <v>55</v>
      </c>
      <c r="N82" t="s">
        <v>459</v>
      </c>
      <c r="O82" t="s">
        <v>68</v>
      </c>
      <c r="P82" t="s">
        <v>69</v>
      </c>
      <c r="Q82" t="s">
        <v>70</v>
      </c>
      <c r="R82">
        <v>69808.22</v>
      </c>
      <c r="S82" s="25" t="e">
        <f>IF(Table1[[#This Row],[Sales]]=MIN(Table1[Sales]), Table1[[#This Row],[Sales]], NA())</f>
        <v>#N/A</v>
      </c>
      <c r="T82" s="25">
        <f>IF(AND(Table1[[#This Row],[Sales]]&lt;&gt;MIN(Table1[Sales]),Table1[[#This Row],[Sales]]&lt;&gt;MAX(Table1[Sales])), Table1[[#This Row],[Sales]], NA())</f>
        <v>69808.22</v>
      </c>
      <c r="U82" s="25" t="e">
        <f>IF(Table1[[#This Row],[Sales]]=MAX(Table1[Sales]), Table1[[#This Row],[Sales]], NA())</f>
        <v>#N/A</v>
      </c>
      <c r="V82">
        <v>1</v>
      </c>
      <c r="W82">
        <v>0.3</v>
      </c>
      <c r="X82">
        <v>349.04</v>
      </c>
      <c r="Y82" s="3">
        <f>YEAR(Table1[[#This Row],[Order Date]])</f>
        <v>2024</v>
      </c>
      <c r="Z82" s="3" t="str">
        <f>TEXT(Table1[[#This Row],[Order Date]],"MMM")</f>
        <v>Nov</v>
      </c>
      <c r="AA82" s="3">
        <f>DAY(Table1[[#This Row],[Order Date]])</f>
        <v>19</v>
      </c>
    </row>
    <row r="83" spans="1:27" x14ac:dyDescent="0.35">
      <c r="A83" s="1">
        <v>82</v>
      </c>
      <c r="B83" s="1" t="s">
        <v>460</v>
      </c>
      <c r="C83" s="1" t="s">
        <v>461</v>
      </c>
      <c r="D83" s="1" t="s">
        <v>418</v>
      </c>
      <c r="E83" t="s">
        <v>38</v>
      </c>
      <c r="F83" t="s">
        <v>462</v>
      </c>
      <c r="G83" t="s">
        <v>140</v>
      </c>
      <c r="H83" t="s">
        <v>41</v>
      </c>
      <c r="I83" s="1" t="s">
        <v>28</v>
      </c>
      <c r="J83" t="s">
        <v>128</v>
      </c>
      <c r="K83" t="s">
        <v>129</v>
      </c>
      <c r="L83" s="1">
        <v>924421</v>
      </c>
      <c r="M83" s="1" t="s">
        <v>66</v>
      </c>
      <c r="N83" t="s">
        <v>463</v>
      </c>
      <c r="O83" t="s">
        <v>68</v>
      </c>
      <c r="P83" t="s">
        <v>69</v>
      </c>
      <c r="Q83" t="s">
        <v>70</v>
      </c>
      <c r="R83">
        <v>84122.35</v>
      </c>
      <c r="S83" s="25" t="e">
        <f>IF(Table1[[#This Row],[Sales]]=MIN(Table1[Sales]), Table1[[#This Row],[Sales]], NA())</f>
        <v>#N/A</v>
      </c>
      <c r="T83" s="25">
        <f>IF(AND(Table1[[#This Row],[Sales]]&lt;&gt;MIN(Table1[Sales]),Table1[[#This Row],[Sales]]&lt;&gt;MAX(Table1[Sales])), Table1[[#This Row],[Sales]], NA())</f>
        <v>84122.35</v>
      </c>
      <c r="U83" s="25" t="e">
        <f>IF(Table1[[#This Row],[Sales]]=MAX(Table1[Sales]), Table1[[#This Row],[Sales]], NA())</f>
        <v>#N/A</v>
      </c>
      <c r="V83">
        <v>1</v>
      </c>
      <c r="W83">
        <v>0</v>
      </c>
      <c r="X83">
        <v>6729.79</v>
      </c>
      <c r="Y83" s="3">
        <f>YEAR(Table1[[#This Row],[Order Date]])</f>
        <v>2021</v>
      </c>
      <c r="Z83" s="3" t="str">
        <f>TEXT(Table1[[#This Row],[Order Date]],"MMM")</f>
        <v>May</v>
      </c>
      <c r="AA83" s="3">
        <f>DAY(Table1[[#This Row],[Order Date]])</f>
        <v>1</v>
      </c>
    </row>
    <row r="84" spans="1:27" x14ac:dyDescent="0.35">
      <c r="A84" s="1">
        <v>83</v>
      </c>
      <c r="B84" s="1" t="s">
        <v>464</v>
      </c>
      <c r="C84" s="1" t="s">
        <v>465</v>
      </c>
      <c r="D84" s="1" t="s">
        <v>466</v>
      </c>
      <c r="E84" t="s">
        <v>62</v>
      </c>
      <c r="F84" t="s">
        <v>467</v>
      </c>
      <c r="G84" t="s">
        <v>140</v>
      </c>
      <c r="H84" t="s">
        <v>27</v>
      </c>
      <c r="I84" s="1" t="s">
        <v>28</v>
      </c>
      <c r="J84" t="s">
        <v>53</v>
      </c>
      <c r="K84" t="s">
        <v>54</v>
      </c>
      <c r="L84" s="1">
        <v>608471</v>
      </c>
      <c r="M84" s="1" t="s">
        <v>55</v>
      </c>
      <c r="N84" t="s">
        <v>468</v>
      </c>
      <c r="O84" t="s">
        <v>32</v>
      </c>
      <c r="P84" t="s">
        <v>33</v>
      </c>
      <c r="Q84" t="s">
        <v>34</v>
      </c>
      <c r="R84">
        <v>83979.87</v>
      </c>
      <c r="S84" s="25" t="e">
        <f>IF(Table1[[#This Row],[Sales]]=MIN(Table1[Sales]), Table1[[#This Row],[Sales]], NA())</f>
        <v>#N/A</v>
      </c>
      <c r="T84" s="25">
        <f>IF(AND(Table1[[#This Row],[Sales]]&lt;&gt;MIN(Table1[Sales]),Table1[[#This Row],[Sales]]&lt;&gt;MAX(Table1[Sales])), Table1[[#This Row],[Sales]], NA())</f>
        <v>83979.87</v>
      </c>
      <c r="U84" s="25" t="e">
        <f>IF(Table1[[#This Row],[Sales]]=MAX(Table1[Sales]), Table1[[#This Row],[Sales]], NA())</f>
        <v>#N/A</v>
      </c>
      <c r="V84">
        <v>6</v>
      </c>
      <c r="W84">
        <v>0.3</v>
      </c>
      <c r="X84">
        <v>419.9</v>
      </c>
      <c r="Y84" s="3">
        <f>YEAR(Table1[[#This Row],[Order Date]])</f>
        <v>2025</v>
      </c>
      <c r="Z84" s="3" t="str">
        <f>TEXT(Table1[[#This Row],[Order Date]],"MMM")</f>
        <v>Aug</v>
      </c>
      <c r="AA84" s="3">
        <f>DAY(Table1[[#This Row],[Order Date]])</f>
        <v>9</v>
      </c>
    </row>
    <row r="85" spans="1:27" x14ac:dyDescent="0.35">
      <c r="A85" s="1">
        <v>84</v>
      </c>
      <c r="B85" s="1" t="s">
        <v>469</v>
      </c>
      <c r="C85" s="1" t="s">
        <v>470</v>
      </c>
      <c r="D85" s="1" t="s">
        <v>471</v>
      </c>
      <c r="E85" t="s">
        <v>38</v>
      </c>
      <c r="F85" t="s">
        <v>472</v>
      </c>
      <c r="G85" t="s">
        <v>110</v>
      </c>
      <c r="H85" t="s">
        <v>41</v>
      </c>
      <c r="I85" s="1" t="s">
        <v>28</v>
      </c>
      <c r="J85" t="s">
        <v>64</v>
      </c>
      <c r="K85" t="s">
        <v>65</v>
      </c>
      <c r="L85" s="1">
        <v>190537</v>
      </c>
      <c r="M85" s="1" t="s">
        <v>66</v>
      </c>
      <c r="N85" t="s">
        <v>473</v>
      </c>
      <c r="O85" t="s">
        <v>46</v>
      </c>
      <c r="P85" t="s">
        <v>57</v>
      </c>
      <c r="Q85" t="s">
        <v>58</v>
      </c>
      <c r="R85">
        <v>28405</v>
      </c>
      <c r="S85" s="25" t="e">
        <f>IF(Table1[[#This Row],[Sales]]=MIN(Table1[Sales]), Table1[[#This Row],[Sales]], NA())</f>
        <v>#N/A</v>
      </c>
      <c r="T85" s="25">
        <f>IF(AND(Table1[[#This Row],[Sales]]&lt;&gt;MIN(Table1[Sales]),Table1[[#This Row],[Sales]]&lt;&gt;MAX(Table1[Sales])), Table1[[#This Row],[Sales]], NA())</f>
        <v>28405</v>
      </c>
      <c r="U85" s="25" t="e">
        <f>IF(Table1[[#This Row],[Sales]]=MAX(Table1[Sales]), Table1[[#This Row],[Sales]], NA())</f>
        <v>#N/A</v>
      </c>
      <c r="V85">
        <v>6</v>
      </c>
      <c r="W85">
        <v>0</v>
      </c>
      <c r="X85">
        <v>2272.4</v>
      </c>
      <c r="Y85" s="3">
        <f>YEAR(Table1[[#This Row],[Order Date]])</f>
        <v>2025</v>
      </c>
      <c r="Z85" s="3" t="str">
        <f>TEXT(Table1[[#This Row],[Order Date]],"MMM")</f>
        <v>Apr</v>
      </c>
      <c r="AA85" s="3">
        <f>DAY(Table1[[#This Row],[Order Date]])</f>
        <v>24</v>
      </c>
    </row>
    <row r="86" spans="1:27" x14ac:dyDescent="0.35">
      <c r="A86" s="1">
        <v>85</v>
      </c>
      <c r="B86" s="1" t="s">
        <v>474</v>
      </c>
      <c r="C86" s="1" t="s">
        <v>475</v>
      </c>
      <c r="D86" s="1" t="s">
        <v>476</v>
      </c>
      <c r="E86" t="s">
        <v>38</v>
      </c>
      <c r="F86" t="s">
        <v>477</v>
      </c>
      <c r="G86" t="s">
        <v>122</v>
      </c>
      <c r="H86" t="s">
        <v>94</v>
      </c>
      <c r="I86" s="1" t="s">
        <v>28</v>
      </c>
      <c r="J86" t="s">
        <v>64</v>
      </c>
      <c r="K86" t="s">
        <v>65</v>
      </c>
      <c r="L86" s="1">
        <v>759744</v>
      </c>
      <c r="M86" s="1" t="s">
        <v>66</v>
      </c>
      <c r="N86" t="s">
        <v>478</v>
      </c>
      <c r="O86" t="s">
        <v>32</v>
      </c>
      <c r="P86" t="s">
        <v>33</v>
      </c>
      <c r="Q86" t="s">
        <v>34</v>
      </c>
      <c r="R86">
        <v>81396.100000000006</v>
      </c>
      <c r="S86" s="25" t="e">
        <f>IF(Table1[[#This Row],[Sales]]=MIN(Table1[Sales]), Table1[[#This Row],[Sales]], NA())</f>
        <v>#N/A</v>
      </c>
      <c r="T86" s="25">
        <f>IF(AND(Table1[[#This Row],[Sales]]&lt;&gt;MIN(Table1[Sales]),Table1[[#This Row],[Sales]]&lt;&gt;MAX(Table1[Sales])), Table1[[#This Row],[Sales]], NA())</f>
        <v>81396.100000000006</v>
      </c>
      <c r="U86" s="25" t="e">
        <f>IF(Table1[[#This Row],[Sales]]=MAX(Table1[Sales]), Table1[[#This Row],[Sales]], NA())</f>
        <v>#N/A</v>
      </c>
      <c r="V86">
        <v>3</v>
      </c>
      <c r="W86">
        <v>0</v>
      </c>
      <c r="X86">
        <v>6511.69</v>
      </c>
      <c r="Y86" s="3">
        <f>YEAR(Table1[[#This Row],[Order Date]])</f>
        <v>2024</v>
      </c>
      <c r="Z86" s="3" t="str">
        <f>TEXT(Table1[[#This Row],[Order Date]],"MMM")</f>
        <v>Oct</v>
      </c>
      <c r="AA86" s="3">
        <f>DAY(Table1[[#This Row],[Order Date]])</f>
        <v>15</v>
      </c>
    </row>
    <row r="87" spans="1:27" x14ac:dyDescent="0.35">
      <c r="A87" s="1">
        <v>86</v>
      </c>
      <c r="B87" s="1" t="s">
        <v>479</v>
      </c>
      <c r="C87" s="1" t="s">
        <v>480</v>
      </c>
      <c r="D87" s="1" t="s">
        <v>481</v>
      </c>
      <c r="E87" t="s">
        <v>62</v>
      </c>
      <c r="F87" t="s">
        <v>482</v>
      </c>
      <c r="G87" t="s">
        <v>140</v>
      </c>
      <c r="H87" t="s">
        <v>94</v>
      </c>
      <c r="I87" s="1" t="s">
        <v>28</v>
      </c>
      <c r="J87" t="s">
        <v>42</v>
      </c>
      <c r="K87" t="s">
        <v>43</v>
      </c>
      <c r="L87" s="1">
        <v>973602</v>
      </c>
      <c r="M87" s="1" t="s">
        <v>44</v>
      </c>
      <c r="N87" t="s">
        <v>483</v>
      </c>
      <c r="O87" t="s">
        <v>46</v>
      </c>
      <c r="P87" t="s">
        <v>47</v>
      </c>
      <c r="Q87" t="s">
        <v>48</v>
      </c>
      <c r="R87">
        <v>15692.73</v>
      </c>
      <c r="S87" s="25" t="e">
        <f>IF(Table1[[#This Row],[Sales]]=MIN(Table1[Sales]), Table1[[#This Row],[Sales]], NA())</f>
        <v>#N/A</v>
      </c>
      <c r="T87" s="25">
        <f>IF(AND(Table1[[#This Row],[Sales]]&lt;&gt;MIN(Table1[Sales]),Table1[[#This Row],[Sales]]&lt;&gt;MAX(Table1[Sales])), Table1[[#This Row],[Sales]], NA())</f>
        <v>15692.73</v>
      </c>
      <c r="U87" s="25" t="e">
        <f>IF(Table1[[#This Row],[Sales]]=MAX(Table1[Sales]), Table1[[#This Row],[Sales]], NA())</f>
        <v>#N/A</v>
      </c>
      <c r="V87">
        <v>7</v>
      </c>
      <c r="W87">
        <v>0.1</v>
      </c>
      <c r="X87">
        <v>863.1</v>
      </c>
      <c r="Y87" s="3">
        <f>YEAR(Table1[[#This Row],[Order Date]])</f>
        <v>2024</v>
      </c>
      <c r="Z87" s="3" t="str">
        <f>TEXT(Table1[[#This Row],[Order Date]],"MMM")</f>
        <v>Dec</v>
      </c>
      <c r="AA87" s="3">
        <f>DAY(Table1[[#This Row],[Order Date]])</f>
        <v>29</v>
      </c>
    </row>
    <row r="88" spans="1:27" x14ac:dyDescent="0.35">
      <c r="A88" s="1">
        <v>87</v>
      </c>
      <c r="B88" s="1" t="s">
        <v>484</v>
      </c>
      <c r="C88" s="1" t="s">
        <v>485</v>
      </c>
      <c r="D88" s="1" t="s">
        <v>486</v>
      </c>
      <c r="E88" t="s">
        <v>38</v>
      </c>
      <c r="F88" t="s">
        <v>487</v>
      </c>
      <c r="G88" t="s">
        <v>122</v>
      </c>
      <c r="H88" t="s">
        <v>27</v>
      </c>
      <c r="I88" s="1" t="s">
        <v>28</v>
      </c>
      <c r="J88" t="s">
        <v>128</v>
      </c>
      <c r="K88" t="s">
        <v>129</v>
      </c>
      <c r="L88" s="1">
        <v>369739</v>
      </c>
      <c r="M88" s="1" t="s">
        <v>66</v>
      </c>
      <c r="N88" t="s">
        <v>488</v>
      </c>
      <c r="O88" t="s">
        <v>46</v>
      </c>
      <c r="P88" t="s">
        <v>47</v>
      </c>
      <c r="Q88" t="s">
        <v>48</v>
      </c>
      <c r="R88">
        <v>58035.01</v>
      </c>
      <c r="S88" s="25" t="e">
        <f>IF(Table1[[#This Row],[Sales]]=MIN(Table1[Sales]), Table1[[#This Row],[Sales]], NA())</f>
        <v>#N/A</v>
      </c>
      <c r="T88" s="25">
        <f>IF(AND(Table1[[#This Row],[Sales]]&lt;&gt;MIN(Table1[Sales]),Table1[[#This Row],[Sales]]&lt;&gt;MAX(Table1[Sales])), Table1[[#This Row],[Sales]], NA())</f>
        <v>58035.01</v>
      </c>
      <c r="U88" s="25" t="e">
        <f>IF(Table1[[#This Row],[Sales]]=MAX(Table1[Sales]), Table1[[#This Row],[Sales]], NA())</f>
        <v>#N/A</v>
      </c>
      <c r="V88">
        <v>6</v>
      </c>
      <c r="W88">
        <v>0.3</v>
      </c>
      <c r="X88">
        <v>290.18</v>
      </c>
      <c r="Y88" s="3">
        <f>YEAR(Table1[[#This Row],[Order Date]])</f>
        <v>2022</v>
      </c>
      <c r="Z88" s="3" t="str">
        <f>TEXT(Table1[[#This Row],[Order Date]],"MMM")</f>
        <v>Mar</v>
      </c>
      <c r="AA88" s="3">
        <f>DAY(Table1[[#This Row],[Order Date]])</f>
        <v>3</v>
      </c>
    </row>
    <row r="89" spans="1:27" x14ac:dyDescent="0.35">
      <c r="A89" s="1">
        <v>88</v>
      </c>
      <c r="B89" s="1" t="s">
        <v>489</v>
      </c>
      <c r="C89" s="1" t="s">
        <v>490</v>
      </c>
      <c r="D89" s="1" t="s">
        <v>491</v>
      </c>
      <c r="E89" t="s">
        <v>38</v>
      </c>
      <c r="F89" t="s">
        <v>492</v>
      </c>
      <c r="G89" t="s">
        <v>81</v>
      </c>
      <c r="H89" t="s">
        <v>27</v>
      </c>
      <c r="I89" s="1" t="s">
        <v>28</v>
      </c>
      <c r="J89" t="s">
        <v>53</v>
      </c>
      <c r="K89" t="s">
        <v>54</v>
      </c>
      <c r="L89" s="1">
        <v>486265</v>
      </c>
      <c r="M89" s="1" t="s">
        <v>55</v>
      </c>
      <c r="N89" t="s">
        <v>493</v>
      </c>
      <c r="O89" t="s">
        <v>46</v>
      </c>
      <c r="P89" t="s">
        <v>47</v>
      </c>
      <c r="Q89" t="s">
        <v>48</v>
      </c>
      <c r="R89">
        <v>61225.26</v>
      </c>
      <c r="S89" s="25" t="e">
        <f>IF(Table1[[#This Row],[Sales]]=MIN(Table1[Sales]), Table1[[#This Row],[Sales]], NA())</f>
        <v>#N/A</v>
      </c>
      <c r="T89" s="25">
        <f>IF(AND(Table1[[#This Row],[Sales]]&lt;&gt;MIN(Table1[Sales]),Table1[[#This Row],[Sales]]&lt;&gt;MAX(Table1[Sales])), Table1[[#This Row],[Sales]], NA())</f>
        <v>61225.26</v>
      </c>
      <c r="U89" s="25" t="e">
        <f>IF(Table1[[#This Row],[Sales]]=MAX(Table1[Sales]), Table1[[#This Row],[Sales]], NA())</f>
        <v>#N/A</v>
      </c>
      <c r="V89">
        <v>2</v>
      </c>
      <c r="W89">
        <v>0.3</v>
      </c>
      <c r="X89">
        <v>306.13</v>
      </c>
      <c r="Y89" s="3">
        <f>YEAR(Table1[[#This Row],[Order Date]])</f>
        <v>2025</v>
      </c>
      <c r="Z89" s="3" t="str">
        <f>TEXT(Table1[[#This Row],[Order Date]],"MMM")</f>
        <v>Sep</v>
      </c>
      <c r="AA89" s="3">
        <f>DAY(Table1[[#This Row],[Order Date]])</f>
        <v>8</v>
      </c>
    </row>
    <row r="90" spans="1:27" x14ac:dyDescent="0.35">
      <c r="A90" s="1">
        <v>89</v>
      </c>
      <c r="B90" s="1" t="s">
        <v>494</v>
      </c>
      <c r="C90" s="1" t="s">
        <v>495</v>
      </c>
      <c r="D90" s="1" t="s">
        <v>496</v>
      </c>
      <c r="E90" t="s">
        <v>24</v>
      </c>
      <c r="F90" t="s">
        <v>497</v>
      </c>
      <c r="G90" t="s">
        <v>110</v>
      </c>
      <c r="H90" t="s">
        <v>27</v>
      </c>
      <c r="I90" s="1" t="s">
        <v>28</v>
      </c>
      <c r="J90" t="s">
        <v>64</v>
      </c>
      <c r="K90" t="s">
        <v>65</v>
      </c>
      <c r="L90" s="1">
        <v>231921</v>
      </c>
      <c r="M90" s="1" t="s">
        <v>66</v>
      </c>
      <c r="N90" t="s">
        <v>498</v>
      </c>
      <c r="O90" t="s">
        <v>32</v>
      </c>
      <c r="P90" t="s">
        <v>33</v>
      </c>
      <c r="Q90" t="s">
        <v>34</v>
      </c>
      <c r="R90">
        <v>13554.8</v>
      </c>
      <c r="S90" s="25" t="e">
        <f>IF(Table1[[#This Row],[Sales]]=MIN(Table1[Sales]), Table1[[#This Row],[Sales]], NA())</f>
        <v>#N/A</v>
      </c>
      <c r="T90" s="25">
        <f>IF(AND(Table1[[#This Row],[Sales]]&lt;&gt;MIN(Table1[Sales]),Table1[[#This Row],[Sales]]&lt;&gt;MAX(Table1[Sales])), Table1[[#This Row],[Sales]], NA())</f>
        <v>13554.8</v>
      </c>
      <c r="U90" s="25" t="e">
        <f>IF(Table1[[#This Row],[Sales]]=MAX(Table1[Sales]), Table1[[#This Row],[Sales]], NA())</f>
        <v>#N/A</v>
      </c>
      <c r="V90">
        <v>2</v>
      </c>
      <c r="W90">
        <v>0</v>
      </c>
      <c r="X90">
        <v>1084.3800000000001</v>
      </c>
      <c r="Y90" s="3">
        <f>YEAR(Table1[[#This Row],[Order Date]])</f>
        <v>2021</v>
      </c>
      <c r="Z90" s="3" t="str">
        <f>TEXT(Table1[[#This Row],[Order Date]],"MMM")</f>
        <v>Jul</v>
      </c>
      <c r="AA90" s="3">
        <f>DAY(Table1[[#This Row],[Order Date]])</f>
        <v>1</v>
      </c>
    </row>
    <row r="91" spans="1:27" x14ac:dyDescent="0.35">
      <c r="A91" s="1">
        <v>90</v>
      </c>
      <c r="B91" s="1" t="s">
        <v>499</v>
      </c>
      <c r="C91" s="1" t="s">
        <v>500</v>
      </c>
      <c r="D91" s="1" t="s">
        <v>501</v>
      </c>
      <c r="E91" t="s">
        <v>115</v>
      </c>
      <c r="F91" t="s">
        <v>502</v>
      </c>
      <c r="G91" t="s">
        <v>87</v>
      </c>
      <c r="H91" t="s">
        <v>27</v>
      </c>
      <c r="I91" s="1" t="s">
        <v>28</v>
      </c>
      <c r="J91" t="s">
        <v>128</v>
      </c>
      <c r="K91" t="s">
        <v>129</v>
      </c>
      <c r="L91" s="1">
        <v>611047</v>
      </c>
      <c r="M91" s="1" t="s">
        <v>66</v>
      </c>
      <c r="N91" t="s">
        <v>503</v>
      </c>
      <c r="O91" t="s">
        <v>68</v>
      </c>
      <c r="P91" t="s">
        <v>69</v>
      </c>
      <c r="Q91" t="s">
        <v>70</v>
      </c>
      <c r="R91">
        <v>27508.83</v>
      </c>
      <c r="S91" s="25" t="e">
        <f>IF(Table1[[#This Row],[Sales]]=MIN(Table1[Sales]), Table1[[#This Row],[Sales]], NA())</f>
        <v>#N/A</v>
      </c>
      <c r="T91" s="25">
        <f>IF(AND(Table1[[#This Row],[Sales]]&lt;&gt;MIN(Table1[Sales]),Table1[[#This Row],[Sales]]&lt;&gt;MAX(Table1[Sales])), Table1[[#This Row],[Sales]], NA())</f>
        <v>27508.83</v>
      </c>
      <c r="U91" s="25" t="e">
        <f>IF(Table1[[#This Row],[Sales]]=MAX(Table1[Sales]), Table1[[#This Row],[Sales]], NA())</f>
        <v>#N/A</v>
      </c>
      <c r="V91">
        <v>7</v>
      </c>
      <c r="W91">
        <v>0</v>
      </c>
      <c r="X91">
        <v>2200.71</v>
      </c>
      <c r="Y91" s="3">
        <f>YEAR(Table1[[#This Row],[Order Date]])</f>
        <v>2021</v>
      </c>
      <c r="Z91" s="3" t="str">
        <f>TEXT(Table1[[#This Row],[Order Date]],"MMM")</f>
        <v>Mar</v>
      </c>
      <c r="AA91" s="3">
        <f>DAY(Table1[[#This Row],[Order Date]])</f>
        <v>25</v>
      </c>
    </row>
    <row r="92" spans="1:27" x14ac:dyDescent="0.35">
      <c r="A92" s="1">
        <v>91</v>
      </c>
      <c r="B92" s="1" t="s">
        <v>504</v>
      </c>
      <c r="C92" s="1" t="s">
        <v>505</v>
      </c>
      <c r="D92" s="1" t="s">
        <v>506</v>
      </c>
      <c r="E92" t="s">
        <v>38</v>
      </c>
      <c r="F92" t="s">
        <v>507</v>
      </c>
      <c r="G92" t="s">
        <v>40</v>
      </c>
      <c r="H92" t="s">
        <v>41</v>
      </c>
      <c r="I92" s="1" t="s">
        <v>28</v>
      </c>
      <c r="J92" t="s">
        <v>53</v>
      </c>
      <c r="K92" t="s">
        <v>54</v>
      </c>
      <c r="L92" s="1">
        <v>621988</v>
      </c>
      <c r="M92" s="1" t="s">
        <v>55</v>
      </c>
      <c r="N92" t="s">
        <v>508</v>
      </c>
      <c r="O92" t="s">
        <v>32</v>
      </c>
      <c r="P92" t="s">
        <v>33</v>
      </c>
      <c r="Q92" t="s">
        <v>34</v>
      </c>
      <c r="R92">
        <v>72099.070000000007</v>
      </c>
      <c r="S92" s="25" t="e">
        <f>IF(Table1[[#This Row],[Sales]]=MIN(Table1[Sales]), Table1[[#This Row],[Sales]], NA())</f>
        <v>#N/A</v>
      </c>
      <c r="T92" s="25">
        <f>IF(AND(Table1[[#This Row],[Sales]]&lt;&gt;MIN(Table1[Sales]),Table1[[#This Row],[Sales]]&lt;&gt;MAX(Table1[Sales])), Table1[[#This Row],[Sales]], NA())</f>
        <v>72099.070000000007</v>
      </c>
      <c r="U92" s="25" t="e">
        <f>IF(Table1[[#This Row],[Sales]]=MAX(Table1[Sales]), Table1[[#This Row],[Sales]], NA())</f>
        <v>#N/A</v>
      </c>
      <c r="V92">
        <v>3</v>
      </c>
      <c r="W92">
        <v>0</v>
      </c>
      <c r="X92">
        <v>5767.93</v>
      </c>
      <c r="Y92" s="3">
        <f>YEAR(Table1[[#This Row],[Order Date]])</f>
        <v>2023</v>
      </c>
      <c r="Z92" s="3" t="str">
        <f>TEXT(Table1[[#This Row],[Order Date]],"MMM")</f>
        <v>Jul</v>
      </c>
      <c r="AA92" s="3">
        <f>DAY(Table1[[#This Row],[Order Date]])</f>
        <v>30</v>
      </c>
    </row>
    <row r="93" spans="1:27" x14ac:dyDescent="0.35">
      <c r="A93" s="1">
        <v>92</v>
      </c>
      <c r="B93" s="1" t="s">
        <v>509</v>
      </c>
      <c r="C93" s="1" t="s">
        <v>510</v>
      </c>
      <c r="D93" s="1" t="s">
        <v>108</v>
      </c>
      <c r="E93" t="s">
        <v>38</v>
      </c>
      <c r="F93" t="s">
        <v>511</v>
      </c>
      <c r="G93" t="s">
        <v>87</v>
      </c>
      <c r="H93" t="s">
        <v>27</v>
      </c>
      <c r="I93" s="1" t="s">
        <v>28</v>
      </c>
      <c r="J93" t="s">
        <v>128</v>
      </c>
      <c r="K93" t="s">
        <v>129</v>
      </c>
      <c r="L93" s="1">
        <v>781510</v>
      </c>
      <c r="M93" s="1" t="s">
        <v>66</v>
      </c>
      <c r="N93" t="s">
        <v>512</v>
      </c>
      <c r="O93" t="s">
        <v>46</v>
      </c>
      <c r="P93" t="s">
        <v>47</v>
      </c>
      <c r="Q93" t="s">
        <v>48</v>
      </c>
      <c r="R93">
        <v>33701.129999999997</v>
      </c>
      <c r="S93" s="25" t="e">
        <f>IF(Table1[[#This Row],[Sales]]=MIN(Table1[Sales]), Table1[[#This Row],[Sales]], NA())</f>
        <v>#N/A</v>
      </c>
      <c r="T93" s="25">
        <f>IF(AND(Table1[[#This Row],[Sales]]&lt;&gt;MIN(Table1[Sales]),Table1[[#This Row],[Sales]]&lt;&gt;MAX(Table1[Sales])), Table1[[#This Row],[Sales]], NA())</f>
        <v>33701.129999999997</v>
      </c>
      <c r="U93" s="25" t="e">
        <f>IF(Table1[[#This Row],[Sales]]=MAX(Table1[Sales]), Table1[[#This Row],[Sales]], NA())</f>
        <v>#N/A</v>
      </c>
      <c r="V93">
        <v>6</v>
      </c>
      <c r="W93">
        <v>0.1</v>
      </c>
      <c r="X93">
        <v>1853.56</v>
      </c>
      <c r="Y93" s="3">
        <f>YEAR(Table1[[#This Row],[Order Date]])</f>
        <v>2024</v>
      </c>
      <c r="Z93" s="3" t="str">
        <f>TEXT(Table1[[#This Row],[Order Date]],"MMM")</f>
        <v>Apr</v>
      </c>
      <c r="AA93" s="3">
        <f>DAY(Table1[[#This Row],[Order Date]])</f>
        <v>3</v>
      </c>
    </row>
    <row r="94" spans="1:27" x14ac:dyDescent="0.35">
      <c r="A94" s="1">
        <v>93</v>
      </c>
      <c r="B94" s="1" t="s">
        <v>513</v>
      </c>
      <c r="C94" s="1" t="s">
        <v>514</v>
      </c>
      <c r="D94" s="1" t="s">
        <v>515</v>
      </c>
      <c r="E94" t="s">
        <v>115</v>
      </c>
      <c r="F94" t="s">
        <v>516</v>
      </c>
      <c r="G94" t="s">
        <v>75</v>
      </c>
      <c r="H94" t="s">
        <v>94</v>
      </c>
      <c r="I94" s="1" t="s">
        <v>28</v>
      </c>
      <c r="J94" t="s">
        <v>53</v>
      </c>
      <c r="K94" t="s">
        <v>54</v>
      </c>
      <c r="L94" s="1">
        <v>981719</v>
      </c>
      <c r="M94" s="1" t="s">
        <v>55</v>
      </c>
      <c r="N94" t="s">
        <v>517</v>
      </c>
      <c r="O94" t="s">
        <v>32</v>
      </c>
      <c r="P94" t="s">
        <v>33</v>
      </c>
      <c r="Q94" t="s">
        <v>34</v>
      </c>
      <c r="R94">
        <v>37501.050000000003</v>
      </c>
      <c r="S94" s="25" t="e">
        <f>IF(Table1[[#This Row],[Sales]]=MIN(Table1[Sales]), Table1[[#This Row],[Sales]], NA())</f>
        <v>#N/A</v>
      </c>
      <c r="T94" s="25">
        <f>IF(AND(Table1[[#This Row],[Sales]]&lt;&gt;MIN(Table1[Sales]),Table1[[#This Row],[Sales]]&lt;&gt;MAX(Table1[Sales])), Table1[[#This Row],[Sales]], NA())</f>
        <v>37501.050000000003</v>
      </c>
      <c r="U94" s="25" t="e">
        <f>IF(Table1[[#This Row],[Sales]]=MAX(Table1[Sales]), Table1[[#This Row],[Sales]], NA())</f>
        <v>#N/A</v>
      </c>
      <c r="V94">
        <v>4</v>
      </c>
      <c r="W94">
        <v>0.2</v>
      </c>
      <c r="X94">
        <v>1125.03</v>
      </c>
      <c r="Y94" s="3">
        <f>YEAR(Table1[[#This Row],[Order Date]])</f>
        <v>2025</v>
      </c>
      <c r="Z94" s="3" t="str">
        <f>TEXT(Table1[[#This Row],[Order Date]],"MMM")</f>
        <v>Oct</v>
      </c>
      <c r="AA94" s="3">
        <f>DAY(Table1[[#This Row],[Order Date]])</f>
        <v>20</v>
      </c>
    </row>
    <row r="95" spans="1:27" x14ac:dyDescent="0.35">
      <c r="A95" s="1">
        <v>94</v>
      </c>
      <c r="B95" s="1" t="s">
        <v>518</v>
      </c>
      <c r="C95" s="1" t="s">
        <v>519</v>
      </c>
      <c r="D95" s="1" t="s">
        <v>520</v>
      </c>
      <c r="E95" t="s">
        <v>24</v>
      </c>
      <c r="F95" t="s">
        <v>521</v>
      </c>
      <c r="G95" t="s">
        <v>40</v>
      </c>
      <c r="H95" t="s">
        <v>27</v>
      </c>
      <c r="I95" s="1" t="s">
        <v>28</v>
      </c>
      <c r="J95" t="s">
        <v>64</v>
      </c>
      <c r="K95" t="s">
        <v>65</v>
      </c>
      <c r="L95" s="1">
        <v>458960</v>
      </c>
      <c r="M95" s="1" t="s">
        <v>66</v>
      </c>
      <c r="N95" t="s">
        <v>522</v>
      </c>
      <c r="O95" t="s">
        <v>32</v>
      </c>
      <c r="P95" t="s">
        <v>33</v>
      </c>
      <c r="Q95" t="s">
        <v>34</v>
      </c>
      <c r="R95">
        <v>31456.59</v>
      </c>
      <c r="S95" s="25" t="e">
        <f>IF(Table1[[#This Row],[Sales]]=MIN(Table1[Sales]), Table1[[#This Row],[Sales]], NA())</f>
        <v>#N/A</v>
      </c>
      <c r="T95" s="25">
        <f>IF(AND(Table1[[#This Row],[Sales]]&lt;&gt;MIN(Table1[Sales]),Table1[[#This Row],[Sales]]&lt;&gt;MAX(Table1[Sales])), Table1[[#This Row],[Sales]], NA())</f>
        <v>31456.59</v>
      </c>
      <c r="U95" s="25" t="e">
        <f>IF(Table1[[#This Row],[Sales]]=MAX(Table1[Sales]), Table1[[#This Row],[Sales]], NA())</f>
        <v>#N/A</v>
      </c>
      <c r="V95">
        <v>5</v>
      </c>
      <c r="W95">
        <v>0.2</v>
      </c>
      <c r="X95">
        <v>943.7</v>
      </c>
      <c r="Y95" s="3">
        <f>YEAR(Table1[[#This Row],[Order Date]])</f>
        <v>2021</v>
      </c>
      <c r="Z95" s="3" t="str">
        <f>TEXT(Table1[[#This Row],[Order Date]],"MMM")</f>
        <v>Apr</v>
      </c>
      <c r="AA95" s="3">
        <f>DAY(Table1[[#This Row],[Order Date]])</f>
        <v>2</v>
      </c>
    </row>
    <row r="96" spans="1:27" x14ac:dyDescent="0.35">
      <c r="A96" s="1">
        <v>95</v>
      </c>
      <c r="B96" s="1" t="s">
        <v>523</v>
      </c>
      <c r="C96" s="1" t="s">
        <v>266</v>
      </c>
      <c r="D96" s="1" t="s">
        <v>524</v>
      </c>
      <c r="E96" t="s">
        <v>115</v>
      </c>
      <c r="F96" t="s">
        <v>525</v>
      </c>
      <c r="G96" t="s">
        <v>122</v>
      </c>
      <c r="H96" t="s">
        <v>41</v>
      </c>
      <c r="I96" s="1" t="s">
        <v>28</v>
      </c>
      <c r="J96" t="s">
        <v>42</v>
      </c>
      <c r="K96" t="s">
        <v>43</v>
      </c>
      <c r="L96" s="1">
        <v>290942</v>
      </c>
      <c r="M96" s="1" t="s">
        <v>44</v>
      </c>
      <c r="N96" t="s">
        <v>526</v>
      </c>
      <c r="O96" t="s">
        <v>32</v>
      </c>
      <c r="P96" t="s">
        <v>33</v>
      </c>
      <c r="Q96" t="s">
        <v>34</v>
      </c>
      <c r="R96">
        <v>52142.43</v>
      </c>
      <c r="S96" s="25" t="e">
        <f>IF(Table1[[#This Row],[Sales]]=MIN(Table1[Sales]), Table1[[#This Row],[Sales]], NA())</f>
        <v>#N/A</v>
      </c>
      <c r="T96" s="25">
        <f>IF(AND(Table1[[#This Row],[Sales]]&lt;&gt;MIN(Table1[Sales]),Table1[[#This Row],[Sales]]&lt;&gt;MAX(Table1[Sales])), Table1[[#This Row],[Sales]], NA())</f>
        <v>52142.43</v>
      </c>
      <c r="U96" s="25" t="e">
        <f>IF(Table1[[#This Row],[Sales]]=MAX(Table1[Sales]), Table1[[#This Row],[Sales]], NA())</f>
        <v>#N/A</v>
      </c>
      <c r="V96">
        <v>1</v>
      </c>
      <c r="W96">
        <v>0.1</v>
      </c>
      <c r="X96">
        <v>2867.83</v>
      </c>
      <c r="Y96" s="3">
        <f>YEAR(Table1[[#This Row],[Order Date]])</f>
        <v>2022</v>
      </c>
      <c r="Z96" s="3" t="str">
        <f>TEXT(Table1[[#This Row],[Order Date]],"MMM")</f>
        <v>Sep</v>
      </c>
      <c r="AA96" s="3">
        <f>DAY(Table1[[#This Row],[Order Date]])</f>
        <v>1</v>
      </c>
    </row>
    <row r="97" spans="1:27" x14ac:dyDescent="0.35">
      <c r="A97" s="1">
        <v>96</v>
      </c>
      <c r="B97" s="1" t="s">
        <v>527</v>
      </c>
      <c r="C97" s="1" t="s">
        <v>427</v>
      </c>
      <c r="D97" s="1" t="s">
        <v>528</v>
      </c>
      <c r="E97" t="s">
        <v>62</v>
      </c>
      <c r="F97" t="s">
        <v>529</v>
      </c>
      <c r="G97" t="s">
        <v>93</v>
      </c>
      <c r="H97" t="s">
        <v>27</v>
      </c>
      <c r="I97" s="1" t="s">
        <v>28</v>
      </c>
      <c r="J97" t="s">
        <v>53</v>
      </c>
      <c r="K97" t="s">
        <v>54</v>
      </c>
      <c r="L97" s="1">
        <v>410782</v>
      </c>
      <c r="M97" s="1" t="s">
        <v>55</v>
      </c>
      <c r="N97" t="s">
        <v>530</v>
      </c>
      <c r="O97" t="s">
        <v>46</v>
      </c>
      <c r="P97" t="s">
        <v>47</v>
      </c>
      <c r="Q97" t="s">
        <v>48</v>
      </c>
      <c r="R97">
        <v>5865.45</v>
      </c>
      <c r="S97" s="25" t="e">
        <f>IF(Table1[[#This Row],[Sales]]=MIN(Table1[Sales]), Table1[[#This Row],[Sales]], NA())</f>
        <v>#N/A</v>
      </c>
      <c r="T97" s="25">
        <f>IF(AND(Table1[[#This Row],[Sales]]&lt;&gt;MIN(Table1[Sales]),Table1[[#This Row],[Sales]]&lt;&gt;MAX(Table1[Sales])), Table1[[#This Row],[Sales]], NA())</f>
        <v>5865.45</v>
      </c>
      <c r="U97" s="25" t="e">
        <f>IF(Table1[[#This Row],[Sales]]=MAX(Table1[Sales]), Table1[[#This Row],[Sales]], NA())</f>
        <v>#N/A</v>
      </c>
      <c r="V97">
        <v>2</v>
      </c>
      <c r="W97">
        <v>0.2</v>
      </c>
      <c r="X97">
        <v>175.96</v>
      </c>
      <c r="Y97" s="3">
        <f>YEAR(Table1[[#This Row],[Order Date]])</f>
        <v>2024</v>
      </c>
      <c r="Z97" s="3" t="str">
        <f>TEXT(Table1[[#This Row],[Order Date]],"MMM")</f>
        <v>Aug</v>
      </c>
      <c r="AA97" s="3">
        <f>DAY(Table1[[#This Row],[Order Date]])</f>
        <v>21</v>
      </c>
    </row>
    <row r="98" spans="1:27" x14ac:dyDescent="0.35">
      <c r="A98" s="1">
        <v>97</v>
      </c>
      <c r="B98" s="1" t="s">
        <v>531</v>
      </c>
      <c r="C98" s="1" t="s">
        <v>532</v>
      </c>
      <c r="D98" s="1" t="s">
        <v>533</v>
      </c>
      <c r="E98" t="s">
        <v>24</v>
      </c>
      <c r="F98" t="s">
        <v>534</v>
      </c>
      <c r="G98" t="s">
        <v>81</v>
      </c>
      <c r="H98" t="s">
        <v>94</v>
      </c>
      <c r="I98" s="1" t="s">
        <v>28</v>
      </c>
      <c r="J98" t="s">
        <v>42</v>
      </c>
      <c r="K98" t="s">
        <v>43</v>
      </c>
      <c r="L98" s="1">
        <v>937764</v>
      </c>
      <c r="M98" s="1" t="s">
        <v>44</v>
      </c>
      <c r="N98" t="s">
        <v>535</v>
      </c>
      <c r="O98" t="s">
        <v>46</v>
      </c>
      <c r="P98" t="s">
        <v>57</v>
      </c>
      <c r="Q98" t="s">
        <v>58</v>
      </c>
      <c r="R98">
        <v>7511.12</v>
      </c>
      <c r="S98" s="25" t="e">
        <f>IF(Table1[[#This Row],[Sales]]=MIN(Table1[Sales]), Table1[[#This Row],[Sales]], NA())</f>
        <v>#N/A</v>
      </c>
      <c r="T98" s="25">
        <f>IF(AND(Table1[[#This Row],[Sales]]&lt;&gt;MIN(Table1[Sales]),Table1[[#This Row],[Sales]]&lt;&gt;MAX(Table1[Sales])), Table1[[#This Row],[Sales]], NA())</f>
        <v>7511.12</v>
      </c>
      <c r="U98" s="25" t="e">
        <f>IF(Table1[[#This Row],[Sales]]=MAX(Table1[Sales]), Table1[[#This Row],[Sales]], NA())</f>
        <v>#N/A</v>
      </c>
      <c r="V98">
        <v>3</v>
      </c>
      <c r="W98">
        <v>0.1</v>
      </c>
      <c r="X98">
        <v>413.11</v>
      </c>
      <c r="Y98" s="3">
        <f>YEAR(Table1[[#This Row],[Order Date]])</f>
        <v>2024</v>
      </c>
      <c r="Z98" s="3" t="str">
        <f>TEXT(Table1[[#This Row],[Order Date]],"MMM")</f>
        <v>Mar</v>
      </c>
      <c r="AA98" s="3">
        <f>DAY(Table1[[#This Row],[Order Date]])</f>
        <v>3</v>
      </c>
    </row>
    <row r="99" spans="1:27" x14ac:dyDescent="0.35">
      <c r="A99" s="1">
        <v>98</v>
      </c>
      <c r="B99" s="1" t="s">
        <v>536</v>
      </c>
      <c r="C99" s="1" t="s">
        <v>537</v>
      </c>
      <c r="D99" s="1" t="s">
        <v>538</v>
      </c>
      <c r="E99" t="s">
        <v>24</v>
      </c>
      <c r="F99" t="s">
        <v>539</v>
      </c>
      <c r="G99" t="s">
        <v>81</v>
      </c>
      <c r="H99" t="s">
        <v>94</v>
      </c>
      <c r="I99" s="1" t="s">
        <v>28</v>
      </c>
      <c r="J99" t="s">
        <v>128</v>
      </c>
      <c r="K99" t="s">
        <v>129</v>
      </c>
      <c r="L99" s="1">
        <v>526203</v>
      </c>
      <c r="M99" s="1" t="s">
        <v>66</v>
      </c>
      <c r="N99" t="s">
        <v>540</v>
      </c>
      <c r="O99" t="s">
        <v>32</v>
      </c>
      <c r="P99" t="s">
        <v>33</v>
      </c>
      <c r="Q99" t="s">
        <v>34</v>
      </c>
      <c r="R99">
        <v>7880.1</v>
      </c>
      <c r="S99" s="25" t="e">
        <f>IF(Table1[[#This Row],[Sales]]=MIN(Table1[Sales]), Table1[[#This Row],[Sales]], NA())</f>
        <v>#N/A</v>
      </c>
      <c r="T99" s="25">
        <f>IF(AND(Table1[[#This Row],[Sales]]&lt;&gt;MIN(Table1[Sales]),Table1[[#This Row],[Sales]]&lt;&gt;MAX(Table1[Sales])), Table1[[#This Row],[Sales]], NA())</f>
        <v>7880.1</v>
      </c>
      <c r="U99" s="25" t="e">
        <f>IF(Table1[[#This Row],[Sales]]=MAX(Table1[Sales]), Table1[[#This Row],[Sales]], NA())</f>
        <v>#N/A</v>
      </c>
      <c r="V99">
        <v>2</v>
      </c>
      <c r="W99">
        <v>0.1</v>
      </c>
      <c r="X99">
        <v>433.41</v>
      </c>
      <c r="Y99" s="3">
        <f>YEAR(Table1[[#This Row],[Order Date]])</f>
        <v>2022</v>
      </c>
      <c r="Z99" s="3" t="str">
        <f>TEXT(Table1[[#This Row],[Order Date]],"MMM")</f>
        <v>Dec</v>
      </c>
      <c r="AA99" s="3">
        <f>DAY(Table1[[#This Row],[Order Date]])</f>
        <v>31</v>
      </c>
    </row>
    <row r="100" spans="1:27" x14ac:dyDescent="0.35">
      <c r="A100" s="1">
        <v>99</v>
      </c>
      <c r="B100" s="1" t="s">
        <v>541</v>
      </c>
      <c r="C100" s="1" t="s">
        <v>542</v>
      </c>
      <c r="D100" s="1" t="s">
        <v>543</v>
      </c>
      <c r="E100" t="s">
        <v>38</v>
      </c>
      <c r="F100" t="s">
        <v>544</v>
      </c>
      <c r="G100" t="s">
        <v>75</v>
      </c>
      <c r="H100" t="s">
        <v>94</v>
      </c>
      <c r="I100" s="1" t="s">
        <v>28</v>
      </c>
      <c r="J100" t="s">
        <v>128</v>
      </c>
      <c r="K100" t="s">
        <v>129</v>
      </c>
      <c r="L100" s="1">
        <v>648230</v>
      </c>
      <c r="M100" s="1" t="s">
        <v>66</v>
      </c>
      <c r="N100" t="s">
        <v>545</v>
      </c>
      <c r="O100" t="s">
        <v>68</v>
      </c>
      <c r="P100" t="s">
        <v>69</v>
      </c>
      <c r="Q100" t="s">
        <v>70</v>
      </c>
      <c r="R100">
        <v>11605.69</v>
      </c>
      <c r="S100" s="25" t="e">
        <f>IF(Table1[[#This Row],[Sales]]=MIN(Table1[Sales]), Table1[[#This Row],[Sales]], NA())</f>
        <v>#N/A</v>
      </c>
      <c r="T100" s="25">
        <f>IF(AND(Table1[[#This Row],[Sales]]&lt;&gt;MIN(Table1[Sales]),Table1[[#This Row],[Sales]]&lt;&gt;MAX(Table1[Sales])), Table1[[#This Row],[Sales]], NA())</f>
        <v>11605.69</v>
      </c>
      <c r="U100" s="25" t="e">
        <f>IF(Table1[[#This Row],[Sales]]=MAX(Table1[Sales]), Table1[[#This Row],[Sales]], NA())</f>
        <v>#N/A</v>
      </c>
      <c r="V100">
        <v>8</v>
      </c>
      <c r="W100">
        <v>0.3</v>
      </c>
      <c r="X100">
        <v>58.03</v>
      </c>
      <c r="Y100" s="3">
        <f>YEAR(Table1[[#This Row],[Order Date]])</f>
        <v>2022</v>
      </c>
      <c r="Z100" s="3" t="str">
        <f>TEXT(Table1[[#This Row],[Order Date]],"MMM")</f>
        <v>Apr</v>
      </c>
      <c r="AA100" s="3">
        <f>DAY(Table1[[#This Row],[Order Date]])</f>
        <v>2</v>
      </c>
    </row>
    <row r="101" spans="1:27" x14ac:dyDescent="0.35">
      <c r="A101" s="1">
        <v>100</v>
      </c>
      <c r="B101" s="1" t="s">
        <v>546</v>
      </c>
      <c r="C101" s="1" t="s">
        <v>547</v>
      </c>
      <c r="D101" s="1" t="s">
        <v>548</v>
      </c>
      <c r="E101" t="s">
        <v>24</v>
      </c>
      <c r="F101" t="s">
        <v>549</v>
      </c>
      <c r="G101" t="s">
        <v>87</v>
      </c>
      <c r="H101" t="s">
        <v>41</v>
      </c>
      <c r="I101" s="1" t="s">
        <v>28</v>
      </c>
      <c r="J101" t="s">
        <v>53</v>
      </c>
      <c r="K101" t="s">
        <v>54</v>
      </c>
      <c r="L101" s="1">
        <v>675306</v>
      </c>
      <c r="M101" s="1" t="s">
        <v>55</v>
      </c>
      <c r="N101" t="s">
        <v>550</v>
      </c>
      <c r="O101" t="s">
        <v>46</v>
      </c>
      <c r="P101" t="s">
        <v>57</v>
      </c>
      <c r="Q101" t="s">
        <v>58</v>
      </c>
      <c r="R101">
        <v>73857.039999999994</v>
      </c>
      <c r="S101" s="25" t="e">
        <f>IF(Table1[[#This Row],[Sales]]=MIN(Table1[Sales]), Table1[[#This Row],[Sales]], NA())</f>
        <v>#N/A</v>
      </c>
      <c r="T101" s="25">
        <f>IF(AND(Table1[[#This Row],[Sales]]&lt;&gt;MIN(Table1[Sales]),Table1[[#This Row],[Sales]]&lt;&gt;MAX(Table1[Sales])), Table1[[#This Row],[Sales]], NA())</f>
        <v>73857.039999999994</v>
      </c>
      <c r="U101" s="25" t="e">
        <f>IF(Table1[[#This Row],[Sales]]=MAX(Table1[Sales]), Table1[[#This Row],[Sales]], NA())</f>
        <v>#N/A</v>
      </c>
      <c r="V101">
        <v>9</v>
      </c>
      <c r="W101">
        <v>0</v>
      </c>
      <c r="X101">
        <v>5908.56</v>
      </c>
      <c r="Y101" s="3">
        <f>YEAR(Table1[[#This Row],[Order Date]])</f>
        <v>2021</v>
      </c>
      <c r="Z101" s="3" t="str">
        <f>TEXT(Table1[[#This Row],[Order Date]],"MMM")</f>
        <v>Oct</v>
      </c>
      <c r="AA101" s="3">
        <f>DAY(Table1[[#This Row],[Order Date]])</f>
        <v>10</v>
      </c>
    </row>
    <row r="102" spans="1:27" x14ac:dyDescent="0.35">
      <c r="A102" s="1">
        <v>101</v>
      </c>
      <c r="B102" s="1" t="s">
        <v>551</v>
      </c>
      <c r="C102" s="1" t="s">
        <v>552</v>
      </c>
      <c r="D102" s="1" t="s">
        <v>553</v>
      </c>
      <c r="E102" t="s">
        <v>38</v>
      </c>
      <c r="F102" t="s">
        <v>554</v>
      </c>
      <c r="G102" t="s">
        <v>87</v>
      </c>
      <c r="H102" t="s">
        <v>94</v>
      </c>
      <c r="I102" s="1" t="s">
        <v>28</v>
      </c>
      <c r="J102" t="s">
        <v>128</v>
      </c>
      <c r="K102" t="s">
        <v>129</v>
      </c>
      <c r="L102" s="1">
        <v>345686</v>
      </c>
      <c r="M102" s="1" t="s">
        <v>66</v>
      </c>
      <c r="N102" t="s">
        <v>555</v>
      </c>
      <c r="O102" t="s">
        <v>46</v>
      </c>
      <c r="P102" t="s">
        <v>47</v>
      </c>
      <c r="Q102" t="s">
        <v>48</v>
      </c>
      <c r="R102">
        <v>30654.06</v>
      </c>
      <c r="S102" s="25" t="e">
        <f>IF(Table1[[#This Row],[Sales]]=MIN(Table1[Sales]), Table1[[#This Row],[Sales]], NA())</f>
        <v>#N/A</v>
      </c>
      <c r="T102" s="25">
        <f>IF(AND(Table1[[#This Row],[Sales]]&lt;&gt;MIN(Table1[Sales]),Table1[[#This Row],[Sales]]&lt;&gt;MAX(Table1[Sales])), Table1[[#This Row],[Sales]], NA())</f>
        <v>30654.06</v>
      </c>
      <c r="U102" s="25" t="e">
        <f>IF(Table1[[#This Row],[Sales]]=MAX(Table1[Sales]), Table1[[#This Row],[Sales]], NA())</f>
        <v>#N/A</v>
      </c>
      <c r="V102">
        <v>7</v>
      </c>
      <c r="W102">
        <v>0.1</v>
      </c>
      <c r="X102">
        <v>1685.97</v>
      </c>
      <c r="Y102" s="3">
        <f>YEAR(Table1[[#This Row],[Order Date]])</f>
        <v>2022</v>
      </c>
      <c r="Z102" s="3" t="str">
        <f>TEXT(Table1[[#This Row],[Order Date]],"MMM")</f>
        <v>Dec</v>
      </c>
      <c r="AA102" s="3">
        <f>DAY(Table1[[#This Row],[Order Date]])</f>
        <v>15</v>
      </c>
    </row>
    <row r="103" spans="1:27" x14ac:dyDescent="0.35">
      <c r="A103" s="1">
        <v>102</v>
      </c>
      <c r="B103" s="1" t="s">
        <v>556</v>
      </c>
      <c r="C103" s="1" t="s">
        <v>557</v>
      </c>
      <c r="D103" s="1" t="s">
        <v>558</v>
      </c>
      <c r="E103" t="s">
        <v>24</v>
      </c>
      <c r="F103" t="s">
        <v>559</v>
      </c>
      <c r="G103" t="s">
        <v>188</v>
      </c>
      <c r="H103" t="s">
        <v>27</v>
      </c>
      <c r="I103" s="1" t="s">
        <v>28</v>
      </c>
      <c r="J103" t="s">
        <v>64</v>
      </c>
      <c r="K103" t="s">
        <v>65</v>
      </c>
      <c r="L103" s="1">
        <v>481272</v>
      </c>
      <c r="M103" s="1" t="s">
        <v>66</v>
      </c>
      <c r="N103" t="s">
        <v>560</v>
      </c>
      <c r="O103" t="s">
        <v>46</v>
      </c>
      <c r="P103" t="s">
        <v>57</v>
      </c>
      <c r="Q103" t="s">
        <v>58</v>
      </c>
      <c r="R103">
        <v>31531.62</v>
      </c>
      <c r="S103" s="25" t="e">
        <f>IF(Table1[[#This Row],[Sales]]=MIN(Table1[Sales]), Table1[[#This Row],[Sales]], NA())</f>
        <v>#N/A</v>
      </c>
      <c r="T103" s="25">
        <f>IF(AND(Table1[[#This Row],[Sales]]&lt;&gt;MIN(Table1[Sales]),Table1[[#This Row],[Sales]]&lt;&gt;MAX(Table1[Sales])), Table1[[#This Row],[Sales]], NA())</f>
        <v>31531.62</v>
      </c>
      <c r="U103" s="25" t="e">
        <f>IF(Table1[[#This Row],[Sales]]=MAX(Table1[Sales]), Table1[[#This Row],[Sales]], NA())</f>
        <v>#N/A</v>
      </c>
      <c r="V103">
        <v>8</v>
      </c>
      <c r="W103">
        <v>0</v>
      </c>
      <c r="X103">
        <v>2522.5300000000002</v>
      </c>
      <c r="Y103" s="3">
        <f>YEAR(Table1[[#This Row],[Order Date]])</f>
        <v>2024</v>
      </c>
      <c r="Z103" s="3" t="str">
        <f>TEXT(Table1[[#This Row],[Order Date]],"MMM")</f>
        <v>Nov</v>
      </c>
      <c r="AA103" s="3">
        <f>DAY(Table1[[#This Row],[Order Date]])</f>
        <v>1</v>
      </c>
    </row>
    <row r="104" spans="1:27" x14ac:dyDescent="0.35">
      <c r="A104" s="1">
        <v>103</v>
      </c>
      <c r="B104" s="1" t="s">
        <v>561</v>
      </c>
      <c r="C104" s="1" t="s">
        <v>562</v>
      </c>
      <c r="D104" s="1" t="s">
        <v>563</v>
      </c>
      <c r="E104" t="s">
        <v>24</v>
      </c>
      <c r="F104" t="s">
        <v>564</v>
      </c>
      <c r="G104" t="s">
        <v>75</v>
      </c>
      <c r="H104" t="s">
        <v>41</v>
      </c>
      <c r="I104" s="1" t="s">
        <v>28</v>
      </c>
      <c r="J104" t="s">
        <v>53</v>
      </c>
      <c r="K104" t="s">
        <v>54</v>
      </c>
      <c r="L104" s="1">
        <v>987062</v>
      </c>
      <c r="M104" s="1" t="s">
        <v>55</v>
      </c>
      <c r="N104" t="s">
        <v>565</v>
      </c>
      <c r="O104" t="s">
        <v>68</v>
      </c>
      <c r="P104" t="s">
        <v>69</v>
      </c>
      <c r="Q104" t="s">
        <v>70</v>
      </c>
      <c r="R104">
        <v>6262.7</v>
      </c>
      <c r="S104" s="25" t="e">
        <f>IF(Table1[[#This Row],[Sales]]=MIN(Table1[Sales]), Table1[[#This Row],[Sales]], NA())</f>
        <v>#N/A</v>
      </c>
      <c r="T104" s="25">
        <f>IF(AND(Table1[[#This Row],[Sales]]&lt;&gt;MIN(Table1[Sales]),Table1[[#This Row],[Sales]]&lt;&gt;MAX(Table1[Sales])), Table1[[#This Row],[Sales]], NA())</f>
        <v>6262.7</v>
      </c>
      <c r="U104" s="25" t="e">
        <f>IF(Table1[[#This Row],[Sales]]=MAX(Table1[Sales]), Table1[[#This Row],[Sales]], NA())</f>
        <v>#N/A</v>
      </c>
      <c r="V104">
        <v>9</v>
      </c>
      <c r="W104">
        <v>0.3</v>
      </c>
      <c r="X104">
        <v>31.31</v>
      </c>
      <c r="Y104" s="3">
        <f>YEAR(Table1[[#This Row],[Order Date]])</f>
        <v>2024</v>
      </c>
      <c r="Z104" s="3" t="str">
        <f>TEXT(Table1[[#This Row],[Order Date]],"MMM")</f>
        <v>Feb</v>
      </c>
      <c r="AA104" s="3">
        <f>DAY(Table1[[#This Row],[Order Date]])</f>
        <v>28</v>
      </c>
    </row>
    <row r="105" spans="1:27" x14ac:dyDescent="0.35">
      <c r="A105" s="1">
        <v>104</v>
      </c>
      <c r="B105" s="1" t="s">
        <v>566</v>
      </c>
      <c r="C105" s="1" t="s">
        <v>567</v>
      </c>
      <c r="D105" s="1" t="s">
        <v>568</v>
      </c>
      <c r="E105" t="s">
        <v>24</v>
      </c>
      <c r="F105" t="s">
        <v>569</v>
      </c>
      <c r="G105" t="s">
        <v>122</v>
      </c>
      <c r="H105" t="s">
        <v>41</v>
      </c>
      <c r="I105" s="1" t="s">
        <v>28</v>
      </c>
      <c r="J105" t="s">
        <v>42</v>
      </c>
      <c r="K105" t="s">
        <v>43</v>
      </c>
      <c r="L105" s="1">
        <v>965541</v>
      </c>
      <c r="M105" s="1" t="s">
        <v>44</v>
      </c>
      <c r="N105" t="s">
        <v>570</v>
      </c>
      <c r="O105" t="s">
        <v>32</v>
      </c>
      <c r="P105" t="s">
        <v>33</v>
      </c>
      <c r="Q105" t="s">
        <v>34</v>
      </c>
      <c r="R105">
        <v>59769.94</v>
      </c>
      <c r="S105" s="25" t="e">
        <f>IF(Table1[[#This Row],[Sales]]=MIN(Table1[Sales]), Table1[[#This Row],[Sales]], NA())</f>
        <v>#N/A</v>
      </c>
      <c r="T105" s="25">
        <f>IF(AND(Table1[[#This Row],[Sales]]&lt;&gt;MIN(Table1[Sales]),Table1[[#This Row],[Sales]]&lt;&gt;MAX(Table1[Sales])), Table1[[#This Row],[Sales]], NA())</f>
        <v>59769.94</v>
      </c>
      <c r="U105" s="25" t="e">
        <f>IF(Table1[[#This Row],[Sales]]=MAX(Table1[Sales]), Table1[[#This Row],[Sales]], NA())</f>
        <v>#N/A</v>
      </c>
      <c r="V105">
        <v>8</v>
      </c>
      <c r="W105">
        <v>0</v>
      </c>
      <c r="X105">
        <v>4781.6000000000004</v>
      </c>
      <c r="Y105" s="3">
        <f>YEAR(Table1[[#This Row],[Order Date]])</f>
        <v>2022</v>
      </c>
      <c r="Z105" s="3" t="str">
        <f>TEXT(Table1[[#This Row],[Order Date]],"MMM")</f>
        <v>Oct</v>
      </c>
      <c r="AA105" s="3">
        <f>DAY(Table1[[#This Row],[Order Date]])</f>
        <v>1</v>
      </c>
    </row>
    <row r="106" spans="1:27" x14ac:dyDescent="0.35">
      <c r="A106" s="1">
        <v>105</v>
      </c>
      <c r="B106" s="1" t="s">
        <v>571</v>
      </c>
      <c r="C106" s="1" t="s">
        <v>572</v>
      </c>
      <c r="D106" s="1" t="s">
        <v>573</v>
      </c>
      <c r="E106" t="s">
        <v>62</v>
      </c>
      <c r="F106" t="s">
        <v>574</v>
      </c>
      <c r="G106" t="s">
        <v>122</v>
      </c>
      <c r="H106" t="s">
        <v>94</v>
      </c>
      <c r="I106" s="1" t="s">
        <v>28</v>
      </c>
      <c r="J106" t="s">
        <v>42</v>
      </c>
      <c r="K106" t="s">
        <v>43</v>
      </c>
      <c r="L106" s="1">
        <v>549996</v>
      </c>
      <c r="M106" s="1" t="s">
        <v>44</v>
      </c>
      <c r="N106" t="s">
        <v>575</v>
      </c>
      <c r="O106" t="s">
        <v>32</v>
      </c>
      <c r="P106" t="s">
        <v>33</v>
      </c>
      <c r="Q106" t="s">
        <v>34</v>
      </c>
      <c r="R106">
        <v>1202.6500000000001</v>
      </c>
      <c r="S106" s="25" t="e">
        <f>IF(Table1[[#This Row],[Sales]]=MIN(Table1[Sales]), Table1[[#This Row],[Sales]], NA())</f>
        <v>#N/A</v>
      </c>
      <c r="T106" s="25">
        <f>IF(AND(Table1[[#This Row],[Sales]]&lt;&gt;MIN(Table1[Sales]),Table1[[#This Row],[Sales]]&lt;&gt;MAX(Table1[Sales])), Table1[[#This Row],[Sales]], NA())</f>
        <v>1202.6500000000001</v>
      </c>
      <c r="U106" s="25" t="e">
        <f>IF(Table1[[#This Row],[Sales]]=MAX(Table1[Sales]), Table1[[#This Row],[Sales]], NA())</f>
        <v>#N/A</v>
      </c>
      <c r="V106">
        <v>6</v>
      </c>
      <c r="W106">
        <v>0.2</v>
      </c>
      <c r="X106">
        <v>36.08</v>
      </c>
      <c r="Y106" s="3">
        <f>YEAR(Table1[[#This Row],[Order Date]])</f>
        <v>2023</v>
      </c>
      <c r="Z106" s="3" t="str">
        <f>TEXT(Table1[[#This Row],[Order Date]],"MMM")</f>
        <v>Jan</v>
      </c>
      <c r="AA106" s="3">
        <f>DAY(Table1[[#This Row],[Order Date]])</f>
        <v>3</v>
      </c>
    </row>
    <row r="107" spans="1:27" x14ac:dyDescent="0.35">
      <c r="A107" s="1">
        <v>106</v>
      </c>
      <c r="B107" s="1" t="s">
        <v>576</v>
      </c>
      <c r="C107" s="1" t="s">
        <v>422</v>
      </c>
      <c r="D107" s="1" t="s">
        <v>577</v>
      </c>
      <c r="E107" t="s">
        <v>115</v>
      </c>
      <c r="F107" t="s">
        <v>578</v>
      </c>
      <c r="G107" t="s">
        <v>122</v>
      </c>
      <c r="H107" t="s">
        <v>27</v>
      </c>
      <c r="I107" s="1" t="s">
        <v>28</v>
      </c>
      <c r="J107" t="s">
        <v>128</v>
      </c>
      <c r="K107" t="s">
        <v>129</v>
      </c>
      <c r="L107" s="1">
        <v>578348</v>
      </c>
      <c r="M107" s="1" t="s">
        <v>66</v>
      </c>
      <c r="N107" t="s">
        <v>579</v>
      </c>
      <c r="O107" t="s">
        <v>32</v>
      </c>
      <c r="P107" t="s">
        <v>33</v>
      </c>
      <c r="Q107" t="s">
        <v>34</v>
      </c>
      <c r="R107">
        <v>19111.05</v>
      </c>
      <c r="S107" s="25" t="e">
        <f>IF(Table1[[#This Row],[Sales]]=MIN(Table1[Sales]), Table1[[#This Row],[Sales]], NA())</f>
        <v>#N/A</v>
      </c>
      <c r="T107" s="25">
        <f>IF(AND(Table1[[#This Row],[Sales]]&lt;&gt;MIN(Table1[Sales]),Table1[[#This Row],[Sales]]&lt;&gt;MAX(Table1[Sales])), Table1[[#This Row],[Sales]], NA())</f>
        <v>19111.05</v>
      </c>
      <c r="U107" s="25" t="e">
        <f>IF(Table1[[#This Row],[Sales]]=MAX(Table1[Sales]), Table1[[#This Row],[Sales]], NA())</f>
        <v>#N/A</v>
      </c>
      <c r="V107">
        <v>2</v>
      </c>
      <c r="W107">
        <v>0</v>
      </c>
      <c r="X107">
        <v>1528.88</v>
      </c>
      <c r="Y107" s="3">
        <f>YEAR(Table1[[#This Row],[Order Date]])</f>
        <v>2023</v>
      </c>
      <c r="Z107" s="3" t="str">
        <f>TEXT(Table1[[#This Row],[Order Date]],"MMM")</f>
        <v>Jul</v>
      </c>
      <c r="AA107" s="3">
        <f>DAY(Table1[[#This Row],[Order Date]])</f>
        <v>7</v>
      </c>
    </row>
    <row r="108" spans="1:27" x14ac:dyDescent="0.35">
      <c r="A108" s="1">
        <v>107</v>
      </c>
      <c r="B108" s="1" t="s">
        <v>580</v>
      </c>
      <c r="C108" s="1" t="s">
        <v>581</v>
      </c>
      <c r="D108" s="1" t="s">
        <v>582</v>
      </c>
      <c r="E108" t="s">
        <v>24</v>
      </c>
      <c r="F108" t="s">
        <v>583</v>
      </c>
      <c r="G108" t="s">
        <v>75</v>
      </c>
      <c r="H108" t="s">
        <v>41</v>
      </c>
      <c r="I108" s="1" t="s">
        <v>28</v>
      </c>
      <c r="J108" t="s">
        <v>42</v>
      </c>
      <c r="K108" t="s">
        <v>43</v>
      </c>
      <c r="L108" s="1">
        <v>944994</v>
      </c>
      <c r="M108" s="1" t="s">
        <v>44</v>
      </c>
      <c r="N108" t="s">
        <v>584</v>
      </c>
      <c r="O108" t="s">
        <v>46</v>
      </c>
      <c r="P108" t="s">
        <v>57</v>
      </c>
      <c r="Q108" t="s">
        <v>58</v>
      </c>
      <c r="R108">
        <v>88936.08</v>
      </c>
      <c r="S108" s="25" t="e">
        <f>IF(Table1[[#This Row],[Sales]]=MIN(Table1[Sales]), Table1[[#This Row],[Sales]], NA())</f>
        <v>#N/A</v>
      </c>
      <c r="T108" s="25">
        <f>IF(AND(Table1[[#This Row],[Sales]]&lt;&gt;MIN(Table1[Sales]),Table1[[#This Row],[Sales]]&lt;&gt;MAX(Table1[Sales])), Table1[[#This Row],[Sales]], NA())</f>
        <v>88936.08</v>
      </c>
      <c r="U108" s="25" t="e">
        <f>IF(Table1[[#This Row],[Sales]]=MAX(Table1[Sales]), Table1[[#This Row],[Sales]], NA())</f>
        <v>#N/A</v>
      </c>
      <c r="V108">
        <v>8</v>
      </c>
      <c r="W108">
        <v>0.3</v>
      </c>
      <c r="X108">
        <v>444.68</v>
      </c>
      <c r="Y108" s="3">
        <f>YEAR(Table1[[#This Row],[Order Date]])</f>
        <v>2022</v>
      </c>
      <c r="Z108" s="3" t="str">
        <f>TEXT(Table1[[#This Row],[Order Date]],"MMM")</f>
        <v>Apr</v>
      </c>
      <c r="AA108" s="3">
        <f>DAY(Table1[[#This Row],[Order Date]])</f>
        <v>19</v>
      </c>
    </row>
    <row r="109" spans="1:27" x14ac:dyDescent="0.35">
      <c r="A109" s="1">
        <v>108</v>
      </c>
      <c r="B109" s="1" t="s">
        <v>585</v>
      </c>
      <c r="C109" s="1" t="s">
        <v>586</v>
      </c>
      <c r="D109" s="1" t="s">
        <v>587</v>
      </c>
      <c r="E109" t="s">
        <v>24</v>
      </c>
      <c r="F109" t="s">
        <v>588</v>
      </c>
      <c r="G109" t="s">
        <v>110</v>
      </c>
      <c r="H109" t="s">
        <v>27</v>
      </c>
      <c r="I109" s="1" t="s">
        <v>28</v>
      </c>
      <c r="J109" t="s">
        <v>29</v>
      </c>
      <c r="K109" t="s">
        <v>29</v>
      </c>
      <c r="L109" s="1">
        <v>424129</v>
      </c>
      <c r="M109" s="1" t="s">
        <v>30</v>
      </c>
      <c r="N109" t="s">
        <v>589</v>
      </c>
      <c r="O109" t="s">
        <v>32</v>
      </c>
      <c r="P109" t="s">
        <v>33</v>
      </c>
      <c r="Q109" t="s">
        <v>34</v>
      </c>
      <c r="R109">
        <v>98253.29</v>
      </c>
      <c r="S109" s="25" t="e">
        <f>IF(Table1[[#This Row],[Sales]]=MIN(Table1[Sales]), Table1[[#This Row],[Sales]], NA())</f>
        <v>#N/A</v>
      </c>
      <c r="T109" s="25">
        <f>IF(AND(Table1[[#This Row],[Sales]]&lt;&gt;MIN(Table1[Sales]),Table1[[#This Row],[Sales]]&lt;&gt;MAX(Table1[Sales])), Table1[[#This Row],[Sales]], NA())</f>
        <v>98253.29</v>
      </c>
      <c r="U109" s="25" t="e">
        <f>IF(Table1[[#This Row],[Sales]]=MAX(Table1[Sales]), Table1[[#This Row],[Sales]], NA())</f>
        <v>#N/A</v>
      </c>
      <c r="V109">
        <v>6</v>
      </c>
      <c r="W109">
        <v>0.3</v>
      </c>
      <c r="X109">
        <v>491.27</v>
      </c>
      <c r="Y109" s="3">
        <f>YEAR(Table1[[#This Row],[Order Date]])</f>
        <v>2023</v>
      </c>
      <c r="Z109" s="3" t="str">
        <f>TEXT(Table1[[#This Row],[Order Date]],"MMM")</f>
        <v>Jun</v>
      </c>
      <c r="AA109" s="3">
        <f>DAY(Table1[[#This Row],[Order Date]])</f>
        <v>18</v>
      </c>
    </row>
    <row r="110" spans="1:27" x14ac:dyDescent="0.35">
      <c r="A110" s="1">
        <v>109</v>
      </c>
      <c r="B110" s="1" t="s">
        <v>590</v>
      </c>
      <c r="C110" s="1" t="s">
        <v>591</v>
      </c>
      <c r="D110" s="1" t="s">
        <v>592</v>
      </c>
      <c r="E110" t="s">
        <v>24</v>
      </c>
      <c r="F110" t="s">
        <v>593</v>
      </c>
      <c r="G110" t="s">
        <v>110</v>
      </c>
      <c r="H110" t="s">
        <v>41</v>
      </c>
      <c r="I110" s="1" t="s">
        <v>28</v>
      </c>
      <c r="J110" t="s">
        <v>128</v>
      </c>
      <c r="K110" t="s">
        <v>129</v>
      </c>
      <c r="L110" s="1">
        <v>410384</v>
      </c>
      <c r="M110" s="1" t="s">
        <v>66</v>
      </c>
      <c r="N110" t="s">
        <v>594</v>
      </c>
      <c r="O110" t="s">
        <v>46</v>
      </c>
      <c r="P110" t="s">
        <v>47</v>
      </c>
      <c r="Q110" t="s">
        <v>48</v>
      </c>
      <c r="R110">
        <v>10830.68</v>
      </c>
      <c r="S110" s="25" t="e">
        <f>IF(Table1[[#This Row],[Sales]]=MIN(Table1[Sales]), Table1[[#This Row],[Sales]], NA())</f>
        <v>#N/A</v>
      </c>
      <c r="T110" s="25">
        <f>IF(AND(Table1[[#This Row],[Sales]]&lt;&gt;MIN(Table1[Sales]),Table1[[#This Row],[Sales]]&lt;&gt;MAX(Table1[Sales])), Table1[[#This Row],[Sales]], NA())</f>
        <v>10830.68</v>
      </c>
      <c r="U110" s="25" t="e">
        <f>IF(Table1[[#This Row],[Sales]]=MAX(Table1[Sales]), Table1[[#This Row],[Sales]], NA())</f>
        <v>#N/A</v>
      </c>
      <c r="V110">
        <v>2</v>
      </c>
      <c r="W110">
        <v>0.3</v>
      </c>
      <c r="X110">
        <v>54.15</v>
      </c>
      <c r="Y110" s="3">
        <f>YEAR(Table1[[#This Row],[Order Date]])</f>
        <v>2025</v>
      </c>
      <c r="Z110" s="3" t="str">
        <f>TEXT(Table1[[#This Row],[Order Date]],"MMM")</f>
        <v>Aug</v>
      </c>
      <c r="AA110" s="3">
        <f>DAY(Table1[[#This Row],[Order Date]])</f>
        <v>16</v>
      </c>
    </row>
    <row r="111" spans="1:27" x14ac:dyDescent="0.35">
      <c r="A111" s="1">
        <v>110</v>
      </c>
      <c r="B111" s="1" t="s">
        <v>595</v>
      </c>
      <c r="C111" s="1" t="s">
        <v>596</v>
      </c>
      <c r="D111" s="1" t="s">
        <v>597</v>
      </c>
      <c r="E111" t="s">
        <v>24</v>
      </c>
      <c r="F111" t="s">
        <v>598</v>
      </c>
      <c r="G111" t="s">
        <v>75</v>
      </c>
      <c r="H111" t="s">
        <v>94</v>
      </c>
      <c r="I111" s="1" t="s">
        <v>28</v>
      </c>
      <c r="J111" t="s">
        <v>64</v>
      </c>
      <c r="K111" t="s">
        <v>65</v>
      </c>
      <c r="L111" s="1">
        <v>847868</v>
      </c>
      <c r="M111" s="1" t="s">
        <v>66</v>
      </c>
      <c r="N111" t="s">
        <v>599</v>
      </c>
      <c r="O111" t="s">
        <v>46</v>
      </c>
      <c r="P111" t="s">
        <v>57</v>
      </c>
      <c r="Q111" t="s">
        <v>58</v>
      </c>
      <c r="R111">
        <v>45764.36</v>
      </c>
      <c r="S111" s="25" t="e">
        <f>IF(Table1[[#This Row],[Sales]]=MIN(Table1[Sales]), Table1[[#This Row],[Sales]], NA())</f>
        <v>#N/A</v>
      </c>
      <c r="T111" s="25">
        <f>IF(AND(Table1[[#This Row],[Sales]]&lt;&gt;MIN(Table1[Sales]),Table1[[#This Row],[Sales]]&lt;&gt;MAX(Table1[Sales])), Table1[[#This Row],[Sales]], NA())</f>
        <v>45764.36</v>
      </c>
      <c r="U111" s="25" t="e">
        <f>IF(Table1[[#This Row],[Sales]]=MAX(Table1[Sales]), Table1[[#This Row],[Sales]], NA())</f>
        <v>#N/A</v>
      </c>
      <c r="V111">
        <v>10</v>
      </c>
      <c r="W111">
        <v>0.1</v>
      </c>
      <c r="X111">
        <v>2517.04</v>
      </c>
      <c r="Y111" s="3">
        <f>YEAR(Table1[[#This Row],[Order Date]])</f>
        <v>2023</v>
      </c>
      <c r="Z111" s="3" t="str">
        <f>TEXT(Table1[[#This Row],[Order Date]],"MMM")</f>
        <v>Aug</v>
      </c>
      <c r="AA111" s="3">
        <f>DAY(Table1[[#This Row],[Order Date]])</f>
        <v>28</v>
      </c>
    </row>
    <row r="112" spans="1:27" x14ac:dyDescent="0.35">
      <c r="A112" s="1">
        <v>111</v>
      </c>
      <c r="B112" s="1" t="s">
        <v>600</v>
      </c>
      <c r="C112" s="1" t="s">
        <v>601</v>
      </c>
      <c r="D112" s="1" t="s">
        <v>602</v>
      </c>
      <c r="E112" t="s">
        <v>62</v>
      </c>
      <c r="F112" t="s">
        <v>603</v>
      </c>
      <c r="G112" t="s">
        <v>122</v>
      </c>
      <c r="H112" t="s">
        <v>94</v>
      </c>
      <c r="I112" s="1" t="s">
        <v>28</v>
      </c>
      <c r="J112" t="s">
        <v>42</v>
      </c>
      <c r="K112" t="s">
        <v>43</v>
      </c>
      <c r="L112" s="1">
        <v>673273</v>
      </c>
      <c r="M112" s="1" t="s">
        <v>44</v>
      </c>
      <c r="N112" t="s">
        <v>604</v>
      </c>
      <c r="O112" t="s">
        <v>46</v>
      </c>
      <c r="P112" t="s">
        <v>47</v>
      </c>
      <c r="Q112" t="s">
        <v>48</v>
      </c>
      <c r="R112">
        <v>4455.09</v>
      </c>
      <c r="S112" s="25" t="e">
        <f>IF(Table1[[#This Row],[Sales]]=MIN(Table1[Sales]), Table1[[#This Row],[Sales]], NA())</f>
        <v>#N/A</v>
      </c>
      <c r="T112" s="25">
        <f>IF(AND(Table1[[#This Row],[Sales]]&lt;&gt;MIN(Table1[Sales]),Table1[[#This Row],[Sales]]&lt;&gt;MAX(Table1[Sales])), Table1[[#This Row],[Sales]], NA())</f>
        <v>4455.09</v>
      </c>
      <c r="U112" s="25" t="e">
        <f>IF(Table1[[#This Row],[Sales]]=MAX(Table1[Sales]), Table1[[#This Row],[Sales]], NA())</f>
        <v>#N/A</v>
      </c>
      <c r="V112">
        <v>6</v>
      </c>
      <c r="W112">
        <v>0</v>
      </c>
      <c r="X112">
        <v>356.41</v>
      </c>
      <c r="Y112" s="3">
        <f>YEAR(Table1[[#This Row],[Order Date]])</f>
        <v>2022</v>
      </c>
      <c r="Z112" s="3" t="str">
        <f>TEXT(Table1[[#This Row],[Order Date]],"MMM")</f>
        <v>Aug</v>
      </c>
      <c r="AA112" s="3">
        <f>DAY(Table1[[#This Row],[Order Date]])</f>
        <v>6</v>
      </c>
    </row>
    <row r="113" spans="1:27" x14ac:dyDescent="0.35">
      <c r="A113" s="1">
        <v>112</v>
      </c>
      <c r="B113" s="1" t="s">
        <v>605</v>
      </c>
      <c r="C113" s="1" t="s">
        <v>606</v>
      </c>
      <c r="D113" s="1" t="s">
        <v>607</v>
      </c>
      <c r="E113" t="s">
        <v>62</v>
      </c>
      <c r="F113" t="s">
        <v>608</v>
      </c>
      <c r="G113" t="s">
        <v>188</v>
      </c>
      <c r="H113" t="s">
        <v>41</v>
      </c>
      <c r="I113" s="1" t="s">
        <v>28</v>
      </c>
      <c r="J113" t="s">
        <v>53</v>
      </c>
      <c r="K113" t="s">
        <v>54</v>
      </c>
      <c r="L113" s="1">
        <v>450128</v>
      </c>
      <c r="M113" s="1" t="s">
        <v>55</v>
      </c>
      <c r="N113" t="s">
        <v>609</v>
      </c>
      <c r="O113" t="s">
        <v>32</v>
      </c>
      <c r="P113" t="s">
        <v>33</v>
      </c>
      <c r="Q113" t="s">
        <v>34</v>
      </c>
      <c r="R113">
        <v>23047.22</v>
      </c>
      <c r="S113" s="25" t="e">
        <f>IF(Table1[[#This Row],[Sales]]=MIN(Table1[Sales]), Table1[[#This Row],[Sales]], NA())</f>
        <v>#N/A</v>
      </c>
      <c r="T113" s="25">
        <f>IF(AND(Table1[[#This Row],[Sales]]&lt;&gt;MIN(Table1[Sales]),Table1[[#This Row],[Sales]]&lt;&gt;MAX(Table1[Sales])), Table1[[#This Row],[Sales]], NA())</f>
        <v>23047.22</v>
      </c>
      <c r="U113" s="25" t="e">
        <f>IF(Table1[[#This Row],[Sales]]=MAX(Table1[Sales]), Table1[[#This Row],[Sales]], NA())</f>
        <v>#N/A</v>
      </c>
      <c r="V113">
        <v>2</v>
      </c>
      <c r="W113">
        <v>0</v>
      </c>
      <c r="X113">
        <v>1843.78</v>
      </c>
      <c r="Y113" s="3">
        <f>YEAR(Table1[[#This Row],[Order Date]])</f>
        <v>2025</v>
      </c>
      <c r="Z113" s="3" t="str">
        <f>TEXT(Table1[[#This Row],[Order Date]],"MMM")</f>
        <v>Nov</v>
      </c>
      <c r="AA113" s="3">
        <f>DAY(Table1[[#This Row],[Order Date]])</f>
        <v>10</v>
      </c>
    </row>
    <row r="114" spans="1:27" x14ac:dyDescent="0.35">
      <c r="A114" s="1">
        <v>113</v>
      </c>
      <c r="B114" s="1" t="s">
        <v>610</v>
      </c>
      <c r="C114" s="1" t="s">
        <v>291</v>
      </c>
      <c r="D114" s="1" t="s">
        <v>611</v>
      </c>
      <c r="E114" t="s">
        <v>62</v>
      </c>
      <c r="F114" t="s">
        <v>612</v>
      </c>
      <c r="G114" t="s">
        <v>93</v>
      </c>
      <c r="H114" t="s">
        <v>27</v>
      </c>
      <c r="I114" s="1" t="s">
        <v>28</v>
      </c>
      <c r="J114" t="s">
        <v>128</v>
      </c>
      <c r="K114" t="s">
        <v>129</v>
      </c>
      <c r="L114" s="1">
        <v>735639</v>
      </c>
      <c r="M114" s="1" t="s">
        <v>66</v>
      </c>
      <c r="N114" t="s">
        <v>613</v>
      </c>
      <c r="O114" t="s">
        <v>46</v>
      </c>
      <c r="P114" t="s">
        <v>57</v>
      </c>
      <c r="Q114" t="s">
        <v>58</v>
      </c>
      <c r="R114">
        <v>20199.72</v>
      </c>
      <c r="S114" s="25" t="e">
        <f>IF(Table1[[#This Row],[Sales]]=MIN(Table1[Sales]), Table1[[#This Row],[Sales]], NA())</f>
        <v>#N/A</v>
      </c>
      <c r="T114" s="25">
        <f>IF(AND(Table1[[#This Row],[Sales]]&lt;&gt;MIN(Table1[Sales]),Table1[[#This Row],[Sales]]&lt;&gt;MAX(Table1[Sales])), Table1[[#This Row],[Sales]], NA())</f>
        <v>20199.72</v>
      </c>
      <c r="U114" s="25" t="e">
        <f>IF(Table1[[#This Row],[Sales]]=MAX(Table1[Sales]), Table1[[#This Row],[Sales]], NA())</f>
        <v>#N/A</v>
      </c>
      <c r="V114">
        <v>7</v>
      </c>
      <c r="W114">
        <v>0</v>
      </c>
      <c r="X114">
        <v>1615.98</v>
      </c>
      <c r="Y114" s="3">
        <f>YEAR(Table1[[#This Row],[Order Date]])</f>
        <v>2024</v>
      </c>
      <c r="Z114" s="3" t="str">
        <f>TEXT(Table1[[#This Row],[Order Date]],"MMM")</f>
        <v>Jun</v>
      </c>
      <c r="AA114" s="3">
        <f>DAY(Table1[[#This Row],[Order Date]])</f>
        <v>2</v>
      </c>
    </row>
    <row r="115" spans="1:27" x14ac:dyDescent="0.35">
      <c r="A115" s="1">
        <v>114</v>
      </c>
      <c r="B115" s="1" t="s">
        <v>614</v>
      </c>
      <c r="C115" s="1" t="s">
        <v>615</v>
      </c>
      <c r="D115" s="1" t="s">
        <v>616</v>
      </c>
      <c r="E115" t="s">
        <v>38</v>
      </c>
      <c r="F115" t="s">
        <v>617</v>
      </c>
      <c r="G115" t="s">
        <v>110</v>
      </c>
      <c r="H115" t="s">
        <v>27</v>
      </c>
      <c r="I115" s="1" t="s">
        <v>28</v>
      </c>
      <c r="J115" t="s">
        <v>53</v>
      </c>
      <c r="K115" t="s">
        <v>54</v>
      </c>
      <c r="L115" s="1">
        <v>791499</v>
      </c>
      <c r="M115" s="1" t="s">
        <v>55</v>
      </c>
      <c r="N115" t="s">
        <v>618</v>
      </c>
      <c r="O115" t="s">
        <v>46</v>
      </c>
      <c r="P115" t="s">
        <v>47</v>
      </c>
      <c r="Q115" t="s">
        <v>48</v>
      </c>
      <c r="R115">
        <v>55392.19</v>
      </c>
      <c r="S115" s="25" t="e">
        <f>IF(Table1[[#This Row],[Sales]]=MIN(Table1[Sales]), Table1[[#This Row],[Sales]], NA())</f>
        <v>#N/A</v>
      </c>
      <c r="T115" s="25">
        <f>IF(AND(Table1[[#This Row],[Sales]]&lt;&gt;MIN(Table1[Sales]),Table1[[#This Row],[Sales]]&lt;&gt;MAX(Table1[Sales])), Table1[[#This Row],[Sales]], NA())</f>
        <v>55392.19</v>
      </c>
      <c r="U115" s="25" t="e">
        <f>IF(Table1[[#This Row],[Sales]]=MAX(Table1[Sales]), Table1[[#This Row],[Sales]], NA())</f>
        <v>#N/A</v>
      </c>
      <c r="V115">
        <v>5</v>
      </c>
      <c r="W115">
        <v>0</v>
      </c>
      <c r="X115">
        <v>4431.38</v>
      </c>
      <c r="Y115" s="3">
        <f>YEAR(Table1[[#This Row],[Order Date]])</f>
        <v>2023</v>
      </c>
      <c r="Z115" s="3" t="str">
        <f>TEXT(Table1[[#This Row],[Order Date]],"MMM")</f>
        <v>Mar</v>
      </c>
      <c r="AA115" s="3">
        <f>DAY(Table1[[#This Row],[Order Date]])</f>
        <v>9</v>
      </c>
    </row>
    <row r="116" spans="1:27" x14ac:dyDescent="0.35">
      <c r="A116" s="1">
        <v>115</v>
      </c>
      <c r="B116" s="1" t="s">
        <v>619</v>
      </c>
      <c r="C116" s="1" t="s">
        <v>620</v>
      </c>
      <c r="D116" s="1" t="s">
        <v>533</v>
      </c>
      <c r="E116" t="s">
        <v>24</v>
      </c>
      <c r="F116" t="s">
        <v>621</v>
      </c>
      <c r="G116" t="s">
        <v>87</v>
      </c>
      <c r="H116" t="s">
        <v>27</v>
      </c>
      <c r="I116" s="1" t="s">
        <v>28</v>
      </c>
      <c r="J116" t="s">
        <v>53</v>
      </c>
      <c r="K116" t="s">
        <v>54</v>
      </c>
      <c r="L116" s="1">
        <v>913459</v>
      </c>
      <c r="M116" s="1" t="s">
        <v>55</v>
      </c>
      <c r="N116" t="s">
        <v>622</v>
      </c>
      <c r="O116" t="s">
        <v>46</v>
      </c>
      <c r="P116" t="s">
        <v>57</v>
      </c>
      <c r="Q116" t="s">
        <v>58</v>
      </c>
      <c r="R116">
        <v>99263.49</v>
      </c>
      <c r="S116" s="25" t="e">
        <f>IF(Table1[[#This Row],[Sales]]=MIN(Table1[Sales]), Table1[[#This Row],[Sales]], NA())</f>
        <v>#N/A</v>
      </c>
      <c r="T116" s="25">
        <f>IF(AND(Table1[[#This Row],[Sales]]&lt;&gt;MIN(Table1[Sales]),Table1[[#This Row],[Sales]]&lt;&gt;MAX(Table1[Sales])), Table1[[#This Row],[Sales]], NA())</f>
        <v>99263.49</v>
      </c>
      <c r="U116" s="25" t="e">
        <f>IF(Table1[[#This Row],[Sales]]=MAX(Table1[Sales]), Table1[[#This Row],[Sales]], NA())</f>
        <v>#N/A</v>
      </c>
      <c r="V116">
        <v>9</v>
      </c>
      <c r="W116">
        <v>0.1</v>
      </c>
      <c r="X116">
        <v>5459.49</v>
      </c>
      <c r="Y116" s="3">
        <f>YEAR(Table1[[#This Row],[Order Date]])</f>
        <v>2024</v>
      </c>
      <c r="Z116" s="3" t="str">
        <f>TEXT(Table1[[#This Row],[Order Date]],"MMM")</f>
        <v>Mar</v>
      </c>
      <c r="AA116" s="3">
        <f>DAY(Table1[[#This Row],[Order Date]])</f>
        <v>2</v>
      </c>
    </row>
    <row r="117" spans="1:27" x14ac:dyDescent="0.35">
      <c r="A117" s="1">
        <v>116</v>
      </c>
      <c r="B117" s="1" t="s">
        <v>623</v>
      </c>
      <c r="C117" s="1" t="s">
        <v>624</v>
      </c>
      <c r="D117" s="1" t="s">
        <v>331</v>
      </c>
      <c r="E117" t="s">
        <v>62</v>
      </c>
      <c r="F117" t="s">
        <v>625</v>
      </c>
      <c r="G117" t="s">
        <v>188</v>
      </c>
      <c r="H117" t="s">
        <v>94</v>
      </c>
      <c r="I117" s="1" t="s">
        <v>28</v>
      </c>
      <c r="J117" t="s">
        <v>64</v>
      </c>
      <c r="K117" t="s">
        <v>65</v>
      </c>
      <c r="L117" s="1">
        <v>659188</v>
      </c>
      <c r="M117" s="1" t="s">
        <v>66</v>
      </c>
      <c r="N117" t="s">
        <v>626</v>
      </c>
      <c r="O117" t="s">
        <v>32</v>
      </c>
      <c r="P117" t="s">
        <v>33</v>
      </c>
      <c r="Q117" t="s">
        <v>34</v>
      </c>
      <c r="R117">
        <v>19484.490000000002</v>
      </c>
      <c r="S117" s="25" t="e">
        <f>IF(Table1[[#This Row],[Sales]]=MIN(Table1[Sales]), Table1[[#This Row],[Sales]], NA())</f>
        <v>#N/A</v>
      </c>
      <c r="T117" s="25">
        <f>IF(AND(Table1[[#This Row],[Sales]]&lt;&gt;MIN(Table1[Sales]),Table1[[#This Row],[Sales]]&lt;&gt;MAX(Table1[Sales])), Table1[[#This Row],[Sales]], NA())</f>
        <v>19484.490000000002</v>
      </c>
      <c r="U117" s="25" t="e">
        <f>IF(Table1[[#This Row],[Sales]]=MAX(Table1[Sales]), Table1[[#This Row],[Sales]], NA())</f>
        <v>#N/A</v>
      </c>
      <c r="V117">
        <v>8</v>
      </c>
      <c r="W117">
        <v>0.3</v>
      </c>
      <c r="X117">
        <v>97.42</v>
      </c>
      <c r="Y117" s="3">
        <f>YEAR(Table1[[#This Row],[Order Date]])</f>
        <v>2024</v>
      </c>
      <c r="Z117" s="3" t="str">
        <f>TEXT(Table1[[#This Row],[Order Date]],"MMM")</f>
        <v>Sep</v>
      </c>
      <c r="AA117" s="3">
        <f>DAY(Table1[[#This Row],[Order Date]])</f>
        <v>15</v>
      </c>
    </row>
    <row r="118" spans="1:27" x14ac:dyDescent="0.35">
      <c r="A118" s="1">
        <v>117</v>
      </c>
      <c r="B118" s="1" t="s">
        <v>627</v>
      </c>
      <c r="C118" s="1" t="s">
        <v>628</v>
      </c>
      <c r="D118" s="1" t="s">
        <v>629</v>
      </c>
      <c r="E118" t="s">
        <v>38</v>
      </c>
      <c r="F118" t="s">
        <v>630</v>
      </c>
      <c r="G118" t="s">
        <v>188</v>
      </c>
      <c r="H118" t="s">
        <v>94</v>
      </c>
      <c r="I118" s="1" t="s">
        <v>28</v>
      </c>
      <c r="J118" t="s">
        <v>42</v>
      </c>
      <c r="K118" t="s">
        <v>43</v>
      </c>
      <c r="L118" s="1">
        <v>895848</v>
      </c>
      <c r="M118" s="1" t="s">
        <v>44</v>
      </c>
      <c r="N118" t="s">
        <v>631</v>
      </c>
      <c r="O118" t="s">
        <v>68</v>
      </c>
      <c r="P118" t="s">
        <v>69</v>
      </c>
      <c r="Q118" t="s">
        <v>70</v>
      </c>
      <c r="R118">
        <v>776.18</v>
      </c>
      <c r="S118" s="25" t="e">
        <f>IF(Table1[[#This Row],[Sales]]=MIN(Table1[Sales]), Table1[[#This Row],[Sales]], NA())</f>
        <v>#N/A</v>
      </c>
      <c r="T118" s="25">
        <f>IF(AND(Table1[[#This Row],[Sales]]&lt;&gt;MIN(Table1[Sales]),Table1[[#This Row],[Sales]]&lt;&gt;MAX(Table1[Sales])), Table1[[#This Row],[Sales]], NA())</f>
        <v>776.18</v>
      </c>
      <c r="U118" s="25" t="e">
        <f>IF(Table1[[#This Row],[Sales]]=MAX(Table1[Sales]), Table1[[#This Row],[Sales]], NA())</f>
        <v>#N/A</v>
      </c>
      <c r="V118">
        <v>8</v>
      </c>
      <c r="W118">
        <v>0.1</v>
      </c>
      <c r="X118">
        <v>42.69</v>
      </c>
      <c r="Y118" s="3">
        <f>YEAR(Table1[[#This Row],[Order Date]])</f>
        <v>2024</v>
      </c>
      <c r="Z118" s="3" t="str">
        <f>TEXT(Table1[[#This Row],[Order Date]],"MMM")</f>
        <v>Jan</v>
      </c>
      <c r="AA118" s="3">
        <f>DAY(Table1[[#This Row],[Order Date]])</f>
        <v>1</v>
      </c>
    </row>
    <row r="119" spans="1:27" x14ac:dyDescent="0.35">
      <c r="A119" s="1">
        <v>118</v>
      </c>
      <c r="B119" s="1" t="s">
        <v>632</v>
      </c>
      <c r="C119" s="1" t="s">
        <v>633</v>
      </c>
      <c r="D119" s="1" t="s">
        <v>634</v>
      </c>
      <c r="E119" t="s">
        <v>24</v>
      </c>
      <c r="F119" t="s">
        <v>635</v>
      </c>
      <c r="G119" t="s">
        <v>140</v>
      </c>
      <c r="H119" t="s">
        <v>41</v>
      </c>
      <c r="I119" s="1" t="s">
        <v>28</v>
      </c>
      <c r="J119" t="s">
        <v>53</v>
      </c>
      <c r="K119" t="s">
        <v>54</v>
      </c>
      <c r="L119" s="1">
        <v>352632</v>
      </c>
      <c r="M119" s="1" t="s">
        <v>55</v>
      </c>
      <c r="N119" t="s">
        <v>636</v>
      </c>
      <c r="O119" t="s">
        <v>46</v>
      </c>
      <c r="P119" t="s">
        <v>47</v>
      </c>
      <c r="Q119" t="s">
        <v>48</v>
      </c>
      <c r="R119">
        <v>83882.28</v>
      </c>
      <c r="S119" s="25" t="e">
        <f>IF(Table1[[#This Row],[Sales]]=MIN(Table1[Sales]), Table1[[#This Row],[Sales]], NA())</f>
        <v>#N/A</v>
      </c>
      <c r="T119" s="25">
        <f>IF(AND(Table1[[#This Row],[Sales]]&lt;&gt;MIN(Table1[Sales]),Table1[[#This Row],[Sales]]&lt;&gt;MAX(Table1[Sales])), Table1[[#This Row],[Sales]], NA())</f>
        <v>83882.28</v>
      </c>
      <c r="U119" s="25" t="e">
        <f>IF(Table1[[#This Row],[Sales]]=MAX(Table1[Sales]), Table1[[#This Row],[Sales]], NA())</f>
        <v>#N/A</v>
      </c>
      <c r="V119">
        <v>10</v>
      </c>
      <c r="W119">
        <v>0.3</v>
      </c>
      <c r="X119">
        <v>419.41</v>
      </c>
      <c r="Y119" s="3">
        <f>YEAR(Table1[[#This Row],[Order Date]])</f>
        <v>2022</v>
      </c>
      <c r="Z119" s="3" t="str">
        <f>TEXT(Table1[[#This Row],[Order Date]],"MMM")</f>
        <v>Jun</v>
      </c>
      <c r="AA119" s="3">
        <f>DAY(Table1[[#This Row],[Order Date]])</f>
        <v>17</v>
      </c>
    </row>
    <row r="120" spans="1:27" x14ac:dyDescent="0.35">
      <c r="A120" s="1">
        <v>119</v>
      </c>
      <c r="B120" s="1" t="s">
        <v>637</v>
      </c>
      <c r="C120" s="1" t="s">
        <v>638</v>
      </c>
      <c r="D120" s="1" t="s">
        <v>639</v>
      </c>
      <c r="E120" t="s">
        <v>62</v>
      </c>
      <c r="F120" t="s">
        <v>640</v>
      </c>
      <c r="G120" t="s">
        <v>40</v>
      </c>
      <c r="H120" t="s">
        <v>41</v>
      </c>
      <c r="I120" s="1" t="s">
        <v>28</v>
      </c>
      <c r="J120" t="s">
        <v>53</v>
      </c>
      <c r="K120" t="s">
        <v>54</v>
      </c>
      <c r="L120" s="1">
        <v>227812</v>
      </c>
      <c r="M120" s="1" t="s">
        <v>55</v>
      </c>
      <c r="N120" t="s">
        <v>641</v>
      </c>
      <c r="O120" t="s">
        <v>68</v>
      </c>
      <c r="P120" t="s">
        <v>69</v>
      </c>
      <c r="Q120" t="s">
        <v>70</v>
      </c>
      <c r="R120">
        <v>9301.27</v>
      </c>
      <c r="S120" s="25" t="e">
        <f>IF(Table1[[#This Row],[Sales]]=MIN(Table1[Sales]), Table1[[#This Row],[Sales]], NA())</f>
        <v>#N/A</v>
      </c>
      <c r="T120" s="25">
        <f>IF(AND(Table1[[#This Row],[Sales]]&lt;&gt;MIN(Table1[Sales]),Table1[[#This Row],[Sales]]&lt;&gt;MAX(Table1[Sales])), Table1[[#This Row],[Sales]], NA())</f>
        <v>9301.27</v>
      </c>
      <c r="U120" s="25" t="e">
        <f>IF(Table1[[#This Row],[Sales]]=MAX(Table1[Sales]), Table1[[#This Row],[Sales]], NA())</f>
        <v>#N/A</v>
      </c>
      <c r="V120">
        <v>8</v>
      </c>
      <c r="W120">
        <v>0.1</v>
      </c>
      <c r="X120">
        <v>511.57</v>
      </c>
      <c r="Y120" s="3">
        <f>YEAR(Table1[[#This Row],[Order Date]])</f>
        <v>2021</v>
      </c>
      <c r="Z120" s="3" t="str">
        <f>TEXT(Table1[[#This Row],[Order Date]],"MMM")</f>
        <v>Oct</v>
      </c>
      <c r="AA120" s="3">
        <f>DAY(Table1[[#This Row],[Order Date]])</f>
        <v>25</v>
      </c>
    </row>
    <row r="121" spans="1:27" x14ac:dyDescent="0.35">
      <c r="A121" s="1">
        <v>120</v>
      </c>
      <c r="B121" s="1" t="s">
        <v>642</v>
      </c>
      <c r="C121" s="1" t="s">
        <v>643</v>
      </c>
      <c r="D121" s="1" t="s">
        <v>345</v>
      </c>
      <c r="E121" t="s">
        <v>115</v>
      </c>
      <c r="F121" t="s">
        <v>644</v>
      </c>
      <c r="G121" t="s">
        <v>122</v>
      </c>
      <c r="H121" t="s">
        <v>41</v>
      </c>
      <c r="I121" s="1" t="s">
        <v>28</v>
      </c>
      <c r="J121" t="s">
        <v>128</v>
      </c>
      <c r="K121" t="s">
        <v>129</v>
      </c>
      <c r="L121" s="1">
        <v>482787</v>
      </c>
      <c r="M121" s="1" t="s">
        <v>66</v>
      </c>
      <c r="N121" t="s">
        <v>645</v>
      </c>
      <c r="O121" t="s">
        <v>68</v>
      </c>
      <c r="P121" t="s">
        <v>69</v>
      </c>
      <c r="Q121" t="s">
        <v>70</v>
      </c>
      <c r="R121">
        <v>73916.160000000003</v>
      </c>
      <c r="S121" s="25" t="e">
        <f>IF(Table1[[#This Row],[Sales]]=MIN(Table1[Sales]), Table1[[#This Row],[Sales]], NA())</f>
        <v>#N/A</v>
      </c>
      <c r="T121" s="25">
        <f>IF(AND(Table1[[#This Row],[Sales]]&lt;&gt;MIN(Table1[Sales]),Table1[[#This Row],[Sales]]&lt;&gt;MAX(Table1[Sales])), Table1[[#This Row],[Sales]], NA())</f>
        <v>73916.160000000003</v>
      </c>
      <c r="U121" s="25" t="e">
        <f>IF(Table1[[#This Row],[Sales]]=MAX(Table1[Sales]), Table1[[#This Row],[Sales]], NA())</f>
        <v>#N/A</v>
      </c>
      <c r="V121">
        <v>5</v>
      </c>
      <c r="W121">
        <v>0</v>
      </c>
      <c r="X121">
        <v>5913.29</v>
      </c>
      <c r="Y121" s="3">
        <f>YEAR(Table1[[#This Row],[Order Date]])</f>
        <v>2023</v>
      </c>
      <c r="Z121" s="3" t="str">
        <f>TEXT(Table1[[#This Row],[Order Date]],"MMM")</f>
        <v>Nov</v>
      </c>
      <c r="AA121" s="3">
        <f>DAY(Table1[[#This Row],[Order Date]])</f>
        <v>4</v>
      </c>
    </row>
    <row r="122" spans="1:27" x14ac:dyDescent="0.35">
      <c r="A122" s="1">
        <v>121</v>
      </c>
      <c r="B122" s="1" t="s">
        <v>646</v>
      </c>
      <c r="C122" s="1" t="s">
        <v>647</v>
      </c>
      <c r="D122" s="1" t="s">
        <v>648</v>
      </c>
      <c r="E122" t="s">
        <v>115</v>
      </c>
      <c r="F122" t="s">
        <v>649</v>
      </c>
      <c r="G122" t="s">
        <v>188</v>
      </c>
      <c r="H122" t="s">
        <v>27</v>
      </c>
      <c r="I122" s="1" t="s">
        <v>28</v>
      </c>
      <c r="J122" t="s">
        <v>29</v>
      </c>
      <c r="K122" t="s">
        <v>29</v>
      </c>
      <c r="L122" s="1">
        <v>818793</v>
      </c>
      <c r="M122" s="1" t="s">
        <v>30</v>
      </c>
      <c r="N122" t="s">
        <v>650</v>
      </c>
      <c r="O122" t="s">
        <v>68</v>
      </c>
      <c r="P122" t="s">
        <v>69</v>
      </c>
      <c r="Q122" t="s">
        <v>70</v>
      </c>
      <c r="R122">
        <v>39703.4</v>
      </c>
      <c r="S122" s="25" t="e">
        <f>IF(Table1[[#This Row],[Sales]]=MIN(Table1[Sales]), Table1[[#This Row],[Sales]], NA())</f>
        <v>#N/A</v>
      </c>
      <c r="T122" s="25">
        <f>IF(AND(Table1[[#This Row],[Sales]]&lt;&gt;MIN(Table1[Sales]),Table1[[#This Row],[Sales]]&lt;&gt;MAX(Table1[Sales])), Table1[[#This Row],[Sales]], NA())</f>
        <v>39703.4</v>
      </c>
      <c r="U122" s="25" t="e">
        <f>IF(Table1[[#This Row],[Sales]]=MAX(Table1[Sales]), Table1[[#This Row],[Sales]], NA())</f>
        <v>#N/A</v>
      </c>
      <c r="V122">
        <v>8</v>
      </c>
      <c r="W122">
        <v>0.1</v>
      </c>
      <c r="X122">
        <v>2183.69</v>
      </c>
      <c r="Y122" s="3">
        <f>YEAR(Table1[[#This Row],[Order Date]])</f>
        <v>2021</v>
      </c>
      <c r="Z122" s="3" t="str">
        <f>TEXT(Table1[[#This Row],[Order Date]],"MMM")</f>
        <v>May</v>
      </c>
      <c r="AA122" s="3">
        <f>DAY(Table1[[#This Row],[Order Date]])</f>
        <v>26</v>
      </c>
    </row>
    <row r="123" spans="1:27" x14ac:dyDescent="0.35">
      <c r="A123" s="1">
        <v>122</v>
      </c>
      <c r="B123" s="1" t="s">
        <v>651</v>
      </c>
      <c r="C123" s="1" t="s">
        <v>652</v>
      </c>
      <c r="D123" s="1" t="s">
        <v>653</v>
      </c>
      <c r="E123" t="s">
        <v>38</v>
      </c>
      <c r="F123" t="s">
        <v>654</v>
      </c>
      <c r="G123" t="s">
        <v>40</v>
      </c>
      <c r="H123" t="s">
        <v>27</v>
      </c>
      <c r="I123" s="1" t="s">
        <v>28</v>
      </c>
      <c r="J123" t="s">
        <v>53</v>
      </c>
      <c r="K123" t="s">
        <v>54</v>
      </c>
      <c r="L123" s="1">
        <v>513534</v>
      </c>
      <c r="M123" s="1" t="s">
        <v>55</v>
      </c>
      <c r="N123" t="s">
        <v>655</v>
      </c>
      <c r="O123" t="s">
        <v>46</v>
      </c>
      <c r="P123" t="s">
        <v>57</v>
      </c>
      <c r="Q123" t="s">
        <v>58</v>
      </c>
      <c r="R123">
        <v>83274.850000000006</v>
      </c>
      <c r="S123" s="25" t="e">
        <f>IF(Table1[[#This Row],[Sales]]=MIN(Table1[Sales]), Table1[[#This Row],[Sales]], NA())</f>
        <v>#N/A</v>
      </c>
      <c r="T123" s="25">
        <f>IF(AND(Table1[[#This Row],[Sales]]&lt;&gt;MIN(Table1[Sales]),Table1[[#This Row],[Sales]]&lt;&gt;MAX(Table1[Sales])), Table1[[#This Row],[Sales]], NA())</f>
        <v>83274.850000000006</v>
      </c>
      <c r="U123" s="25" t="e">
        <f>IF(Table1[[#This Row],[Sales]]=MAX(Table1[Sales]), Table1[[#This Row],[Sales]], NA())</f>
        <v>#N/A</v>
      </c>
      <c r="V123">
        <v>8</v>
      </c>
      <c r="W123">
        <v>0</v>
      </c>
      <c r="X123">
        <v>6661.99</v>
      </c>
      <c r="Y123" s="3">
        <f>YEAR(Table1[[#This Row],[Order Date]])</f>
        <v>2024</v>
      </c>
      <c r="Z123" s="3" t="str">
        <f>TEXT(Table1[[#This Row],[Order Date]],"MMM")</f>
        <v>Apr</v>
      </c>
      <c r="AA123" s="3">
        <f>DAY(Table1[[#This Row],[Order Date]])</f>
        <v>27</v>
      </c>
    </row>
    <row r="124" spans="1:27" x14ac:dyDescent="0.35">
      <c r="A124" s="1">
        <v>123</v>
      </c>
      <c r="B124" s="1" t="s">
        <v>656</v>
      </c>
      <c r="C124" s="1" t="s">
        <v>657</v>
      </c>
      <c r="D124" s="1" t="s">
        <v>658</v>
      </c>
      <c r="E124" t="s">
        <v>115</v>
      </c>
      <c r="F124" t="s">
        <v>659</v>
      </c>
      <c r="G124" t="s">
        <v>87</v>
      </c>
      <c r="H124" t="s">
        <v>94</v>
      </c>
      <c r="I124" s="1" t="s">
        <v>28</v>
      </c>
      <c r="J124" t="s">
        <v>29</v>
      </c>
      <c r="K124" t="s">
        <v>29</v>
      </c>
      <c r="L124" s="1">
        <v>955697</v>
      </c>
      <c r="M124" s="1" t="s">
        <v>30</v>
      </c>
      <c r="N124" t="s">
        <v>660</v>
      </c>
      <c r="O124" t="s">
        <v>46</v>
      </c>
      <c r="P124" t="s">
        <v>57</v>
      </c>
      <c r="Q124" t="s">
        <v>58</v>
      </c>
      <c r="R124">
        <v>44746.01</v>
      </c>
      <c r="S124" s="25" t="e">
        <f>IF(Table1[[#This Row],[Sales]]=MIN(Table1[Sales]), Table1[[#This Row],[Sales]], NA())</f>
        <v>#N/A</v>
      </c>
      <c r="T124" s="25">
        <f>IF(AND(Table1[[#This Row],[Sales]]&lt;&gt;MIN(Table1[Sales]),Table1[[#This Row],[Sales]]&lt;&gt;MAX(Table1[Sales])), Table1[[#This Row],[Sales]], NA())</f>
        <v>44746.01</v>
      </c>
      <c r="U124" s="25" t="e">
        <f>IF(Table1[[#This Row],[Sales]]=MAX(Table1[Sales]), Table1[[#This Row],[Sales]], NA())</f>
        <v>#N/A</v>
      </c>
      <c r="V124">
        <v>8</v>
      </c>
      <c r="W124">
        <v>0.2</v>
      </c>
      <c r="X124">
        <v>1342.38</v>
      </c>
      <c r="Y124" s="3">
        <f>YEAR(Table1[[#This Row],[Order Date]])</f>
        <v>2022</v>
      </c>
      <c r="Z124" s="3" t="str">
        <f>TEXT(Table1[[#This Row],[Order Date]],"MMM")</f>
        <v>May</v>
      </c>
      <c r="AA124" s="3">
        <f>DAY(Table1[[#This Row],[Order Date]])</f>
        <v>14</v>
      </c>
    </row>
    <row r="125" spans="1:27" x14ac:dyDescent="0.35">
      <c r="A125" s="1">
        <v>124</v>
      </c>
      <c r="B125" s="1" t="s">
        <v>661</v>
      </c>
      <c r="C125" s="1" t="s">
        <v>662</v>
      </c>
      <c r="D125" s="1" t="s">
        <v>663</v>
      </c>
      <c r="E125" t="s">
        <v>38</v>
      </c>
      <c r="F125" t="s">
        <v>664</v>
      </c>
      <c r="G125" t="s">
        <v>122</v>
      </c>
      <c r="H125" t="s">
        <v>27</v>
      </c>
      <c r="I125" s="1" t="s">
        <v>28</v>
      </c>
      <c r="J125" t="s">
        <v>128</v>
      </c>
      <c r="K125" t="s">
        <v>129</v>
      </c>
      <c r="L125" s="1">
        <v>363188</v>
      </c>
      <c r="M125" s="1" t="s">
        <v>66</v>
      </c>
      <c r="N125" t="s">
        <v>665</v>
      </c>
      <c r="O125" t="s">
        <v>68</v>
      </c>
      <c r="P125" t="s">
        <v>69</v>
      </c>
      <c r="Q125" t="s">
        <v>70</v>
      </c>
      <c r="R125">
        <v>42650.44</v>
      </c>
      <c r="S125" s="25" t="e">
        <f>IF(Table1[[#This Row],[Sales]]=MIN(Table1[Sales]), Table1[[#This Row],[Sales]], NA())</f>
        <v>#N/A</v>
      </c>
      <c r="T125" s="25">
        <f>IF(AND(Table1[[#This Row],[Sales]]&lt;&gt;MIN(Table1[Sales]),Table1[[#This Row],[Sales]]&lt;&gt;MAX(Table1[Sales])), Table1[[#This Row],[Sales]], NA())</f>
        <v>42650.44</v>
      </c>
      <c r="U125" s="25" t="e">
        <f>IF(Table1[[#This Row],[Sales]]=MAX(Table1[Sales]), Table1[[#This Row],[Sales]], NA())</f>
        <v>#N/A</v>
      </c>
      <c r="V125">
        <v>3</v>
      </c>
      <c r="W125">
        <v>0</v>
      </c>
      <c r="X125">
        <v>3412.04</v>
      </c>
      <c r="Y125" s="3">
        <f>YEAR(Table1[[#This Row],[Order Date]])</f>
        <v>2022</v>
      </c>
      <c r="Z125" s="3" t="str">
        <f>TEXT(Table1[[#This Row],[Order Date]],"MMM")</f>
        <v>Mar</v>
      </c>
      <c r="AA125" s="3">
        <f>DAY(Table1[[#This Row],[Order Date]])</f>
        <v>23</v>
      </c>
    </row>
    <row r="126" spans="1:27" x14ac:dyDescent="0.35">
      <c r="A126" s="1">
        <v>125</v>
      </c>
      <c r="B126" s="1" t="s">
        <v>666</v>
      </c>
      <c r="C126" s="1" t="s">
        <v>667</v>
      </c>
      <c r="D126" s="1" t="s">
        <v>668</v>
      </c>
      <c r="E126" t="s">
        <v>38</v>
      </c>
      <c r="F126" t="s">
        <v>669</v>
      </c>
      <c r="G126" t="s">
        <v>26</v>
      </c>
      <c r="H126" t="s">
        <v>41</v>
      </c>
      <c r="I126" s="1" t="s">
        <v>28</v>
      </c>
      <c r="J126" t="s">
        <v>64</v>
      </c>
      <c r="K126" t="s">
        <v>65</v>
      </c>
      <c r="L126" s="1">
        <v>565009</v>
      </c>
      <c r="M126" s="1" t="s">
        <v>66</v>
      </c>
      <c r="N126" t="s">
        <v>670</v>
      </c>
      <c r="O126" t="s">
        <v>46</v>
      </c>
      <c r="P126" t="s">
        <v>47</v>
      </c>
      <c r="Q126" t="s">
        <v>48</v>
      </c>
      <c r="R126">
        <v>57255</v>
      </c>
      <c r="S126" s="25" t="e">
        <f>IF(Table1[[#This Row],[Sales]]=MIN(Table1[Sales]), Table1[[#This Row],[Sales]], NA())</f>
        <v>#N/A</v>
      </c>
      <c r="T126" s="25">
        <f>IF(AND(Table1[[#This Row],[Sales]]&lt;&gt;MIN(Table1[Sales]),Table1[[#This Row],[Sales]]&lt;&gt;MAX(Table1[Sales])), Table1[[#This Row],[Sales]], NA())</f>
        <v>57255</v>
      </c>
      <c r="U126" s="25" t="e">
        <f>IF(Table1[[#This Row],[Sales]]=MAX(Table1[Sales]), Table1[[#This Row],[Sales]], NA())</f>
        <v>#N/A</v>
      </c>
      <c r="V126">
        <v>2</v>
      </c>
      <c r="W126">
        <v>0.1</v>
      </c>
      <c r="X126">
        <v>3149.03</v>
      </c>
      <c r="Y126" s="3">
        <f>YEAR(Table1[[#This Row],[Order Date]])</f>
        <v>2025</v>
      </c>
      <c r="Z126" s="3" t="str">
        <f>TEXT(Table1[[#This Row],[Order Date]],"MMM")</f>
        <v>Feb</v>
      </c>
      <c r="AA126" s="3">
        <f>DAY(Table1[[#This Row],[Order Date]])</f>
        <v>14</v>
      </c>
    </row>
    <row r="127" spans="1:27" x14ac:dyDescent="0.35">
      <c r="A127" s="1">
        <v>126</v>
      </c>
      <c r="B127" s="1" t="s">
        <v>671</v>
      </c>
      <c r="C127" s="1" t="s">
        <v>672</v>
      </c>
      <c r="D127" s="1" t="s">
        <v>673</v>
      </c>
      <c r="E127" t="s">
        <v>24</v>
      </c>
      <c r="F127" t="s">
        <v>674</v>
      </c>
      <c r="G127" t="s">
        <v>93</v>
      </c>
      <c r="H127" t="s">
        <v>41</v>
      </c>
      <c r="I127" s="1" t="s">
        <v>28</v>
      </c>
      <c r="J127" t="s">
        <v>42</v>
      </c>
      <c r="K127" t="s">
        <v>43</v>
      </c>
      <c r="L127" s="1">
        <v>178551</v>
      </c>
      <c r="M127" s="1" t="s">
        <v>44</v>
      </c>
      <c r="N127" t="s">
        <v>675</v>
      </c>
      <c r="O127" t="s">
        <v>46</v>
      </c>
      <c r="P127" t="s">
        <v>47</v>
      </c>
      <c r="Q127" t="s">
        <v>48</v>
      </c>
      <c r="R127">
        <v>75303.38</v>
      </c>
      <c r="S127" s="25" t="e">
        <f>IF(Table1[[#This Row],[Sales]]=MIN(Table1[Sales]), Table1[[#This Row],[Sales]], NA())</f>
        <v>#N/A</v>
      </c>
      <c r="T127" s="25">
        <f>IF(AND(Table1[[#This Row],[Sales]]&lt;&gt;MIN(Table1[Sales]),Table1[[#This Row],[Sales]]&lt;&gt;MAX(Table1[Sales])), Table1[[#This Row],[Sales]], NA())</f>
        <v>75303.38</v>
      </c>
      <c r="U127" s="25" t="e">
        <f>IF(Table1[[#This Row],[Sales]]=MAX(Table1[Sales]), Table1[[#This Row],[Sales]], NA())</f>
        <v>#N/A</v>
      </c>
      <c r="V127">
        <v>5</v>
      </c>
      <c r="W127">
        <v>0.3</v>
      </c>
      <c r="X127">
        <v>376.52</v>
      </c>
      <c r="Y127" s="3">
        <f>YEAR(Table1[[#This Row],[Order Date]])</f>
        <v>2021</v>
      </c>
      <c r="Z127" s="3" t="str">
        <f>TEXT(Table1[[#This Row],[Order Date]],"MMM")</f>
        <v>May</v>
      </c>
      <c r="AA127" s="3">
        <f>DAY(Table1[[#This Row],[Order Date]])</f>
        <v>28</v>
      </c>
    </row>
    <row r="128" spans="1:27" x14ac:dyDescent="0.35">
      <c r="A128" s="1">
        <v>127</v>
      </c>
      <c r="B128" s="1" t="s">
        <v>676</v>
      </c>
      <c r="C128" s="1" t="s">
        <v>677</v>
      </c>
      <c r="D128" s="1" t="s">
        <v>678</v>
      </c>
      <c r="E128" t="s">
        <v>62</v>
      </c>
      <c r="F128" t="s">
        <v>679</v>
      </c>
      <c r="G128" t="s">
        <v>75</v>
      </c>
      <c r="H128" t="s">
        <v>94</v>
      </c>
      <c r="I128" s="1" t="s">
        <v>28</v>
      </c>
      <c r="J128" t="s">
        <v>42</v>
      </c>
      <c r="K128" t="s">
        <v>43</v>
      </c>
      <c r="L128" s="1">
        <v>252961</v>
      </c>
      <c r="M128" s="1" t="s">
        <v>44</v>
      </c>
      <c r="N128" t="s">
        <v>680</v>
      </c>
      <c r="O128" t="s">
        <v>32</v>
      </c>
      <c r="P128" t="s">
        <v>33</v>
      </c>
      <c r="Q128" t="s">
        <v>34</v>
      </c>
      <c r="R128">
        <v>89284.75</v>
      </c>
      <c r="S128" s="25" t="e">
        <f>IF(Table1[[#This Row],[Sales]]=MIN(Table1[Sales]), Table1[[#This Row],[Sales]], NA())</f>
        <v>#N/A</v>
      </c>
      <c r="T128" s="25">
        <f>IF(AND(Table1[[#This Row],[Sales]]&lt;&gt;MIN(Table1[Sales]),Table1[[#This Row],[Sales]]&lt;&gt;MAX(Table1[Sales])), Table1[[#This Row],[Sales]], NA())</f>
        <v>89284.75</v>
      </c>
      <c r="U128" s="25" t="e">
        <f>IF(Table1[[#This Row],[Sales]]=MAX(Table1[Sales]), Table1[[#This Row],[Sales]], NA())</f>
        <v>#N/A</v>
      </c>
      <c r="V128">
        <v>8</v>
      </c>
      <c r="W128">
        <v>0.3</v>
      </c>
      <c r="X128">
        <v>446.42</v>
      </c>
      <c r="Y128" s="3">
        <f>YEAR(Table1[[#This Row],[Order Date]])</f>
        <v>2022</v>
      </c>
      <c r="Z128" s="3" t="str">
        <f>TEXT(Table1[[#This Row],[Order Date]],"MMM")</f>
        <v>Feb</v>
      </c>
      <c r="AA128" s="3">
        <f>DAY(Table1[[#This Row],[Order Date]])</f>
        <v>25</v>
      </c>
    </row>
    <row r="129" spans="1:27" x14ac:dyDescent="0.35">
      <c r="A129" s="1">
        <v>128</v>
      </c>
      <c r="B129" s="1" t="s">
        <v>681</v>
      </c>
      <c r="C129" s="1" t="s">
        <v>682</v>
      </c>
      <c r="D129" s="1" t="s">
        <v>683</v>
      </c>
      <c r="E129" t="s">
        <v>115</v>
      </c>
      <c r="F129" t="s">
        <v>684</v>
      </c>
      <c r="G129" t="s">
        <v>26</v>
      </c>
      <c r="H129" t="s">
        <v>94</v>
      </c>
      <c r="I129" s="1" t="s">
        <v>28</v>
      </c>
      <c r="J129" t="s">
        <v>64</v>
      </c>
      <c r="K129" t="s">
        <v>65</v>
      </c>
      <c r="L129" s="1">
        <v>497075</v>
      </c>
      <c r="M129" s="1" t="s">
        <v>66</v>
      </c>
      <c r="N129" t="s">
        <v>685</v>
      </c>
      <c r="O129" t="s">
        <v>32</v>
      </c>
      <c r="P129" t="s">
        <v>33</v>
      </c>
      <c r="Q129" t="s">
        <v>34</v>
      </c>
      <c r="R129">
        <v>86641</v>
      </c>
      <c r="S129" s="25" t="e">
        <f>IF(Table1[[#This Row],[Sales]]=MIN(Table1[Sales]), Table1[[#This Row],[Sales]], NA())</f>
        <v>#N/A</v>
      </c>
      <c r="T129" s="25">
        <f>IF(AND(Table1[[#This Row],[Sales]]&lt;&gt;MIN(Table1[Sales]),Table1[[#This Row],[Sales]]&lt;&gt;MAX(Table1[Sales])), Table1[[#This Row],[Sales]], NA())</f>
        <v>86641</v>
      </c>
      <c r="U129" s="25" t="e">
        <f>IF(Table1[[#This Row],[Sales]]=MAX(Table1[Sales]), Table1[[#This Row],[Sales]], NA())</f>
        <v>#N/A</v>
      </c>
      <c r="V129">
        <v>2</v>
      </c>
      <c r="W129">
        <v>0.1</v>
      </c>
      <c r="X129">
        <v>4765.26</v>
      </c>
      <c r="Y129" s="3">
        <f>YEAR(Table1[[#This Row],[Order Date]])</f>
        <v>2023</v>
      </c>
      <c r="Z129" s="3" t="str">
        <f>TEXT(Table1[[#This Row],[Order Date]],"MMM")</f>
        <v>Nov</v>
      </c>
      <c r="AA129" s="3">
        <f>DAY(Table1[[#This Row],[Order Date]])</f>
        <v>13</v>
      </c>
    </row>
    <row r="130" spans="1:27" x14ac:dyDescent="0.35">
      <c r="A130" s="1">
        <v>129</v>
      </c>
      <c r="B130" s="1" t="s">
        <v>686</v>
      </c>
      <c r="C130" s="1" t="s">
        <v>687</v>
      </c>
      <c r="D130" s="1" t="s">
        <v>688</v>
      </c>
      <c r="E130" t="s">
        <v>62</v>
      </c>
      <c r="F130" t="s">
        <v>689</v>
      </c>
      <c r="G130" t="s">
        <v>188</v>
      </c>
      <c r="H130" t="s">
        <v>94</v>
      </c>
      <c r="I130" s="1" t="s">
        <v>28</v>
      </c>
      <c r="J130" t="s">
        <v>29</v>
      </c>
      <c r="K130" t="s">
        <v>29</v>
      </c>
      <c r="L130" s="1">
        <v>548257</v>
      </c>
      <c r="M130" s="1" t="s">
        <v>30</v>
      </c>
      <c r="N130" t="s">
        <v>690</v>
      </c>
      <c r="O130" t="s">
        <v>46</v>
      </c>
      <c r="P130" t="s">
        <v>47</v>
      </c>
      <c r="Q130" t="s">
        <v>48</v>
      </c>
      <c r="R130">
        <v>56114.59</v>
      </c>
      <c r="S130" s="25" t="e">
        <f>IF(Table1[[#This Row],[Sales]]=MIN(Table1[Sales]), Table1[[#This Row],[Sales]], NA())</f>
        <v>#N/A</v>
      </c>
      <c r="T130" s="25">
        <f>IF(AND(Table1[[#This Row],[Sales]]&lt;&gt;MIN(Table1[Sales]),Table1[[#This Row],[Sales]]&lt;&gt;MAX(Table1[Sales])), Table1[[#This Row],[Sales]], NA())</f>
        <v>56114.59</v>
      </c>
      <c r="U130" s="25" t="e">
        <f>IF(Table1[[#This Row],[Sales]]=MAX(Table1[Sales]), Table1[[#This Row],[Sales]], NA())</f>
        <v>#N/A</v>
      </c>
      <c r="V130">
        <v>1</v>
      </c>
      <c r="W130">
        <v>0</v>
      </c>
      <c r="X130">
        <v>4489.17</v>
      </c>
      <c r="Y130" s="3">
        <f>YEAR(Table1[[#This Row],[Order Date]])</f>
        <v>2023</v>
      </c>
      <c r="Z130" s="3" t="str">
        <f>TEXT(Table1[[#This Row],[Order Date]],"MMM")</f>
        <v>Sep</v>
      </c>
      <c r="AA130" s="3">
        <f>DAY(Table1[[#This Row],[Order Date]])</f>
        <v>12</v>
      </c>
    </row>
    <row r="131" spans="1:27" x14ac:dyDescent="0.35">
      <c r="A131" s="1">
        <v>130</v>
      </c>
      <c r="B131" s="1" t="s">
        <v>691</v>
      </c>
      <c r="C131" s="1" t="s">
        <v>692</v>
      </c>
      <c r="D131" s="1" t="s">
        <v>693</v>
      </c>
      <c r="E131" t="s">
        <v>62</v>
      </c>
      <c r="F131" t="s">
        <v>694</v>
      </c>
      <c r="G131" t="s">
        <v>140</v>
      </c>
      <c r="H131" t="s">
        <v>94</v>
      </c>
      <c r="I131" s="1" t="s">
        <v>28</v>
      </c>
      <c r="J131" t="s">
        <v>64</v>
      </c>
      <c r="K131" t="s">
        <v>65</v>
      </c>
      <c r="L131" s="1">
        <v>209617</v>
      </c>
      <c r="M131" s="1" t="s">
        <v>66</v>
      </c>
      <c r="N131" t="s">
        <v>695</v>
      </c>
      <c r="O131" t="s">
        <v>46</v>
      </c>
      <c r="P131" t="s">
        <v>57</v>
      </c>
      <c r="Q131" t="s">
        <v>58</v>
      </c>
      <c r="R131">
        <v>16985.509999999998</v>
      </c>
      <c r="S131" s="25" t="e">
        <f>IF(Table1[[#This Row],[Sales]]=MIN(Table1[Sales]), Table1[[#This Row],[Sales]], NA())</f>
        <v>#N/A</v>
      </c>
      <c r="T131" s="25">
        <f>IF(AND(Table1[[#This Row],[Sales]]&lt;&gt;MIN(Table1[Sales]),Table1[[#This Row],[Sales]]&lt;&gt;MAX(Table1[Sales])), Table1[[#This Row],[Sales]], NA())</f>
        <v>16985.509999999998</v>
      </c>
      <c r="U131" s="25" t="e">
        <f>IF(Table1[[#This Row],[Sales]]=MAX(Table1[Sales]), Table1[[#This Row],[Sales]], NA())</f>
        <v>#N/A</v>
      </c>
      <c r="V131">
        <v>5</v>
      </c>
      <c r="W131">
        <v>0.2</v>
      </c>
      <c r="X131">
        <v>509.57</v>
      </c>
      <c r="Y131" s="3">
        <f>YEAR(Table1[[#This Row],[Order Date]])</f>
        <v>2025</v>
      </c>
      <c r="Z131" s="3" t="str">
        <f>TEXT(Table1[[#This Row],[Order Date]],"MMM")</f>
        <v>Jan</v>
      </c>
      <c r="AA131" s="3">
        <f>DAY(Table1[[#This Row],[Order Date]])</f>
        <v>27</v>
      </c>
    </row>
    <row r="132" spans="1:27" x14ac:dyDescent="0.35">
      <c r="A132" s="1">
        <v>131</v>
      </c>
      <c r="B132" s="1" t="s">
        <v>696</v>
      </c>
      <c r="C132" s="1" t="s">
        <v>697</v>
      </c>
      <c r="D132" s="1" t="s">
        <v>698</v>
      </c>
      <c r="E132" t="s">
        <v>24</v>
      </c>
      <c r="F132" t="s">
        <v>699</v>
      </c>
      <c r="G132" t="s">
        <v>75</v>
      </c>
      <c r="H132" t="s">
        <v>94</v>
      </c>
      <c r="I132" s="1" t="s">
        <v>28</v>
      </c>
      <c r="J132" t="s">
        <v>128</v>
      </c>
      <c r="K132" t="s">
        <v>129</v>
      </c>
      <c r="L132" s="1">
        <v>327074</v>
      </c>
      <c r="M132" s="1" t="s">
        <v>66</v>
      </c>
      <c r="N132" t="s">
        <v>700</v>
      </c>
      <c r="O132" t="s">
        <v>68</v>
      </c>
      <c r="P132" t="s">
        <v>69</v>
      </c>
      <c r="Q132" t="s">
        <v>70</v>
      </c>
      <c r="R132">
        <v>21301.21</v>
      </c>
      <c r="S132" s="25" t="e">
        <f>IF(Table1[[#This Row],[Sales]]=MIN(Table1[Sales]), Table1[[#This Row],[Sales]], NA())</f>
        <v>#N/A</v>
      </c>
      <c r="T132" s="25">
        <f>IF(AND(Table1[[#This Row],[Sales]]&lt;&gt;MIN(Table1[Sales]),Table1[[#This Row],[Sales]]&lt;&gt;MAX(Table1[Sales])), Table1[[#This Row],[Sales]], NA())</f>
        <v>21301.21</v>
      </c>
      <c r="U132" s="25" t="e">
        <f>IF(Table1[[#This Row],[Sales]]=MAX(Table1[Sales]), Table1[[#This Row],[Sales]], NA())</f>
        <v>#N/A</v>
      </c>
      <c r="V132">
        <v>10</v>
      </c>
      <c r="W132">
        <v>0.3</v>
      </c>
      <c r="X132">
        <v>106.51</v>
      </c>
      <c r="Y132" s="3">
        <f>YEAR(Table1[[#This Row],[Order Date]])</f>
        <v>2023</v>
      </c>
      <c r="Z132" s="3" t="str">
        <f>TEXT(Table1[[#This Row],[Order Date]],"MMM")</f>
        <v>Apr</v>
      </c>
      <c r="AA132" s="3">
        <f>DAY(Table1[[#This Row],[Order Date]])</f>
        <v>28</v>
      </c>
    </row>
    <row r="133" spans="1:27" x14ac:dyDescent="0.35">
      <c r="A133" s="1">
        <v>132</v>
      </c>
      <c r="B133" s="1" t="s">
        <v>701</v>
      </c>
      <c r="C133" s="1" t="s">
        <v>702</v>
      </c>
      <c r="D133" s="1" t="s">
        <v>703</v>
      </c>
      <c r="E133" t="s">
        <v>115</v>
      </c>
      <c r="F133" t="s">
        <v>704</v>
      </c>
      <c r="G133" t="s">
        <v>40</v>
      </c>
      <c r="H133" t="s">
        <v>41</v>
      </c>
      <c r="I133" s="1" t="s">
        <v>28</v>
      </c>
      <c r="J133" t="s">
        <v>42</v>
      </c>
      <c r="K133" t="s">
        <v>43</v>
      </c>
      <c r="L133" s="1">
        <v>453232</v>
      </c>
      <c r="M133" s="1" t="s">
        <v>44</v>
      </c>
      <c r="N133" t="s">
        <v>705</v>
      </c>
      <c r="O133" t="s">
        <v>32</v>
      </c>
      <c r="P133" t="s">
        <v>33</v>
      </c>
      <c r="Q133" t="s">
        <v>34</v>
      </c>
      <c r="R133">
        <v>3581.62</v>
      </c>
      <c r="S133" s="25" t="e">
        <f>IF(Table1[[#This Row],[Sales]]=MIN(Table1[Sales]), Table1[[#This Row],[Sales]], NA())</f>
        <v>#N/A</v>
      </c>
      <c r="T133" s="25">
        <f>IF(AND(Table1[[#This Row],[Sales]]&lt;&gt;MIN(Table1[Sales]),Table1[[#This Row],[Sales]]&lt;&gt;MAX(Table1[Sales])), Table1[[#This Row],[Sales]], NA())</f>
        <v>3581.62</v>
      </c>
      <c r="U133" s="25" t="e">
        <f>IF(Table1[[#This Row],[Sales]]=MAX(Table1[Sales]), Table1[[#This Row],[Sales]], NA())</f>
        <v>#N/A</v>
      </c>
      <c r="V133">
        <v>1</v>
      </c>
      <c r="W133">
        <v>0</v>
      </c>
      <c r="X133">
        <v>286.52999999999997</v>
      </c>
      <c r="Y133" s="3">
        <f>YEAR(Table1[[#This Row],[Order Date]])</f>
        <v>2025</v>
      </c>
      <c r="Z133" s="3" t="str">
        <f>TEXT(Table1[[#This Row],[Order Date]],"MMM")</f>
        <v>Jul</v>
      </c>
      <c r="AA133" s="3">
        <f>DAY(Table1[[#This Row],[Order Date]])</f>
        <v>4</v>
      </c>
    </row>
    <row r="134" spans="1:27" x14ac:dyDescent="0.35">
      <c r="A134" s="1">
        <v>133</v>
      </c>
      <c r="B134" s="1" t="s">
        <v>706</v>
      </c>
      <c r="C134" s="1" t="s">
        <v>707</v>
      </c>
      <c r="D134" s="1" t="s">
        <v>708</v>
      </c>
      <c r="E134" t="s">
        <v>115</v>
      </c>
      <c r="F134" t="s">
        <v>709</v>
      </c>
      <c r="G134" t="s">
        <v>26</v>
      </c>
      <c r="H134" t="s">
        <v>94</v>
      </c>
      <c r="I134" s="1" t="s">
        <v>28</v>
      </c>
      <c r="J134" t="s">
        <v>29</v>
      </c>
      <c r="K134" t="s">
        <v>29</v>
      </c>
      <c r="L134" s="1">
        <v>643825</v>
      </c>
      <c r="M134" s="1" t="s">
        <v>30</v>
      </c>
      <c r="N134" t="s">
        <v>710</v>
      </c>
      <c r="O134" t="s">
        <v>68</v>
      </c>
      <c r="P134" t="s">
        <v>69</v>
      </c>
      <c r="Q134" t="s">
        <v>70</v>
      </c>
      <c r="R134">
        <v>16112.22</v>
      </c>
      <c r="S134" s="25" t="e">
        <f>IF(Table1[[#This Row],[Sales]]=MIN(Table1[Sales]), Table1[[#This Row],[Sales]], NA())</f>
        <v>#N/A</v>
      </c>
      <c r="T134" s="25">
        <f>IF(AND(Table1[[#This Row],[Sales]]&lt;&gt;MIN(Table1[Sales]),Table1[[#This Row],[Sales]]&lt;&gt;MAX(Table1[Sales])), Table1[[#This Row],[Sales]], NA())</f>
        <v>16112.22</v>
      </c>
      <c r="U134" s="25" t="e">
        <f>IF(Table1[[#This Row],[Sales]]=MAX(Table1[Sales]), Table1[[#This Row],[Sales]], NA())</f>
        <v>#N/A</v>
      </c>
      <c r="V134">
        <v>4</v>
      </c>
      <c r="W134">
        <v>0.3</v>
      </c>
      <c r="X134">
        <v>80.56</v>
      </c>
      <c r="Y134" s="3">
        <f>YEAR(Table1[[#This Row],[Order Date]])</f>
        <v>2025</v>
      </c>
      <c r="Z134" s="3" t="str">
        <f>TEXT(Table1[[#This Row],[Order Date]],"MMM")</f>
        <v>Aug</v>
      </c>
      <c r="AA134" s="3">
        <f>DAY(Table1[[#This Row],[Order Date]])</f>
        <v>21</v>
      </c>
    </row>
    <row r="135" spans="1:27" x14ac:dyDescent="0.35">
      <c r="A135" s="1">
        <v>134</v>
      </c>
      <c r="B135" s="1" t="s">
        <v>711</v>
      </c>
      <c r="C135" s="1" t="s">
        <v>712</v>
      </c>
      <c r="D135" s="1" t="s">
        <v>713</v>
      </c>
      <c r="E135" t="s">
        <v>24</v>
      </c>
      <c r="F135" t="s">
        <v>714</v>
      </c>
      <c r="G135" t="s">
        <v>87</v>
      </c>
      <c r="H135" t="s">
        <v>41</v>
      </c>
      <c r="I135" s="1" t="s">
        <v>28</v>
      </c>
      <c r="J135" t="s">
        <v>128</v>
      </c>
      <c r="K135" t="s">
        <v>129</v>
      </c>
      <c r="L135" s="1">
        <v>697226</v>
      </c>
      <c r="M135" s="1" t="s">
        <v>66</v>
      </c>
      <c r="N135" t="s">
        <v>715</v>
      </c>
      <c r="O135" t="s">
        <v>46</v>
      </c>
      <c r="P135" t="s">
        <v>47</v>
      </c>
      <c r="Q135" t="s">
        <v>48</v>
      </c>
      <c r="R135">
        <v>4029.64</v>
      </c>
      <c r="S135" s="25" t="e">
        <f>IF(Table1[[#This Row],[Sales]]=MIN(Table1[Sales]), Table1[[#This Row],[Sales]], NA())</f>
        <v>#N/A</v>
      </c>
      <c r="T135" s="25">
        <f>IF(AND(Table1[[#This Row],[Sales]]&lt;&gt;MIN(Table1[Sales]),Table1[[#This Row],[Sales]]&lt;&gt;MAX(Table1[Sales])), Table1[[#This Row],[Sales]], NA())</f>
        <v>4029.64</v>
      </c>
      <c r="U135" s="25" t="e">
        <f>IF(Table1[[#This Row],[Sales]]=MAX(Table1[Sales]), Table1[[#This Row],[Sales]], NA())</f>
        <v>#N/A</v>
      </c>
      <c r="V135">
        <v>5</v>
      </c>
      <c r="W135">
        <v>0</v>
      </c>
      <c r="X135">
        <v>322.37</v>
      </c>
      <c r="Y135" s="3">
        <f>YEAR(Table1[[#This Row],[Order Date]])</f>
        <v>2025</v>
      </c>
      <c r="Z135" s="3" t="str">
        <f>TEXT(Table1[[#This Row],[Order Date]],"MMM")</f>
        <v>Nov</v>
      </c>
      <c r="AA135" s="3">
        <f>DAY(Table1[[#This Row],[Order Date]])</f>
        <v>27</v>
      </c>
    </row>
    <row r="136" spans="1:27" x14ac:dyDescent="0.35">
      <c r="A136" s="1">
        <v>135</v>
      </c>
      <c r="B136" s="1" t="s">
        <v>716</v>
      </c>
      <c r="C136" s="1" t="s">
        <v>717</v>
      </c>
      <c r="D136" s="1" t="s">
        <v>277</v>
      </c>
      <c r="E136" t="s">
        <v>115</v>
      </c>
      <c r="F136" t="s">
        <v>718</v>
      </c>
      <c r="G136" t="s">
        <v>87</v>
      </c>
      <c r="H136" t="s">
        <v>41</v>
      </c>
      <c r="I136" s="1" t="s">
        <v>28</v>
      </c>
      <c r="J136" t="s">
        <v>64</v>
      </c>
      <c r="K136" t="s">
        <v>65</v>
      </c>
      <c r="L136" s="1">
        <v>464348</v>
      </c>
      <c r="M136" s="1" t="s">
        <v>66</v>
      </c>
      <c r="N136" t="s">
        <v>719</v>
      </c>
      <c r="O136" t="s">
        <v>46</v>
      </c>
      <c r="P136" t="s">
        <v>57</v>
      </c>
      <c r="Q136" t="s">
        <v>58</v>
      </c>
      <c r="R136">
        <v>33169.56</v>
      </c>
      <c r="S136" s="25" t="e">
        <f>IF(Table1[[#This Row],[Sales]]=MIN(Table1[Sales]), Table1[[#This Row],[Sales]], NA())</f>
        <v>#N/A</v>
      </c>
      <c r="T136" s="25">
        <f>IF(AND(Table1[[#This Row],[Sales]]&lt;&gt;MIN(Table1[Sales]),Table1[[#This Row],[Sales]]&lt;&gt;MAX(Table1[Sales])), Table1[[#This Row],[Sales]], NA())</f>
        <v>33169.56</v>
      </c>
      <c r="U136" s="25" t="e">
        <f>IF(Table1[[#This Row],[Sales]]=MAX(Table1[Sales]), Table1[[#This Row],[Sales]], NA())</f>
        <v>#N/A</v>
      </c>
      <c r="V136">
        <v>6</v>
      </c>
      <c r="W136">
        <v>0</v>
      </c>
      <c r="X136">
        <v>2653.56</v>
      </c>
      <c r="Y136" s="3">
        <f>YEAR(Table1[[#This Row],[Order Date]])</f>
        <v>2023</v>
      </c>
      <c r="Z136" s="3" t="str">
        <f>TEXT(Table1[[#This Row],[Order Date]],"MMM")</f>
        <v>Nov</v>
      </c>
      <c r="AA136" s="3">
        <f>DAY(Table1[[#This Row],[Order Date]])</f>
        <v>28</v>
      </c>
    </row>
    <row r="137" spans="1:27" x14ac:dyDescent="0.35">
      <c r="A137" s="1">
        <v>136</v>
      </c>
      <c r="B137" s="1" t="s">
        <v>720</v>
      </c>
      <c r="C137" s="1" t="s">
        <v>721</v>
      </c>
      <c r="D137" s="1" t="s">
        <v>722</v>
      </c>
      <c r="E137" t="s">
        <v>38</v>
      </c>
      <c r="F137" t="s">
        <v>723</v>
      </c>
      <c r="G137" t="s">
        <v>40</v>
      </c>
      <c r="H137" t="s">
        <v>27</v>
      </c>
      <c r="I137" s="1" t="s">
        <v>28</v>
      </c>
      <c r="J137" t="s">
        <v>29</v>
      </c>
      <c r="K137" t="s">
        <v>29</v>
      </c>
      <c r="L137" s="1">
        <v>496598</v>
      </c>
      <c r="M137" s="1" t="s">
        <v>30</v>
      </c>
      <c r="N137" t="s">
        <v>724</v>
      </c>
      <c r="O137" t="s">
        <v>46</v>
      </c>
      <c r="P137" t="s">
        <v>57</v>
      </c>
      <c r="Q137" t="s">
        <v>58</v>
      </c>
      <c r="R137">
        <v>33008.720000000001</v>
      </c>
      <c r="S137" s="25" t="e">
        <f>IF(Table1[[#This Row],[Sales]]=MIN(Table1[Sales]), Table1[[#This Row],[Sales]], NA())</f>
        <v>#N/A</v>
      </c>
      <c r="T137" s="25">
        <f>IF(AND(Table1[[#This Row],[Sales]]&lt;&gt;MIN(Table1[Sales]),Table1[[#This Row],[Sales]]&lt;&gt;MAX(Table1[Sales])), Table1[[#This Row],[Sales]], NA())</f>
        <v>33008.720000000001</v>
      </c>
      <c r="U137" s="25" t="e">
        <f>IF(Table1[[#This Row],[Sales]]=MAX(Table1[Sales]), Table1[[#This Row],[Sales]], NA())</f>
        <v>#N/A</v>
      </c>
      <c r="V137">
        <v>9</v>
      </c>
      <c r="W137">
        <v>0.3</v>
      </c>
      <c r="X137">
        <v>165.04</v>
      </c>
      <c r="Y137" s="3">
        <f>YEAR(Table1[[#This Row],[Order Date]])</f>
        <v>2022</v>
      </c>
      <c r="Z137" s="3" t="str">
        <f>TEXT(Table1[[#This Row],[Order Date]],"MMM")</f>
        <v>Aug</v>
      </c>
      <c r="AA137" s="3">
        <f>DAY(Table1[[#This Row],[Order Date]])</f>
        <v>4</v>
      </c>
    </row>
    <row r="138" spans="1:27" x14ac:dyDescent="0.35">
      <c r="A138" s="1">
        <v>137</v>
      </c>
      <c r="B138" s="1" t="s">
        <v>725</v>
      </c>
      <c r="C138" s="1" t="s">
        <v>726</v>
      </c>
      <c r="D138" s="1" t="s">
        <v>727</v>
      </c>
      <c r="E138" t="s">
        <v>38</v>
      </c>
      <c r="F138" t="s">
        <v>728</v>
      </c>
      <c r="G138" t="s">
        <v>40</v>
      </c>
      <c r="H138" t="s">
        <v>41</v>
      </c>
      <c r="I138" s="1" t="s">
        <v>28</v>
      </c>
      <c r="J138" t="s">
        <v>29</v>
      </c>
      <c r="K138" t="s">
        <v>29</v>
      </c>
      <c r="L138" s="1">
        <v>324166</v>
      </c>
      <c r="M138" s="1" t="s">
        <v>30</v>
      </c>
      <c r="N138" t="s">
        <v>729</v>
      </c>
      <c r="O138" t="s">
        <v>46</v>
      </c>
      <c r="P138" t="s">
        <v>47</v>
      </c>
      <c r="Q138" t="s">
        <v>48</v>
      </c>
      <c r="R138">
        <v>6962.19</v>
      </c>
      <c r="S138" s="25" t="e">
        <f>IF(Table1[[#This Row],[Sales]]=MIN(Table1[Sales]), Table1[[#This Row],[Sales]], NA())</f>
        <v>#N/A</v>
      </c>
      <c r="T138" s="25">
        <f>IF(AND(Table1[[#This Row],[Sales]]&lt;&gt;MIN(Table1[Sales]),Table1[[#This Row],[Sales]]&lt;&gt;MAX(Table1[Sales])), Table1[[#This Row],[Sales]], NA())</f>
        <v>6962.19</v>
      </c>
      <c r="U138" s="25" t="e">
        <f>IF(Table1[[#This Row],[Sales]]=MAX(Table1[Sales]), Table1[[#This Row],[Sales]], NA())</f>
        <v>#N/A</v>
      </c>
      <c r="V138">
        <v>10</v>
      </c>
      <c r="W138">
        <v>0.3</v>
      </c>
      <c r="X138">
        <v>34.81</v>
      </c>
      <c r="Y138" s="3">
        <f>YEAR(Table1[[#This Row],[Order Date]])</f>
        <v>2022</v>
      </c>
      <c r="Z138" s="3" t="str">
        <f>TEXT(Table1[[#This Row],[Order Date]],"MMM")</f>
        <v>Apr</v>
      </c>
      <c r="AA138" s="3">
        <f>DAY(Table1[[#This Row],[Order Date]])</f>
        <v>16</v>
      </c>
    </row>
    <row r="139" spans="1:27" x14ac:dyDescent="0.35">
      <c r="A139" s="1">
        <v>138</v>
      </c>
      <c r="B139" s="1" t="s">
        <v>730</v>
      </c>
      <c r="C139" s="1" t="s">
        <v>731</v>
      </c>
      <c r="D139" s="1" t="s">
        <v>732</v>
      </c>
      <c r="E139" t="s">
        <v>38</v>
      </c>
      <c r="F139" t="s">
        <v>733</v>
      </c>
      <c r="G139" t="s">
        <v>26</v>
      </c>
      <c r="H139" t="s">
        <v>27</v>
      </c>
      <c r="I139" s="1" t="s">
        <v>28</v>
      </c>
      <c r="J139" t="s">
        <v>64</v>
      </c>
      <c r="K139" t="s">
        <v>65</v>
      </c>
      <c r="L139" s="1">
        <v>174643</v>
      </c>
      <c r="M139" s="1" t="s">
        <v>66</v>
      </c>
      <c r="N139" t="s">
        <v>734</v>
      </c>
      <c r="O139" t="s">
        <v>46</v>
      </c>
      <c r="P139" t="s">
        <v>47</v>
      </c>
      <c r="Q139" t="s">
        <v>48</v>
      </c>
      <c r="R139">
        <v>50545.17</v>
      </c>
      <c r="S139" s="25" t="e">
        <f>IF(Table1[[#This Row],[Sales]]=MIN(Table1[Sales]), Table1[[#This Row],[Sales]], NA())</f>
        <v>#N/A</v>
      </c>
      <c r="T139" s="25">
        <f>IF(AND(Table1[[#This Row],[Sales]]&lt;&gt;MIN(Table1[Sales]),Table1[[#This Row],[Sales]]&lt;&gt;MAX(Table1[Sales])), Table1[[#This Row],[Sales]], NA())</f>
        <v>50545.17</v>
      </c>
      <c r="U139" s="25" t="e">
        <f>IF(Table1[[#This Row],[Sales]]=MAX(Table1[Sales]), Table1[[#This Row],[Sales]], NA())</f>
        <v>#N/A</v>
      </c>
      <c r="V139">
        <v>6</v>
      </c>
      <c r="W139">
        <v>0.3</v>
      </c>
      <c r="X139">
        <v>252.73</v>
      </c>
      <c r="Y139" s="3">
        <f>YEAR(Table1[[#This Row],[Order Date]])</f>
        <v>2025</v>
      </c>
      <c r="Z139" s="3" t="str">
        <f>TEXT(Table1[[#This Row],[Order Date]],"MMM")</f>
        <v>Mar</v>
      </c>
      <c r="AA139" s="3">
        <f>DAY(Table1[[#This Row],[Order Date]])</f>
        <v>16</v>
      </c>
    </row>
    <row r="140" spans="1:27" x14ac:dyDescent="0.35">
      <c r="A140" s="1">
        <v>139</v>
      </c>
      <c r="B140" s="1" t="s">
        <v>735</v>
      </c>
      <c r="C140" s="1" t="s">
        <v>736</v>
      </c>
      <c r="D140" s="1" t="s">
        <v>737</v>
      </c>
      <c r="E140" t="s">
        <v>62</v>
      </c>
      <c r="F140" t="s">
        <v>738</v>
      </c>
      <c r="G140" t="s">
        <v>140</v>
      </c>
      <c r="H140" t="s">
        <v>41</v>
      </c>
      <c r="I140" s="1" t="s">
        <v>28</v>
      </c>
      <c r="J140" t="s">
        <v>64</v>
      </c>
      <c r="K140" t="s">
        <v>65</v>
      </c>
      <c r="L140" s="1">
        <v>787927</v>
      </c>
      <c r="M140" s="1" t="s">
        <v>66</v>
      </c>
      <c r="N140" t="s">
        <v>739</v>
      </c>
      <c r="O140" t="s">
        <v>46</v>
      </c>
      <c r="P140" t="s">
        <v>57</v>
      </c>
      <c r="Q140" t="s">
        <v>58</v>
      </c>
      <c r="R140">
        <v>5276.46</v>
      </c>
      <c r="S140" s="25" t="e">
        <f>IF(Table1[[#This Row],[Sales]]=MIN(Table1[Sales]), Table1[[#This Row],[Sales]], NA())</f>
        <v>#N/A</v>
      </c>
      <c r="T140" s="25">
        <f>IF(AND(Table1[[#This Row],[Sales]]&lt;&gt;MIN(Table1[Sales]),Table1[[#This Row],[Sales]]&lt;&gt;MAX(Table1[Sales])), Table1[[#This Row],[Sales]], NA())</f>
        <v>5276.46</v>
      </c>
      <c r="U140" s="25" t="e">
        <f>IF(Table1[[#This Row],[Sales]]=MAX(Table1[Sales]), Table1[[#This Row],[Sales]], NA())</f>
        <v>#N/A</v>
      </c>
      <c r="V140">
        <v>10</v>
      </c>
      <c r="W140">
        <v>0.3</v>
      </c>
      <c r="X140">
        <v>26.38</v>
      </c>
      <c r="Y140" s="3">
        <f>YEAR(Table1[[#This Row],[Order Date]])</f>
        <v>2022</v>
      </c>
      <c r="Z140" s="3" t="str">
        <f>TEXT(Table1[[#This Row],[Order Date]],"MMM")</f>
        <v>Jul</v>
      </c>
      <c r="AA140" s="3">
        <f>DAY(Table1[[#This Row],[Order Date]])</f>
        <v>30</v>
      </c>
    </row>
    <row r="141" spans="1:27" x14ac:dyDescent="0.35">
      <c r="A141" s="1">
        <v>140</v>
      </c>
      <c r="B141" s="1" t="s">
        <v>740</v>
      </c>
      <c r="C141" s="1" t="s">
        <v>741</v>
      </c>
      <c r="D141" s="1" t="s">
        <v>742</v>
      </c>
      <c r="E141" t="s">
        <v>24</v>
      </c>
      <c r="F141" t="s">
        <v>743</v>
      </c>
      <c r="G141" t="s">
        <v>75</v>
      </c>
      <c r="H141" t="s">
        <v>27</v>
      </c>
      <c r="I141" s="1" t="s">
        <v>28</v>
      </c>
      <c r="J141" t="s">
        <v>42</v>
      </c>
      <c r="K141" t="s">
        <v>43</v>
      </c>
      <c r="L141" s="1">
        <v>569646</v>
      </c>
      <c r="M141" s="1" t="s">
        <v>44</v>
      </c>
      <c r="N141" t="s">
        <v>744</v>
      </c>
      <c r="O141" t="s">
        <v>32</v>
      </c>
      <c r="P141" t="s">
        <v>33</v>
      </c>
      <c r="Q141" t="s">
        <v>34</v>
      </c>
      <c r="R141">
        <v>39763.51</v>
      </c>
      <c r="S141" s="25" t="e">
        <f>IF(Table1[[#This Row],[Sales]]=MIN(Table1[Sales]), Table1[[#This Row],[Sales]], NA())</f>
        <v>#N/A</v>
      </c>
      <c r="T141" s="25">
        <f>IF(AND(Table1[[#This Row],[Sales]]&lt;&gt;MIN(Table1[Sales]),Table1[[#This Row],[Sales]]&lt;&gt;MAX(Table1[Sales])), Table1[[#This Row],[Sales]], NA())</f>
        <v>39763.51</v>
      </c>
      <c r="U141" s="25" t="e">
        <f>IF(Table1[[#This Row],[Sales]]=MAX(Table1[Sales]), Table1[[#This Row],[Sales]], NA())</f>
        <v>#N/A</v>
      </c>
      <c r="V141">
        <v>7</v>
      </c>
      <c r="W141">
        <v>0.2</v>
      </c>
      <c r="X141">
        <v>1192.9100000000001</v>
      </c>
      <c r="Y141" s="3">
        <f>YEAR(Table1[[#This Row],[Order Date]])</f>
        <v>2024</v>
      </c>
      <c r="Z141" s="3" t="str">
        <f>TEXT(Table1[[#This Row],[Order Date]],"MMM")</f>
        <v>Dec</v>
      </c>
      <c r="AA141" s="3">
        <f>DAY(Table1[[#This Row],[Order Date]])</f>
        <v>28</v>
      </c>
    </row>
    <row r="142" spans="1:27" x14ac:dyDescent="0.35">
      <c r="A142" s="1">
        <v>141</v>
      </c>
      <c r="B142" s="1" t="s">
        <v>745</v>
      </c>
      <c r="C142" s="1" t="s">
        <v>746</v>
      </c>
      <c r="D142" s="1" t="s">
        <v>747</v>
      </c>
      <c r="E142" t="s">
        <v>24</v>
      </c>
      <c r="F142" t="s">
        <v>748</v>
      </c>
      <c r="G142" t="s">
        <v>140</v>
      </c>
      <c r="H142" t="s">
        <v>41</v>
      </c>
      <c r="I142" s="1" t="s">
        <v>28</v>
      </c>
      <c r="J142" t="s">
        <v>64</v>
      </c>
      <c r="K142" t="s">
        <v>65</v>
      </c>
      <c r="L142" s="1">
        <v>870488</v>
      </c>
      <c r="M142" s="1" t="s">
        <v>66</v>
      </c>
      <c r="N142" t="s">
        <v>749</v>
      </c>
      <c r="O142" t="s">
        <v>46</v>
      </c>
      <c r="P142" t="s">
        <v>57</v>
      </c>
      <c r="Q142" t="s">
        <v>58</v>
      </c>
      <c r="R142">
        <v>41257.68</v>
      </c>
      <c r="S142" s="25" t="e">
        <f>IF(Table1[[#This Row],[Sales]]=MIN(Table1[Sales]), Table1[[#This Row],[Sales]], NA())</f>
        <v>#N/A</v>
      </c>
      <c r="T142" s="25">
        <f>IF(AND(Table1[[#This Row],[Sales]]&lt;&gt;MIN(Table1[Sales]),Table1[[#This Row],[Sales]]&lt;&gt;MAX(Table1[Sales])), Table1[[#This Row],[Sales]], NA())</f>
        <v>41257.68</v>
      </c>
      <c r="U142" s="25" t="e">
        <f>IF(Table1[[#This Row],[Sales]]=MAX(Table1[Sales]), Table1[[#This Row],[Sales]], NA())</f>
        <v>#N/A</v>
      </c>
      <c r="V142">
        <v>9</v>
      </c>
      <c r="W142">
        <v>0.2</v>
      </c>
      <c r="X142">
        <v>1237.73</v>
      </c>
      <c r="Y142" s="3">
        <f>YEAR(Table1[[#This Row],[Order Date]])</f>
        <v>2025</v>
      </c>
      <c r="Z142" s="3" t="str">
        <f>TEXT(Table1[[#This Row],[Order Date]],"MMM")</f>
        <v>Jul</v>
      </c>
      <c r="AA142" s="3">
        <f>DAY(Table1[[#This Row],[Order Date]])</f>
        <v>10</v>
      </c>
    </row>
    <row r="143" spans="1:27" x14ac:dyDescent="0.35">
      <c r="A143" s="1">
        <v>142</v>
      </c>
      <c r="B143" s="1" t="s">
        <v>750</v>
      </c>
      <c r="C143" s="1" t="s">
        <v>751</v>
      </c>
      <c r="D143" s="1" t="s">
        <v>752</v>
      </c>
      <c r="E143" t="s">
        <v>24</v>
      </c>
      <c r="F143" t="s">
        <v>753</v>
      </c>
      <c r="G143" t="s">
        <v>26</v>
      </c>
      <c r="H143" t="s">
        <v>27</v>
      </c>
      <c r="I143" s="1" t="s">
        <v>28</v>
      </c>
      <c r="J143" t="s">
        <v>53</v>
      </c>
      <c r="K143" t="s">
        <v>54</v>
      </c>
      <c r="L143" s="1">
        <v>981939</v>
      </c>
      <c r="M143" s="1" t="s">
        <v>55</v>
      </c>
      <c r="N143" t="s">
        <v>754</v>
      </c>
      <c r="O143" t="s">
        <v>32</v>
      </c>
      <c r="P143" t="s">
        <v>33</v>
      </c>
      <c r="Q143" t="s">
        <v>34</v>
      </c>
      <c r="R143">
        <v>82553.009999999995</v>
      </c>
      <c r="S143" s="25" t="e">
        <f>IF(Table1[[#This Row],[Sales]]=MIN(Table1[Sales]), Table1[[#This Row],[Sales]], NA())</f>
        <v>#N/A</v>
      </c>
      <c r="T143" s="25">
        <f>IF(AND(Table1[[#This Row],[Sales]]&lt;&gt;MIN(Table1[Sales]),Table1[[#This Row],[Sales]]&lt;&gt;MAX(Table1[Sales])), Table1[[#This Row],[Sales]], NA())</f>
        <v>82553.009999999995</v>
      </c>
      <c r="U143" s="25" t="e">
        <f>IF(Table1[[#This Row],[Sales]]=MAX(Table1[Sales]), Table1[[#This Row],[Sales]], NA())</f>
        <v>#N/A</v>
      </c>
      <c r="V143">
        <v>3</v>
      </c>
      <c r="W143">
        <v>0.2</v>
      </c>
      <c r="X143">
        <v>2476.59</v>
      </c>
      <c r="Y143" s="3">
        <f>YEAR(Table1[[#This Row],[Order Date]])</f>
        <v>2021</v>
      </c>
      <c r="Z143" s="3" t="str">
        <f>TEXT(Table1[[#This Row],[Order Date]],"MMM")</f>
        <v>Jun</v>
      </c>
      <c r="AA143" s="3">
        <f>DAY(Table1[[#This Row],[Order Date]])</f>
        <v>21</v>
      </c>
    </row>
    <row r="144" spans="1:27" x14ac:dyDescent="0.35">
      <c r="A144" s="1">
        <v>143</v>
      </c>
      <c r="B144" s="1" t="s">
        <v>755</v>
      </c>
      <c r="C144" s="1" t="s">
        <v>756</v>
      </c>
      <c r="D144" s="1" t="s">
        <v>577</v>
      </c>
      <c r="E144" t="s">
        <v>62</v>
      </c>
      <c r="F144" t="s">
        <v>757</v>
      </c>
      <c r="G144" t="s">
        <v>26</v>
      </c>
      <c r="H144" t="s">
        <v>41</v>
      </c>
      <c r="I144" s="1" t="s">
        <v>28</v>
      </c>
      <c r="J144" t="s">
        <v>29</v>
      </c>
      <c r="K144" t="s">
        <v>29</v>
      </c>
      <c r="L144" s="1">
        <v>537925</v>
      </c>
      <c r="M144" s="1" t="s">
        <v>30</v>
      </c>
      <c r="N144" t="s">
        <v>758</v>
      </c>
      <c r="O144" t="s">
        <v>46</v>
      </c>
      <c r="P144" t="s">
        <v>47</v>
      </c>
      <c r="Q144" t="s">
        <v>48</v>
      </c>
      <c r="R144">
        <v>81833.55</v>
      </c>
      <c r="S144" s="25" t="e">
        <f>IF(Table1[[#This Row],[Sales]]=MIN(Table1[Sales]), Table1[[#This Row],[Sales]], NA())</f>
        <v>#N/A</v>
      </c>
      <c r="T144" s="25">
        <f>IF(AND(Table1[[#This Row],[Sales]]&lt;&gt;MIN(Table1[Sales]),Table1[[#This Row],[Sales]]&lt;&gt;MAX(Table1[Sales])), Table1[[#This Row],[Sales]], NA())</f>
        <v>81833.55</v>
      </c>
      <c r="U144" s="25" t="e">
        <f>IF(Table1[[#This Row],[Sales]]=MAX(Table1[Sales]), Table1[[#This Row],[Sales]], NA())</f>
        <v>#N/A</v>
      </c>
      <c r="V144">
        <v>6</v>
      </c>
      <c r="W144">
        <v>0.1</v>
      </c>
      <c r="X144">
        <v>4500.8500000000004</v>
      </c>
      <c r="Y144" s="3">
        <f>YEAR(Table1[[#This Row],[Order Date]])</f>
        <v>2023</v>
      </c>
      <c r="Z144" s="3" t="str">
        <f>TEXT(Table1[[#This Row],[Order Date]],"MMM")</f>
        <v>Jul</v>
      </c>
      <c r="AA144" s="3">
        <f>DAY(Table1[[#This Row],[Order Date]])</f>
        <v>8</v>
      </c>
    </row>
    <row r="145" spans="1:27" x14ac:dyDescent="0.35">
      <c r="A145" s="1">
        <v>144</v>
      </c>
      <c r="B145" s="1" t="s">
        <v>759</v>
      </c>
      <c r="C145" s="1" t="s">
        <v>760</v>
      </c>
      <c r="D145" s="1" t="s">
        <v>761</v>
      </c>
      <c r="E145" t="s">
        <v>24</v>
      </c>
      <c r="F145" t="s">
        <v>762</v>
      </c>
      <c r="G145" t="s">
        <v>188</v>
      </c>
      <c r="H145" t="s">
        <v>27</v>
      </c>
      <c r="I145" s="1" t="s">
        <v>28</v>
      </c>
      <c r="J145" t="s">
        <v>64</v>
      </c>
      <c r="K145" t="s">
        <v>65</v>
      </c>
      <c r="L145" s="1">
        <v>755058</v>
      </c>
      <c r="M145" s="1" t="s">
        <v>66</v>
      </c>
      <c r="N145" t="s">
        <v>763</v>
      </c>
      <c r="O145" t="s">
        <v>46</v>
      </c>
      <c r="P145" t="s">
        <v>57</v>
      </c>
      <c r="Q145" t="s">
        <v>58</v>
      </c>
      <c r="R145">
        <v>67982.92</v>
      </c>
      <c r="S145" s="25" t="e">
        <f>IF(Table1[[#This Row],[Sales]]=MIN(Table1[Sales]), Table1[[#This Row],[Sales]], NA())</f>
        <v>#N/A</v>
      </c>
      <c r="T145" s="25">
        <f>IF(AND(Table1[[#This Row],[Sales]]&lt;&gt;MIN(Table1[Sales]),Table1[[#This Row],[Sales]]&lt;&gt;MAX(Table1[Sales])), Table1[[#This Row],[Sales]], NA())</f>
        <v>67982.92</v>
      </c>
      <c r="U145" s="25" t="e">
        <f>IF(Table1[[#This Row],[Sales]]=MAX(Table1[Sales]), Table1[[#This Row],[Sales]], NA())</f>
        <v>#N/A</v>
      </c>
      <c r="V145">
        <v>10</v>
      </c>
      <c r="W145">
        <v>0.2</v>
      </c>
      <c r="X145">
        <v>2039.49</v>
      </c>
      <c r="Y145" s="3">
        <f>YEAR(Table1[[#This Row],[Order Date]])</f>
        <v>2025</v>
      </c>
      <c r="Z145" s="3" t="str">
        <f>TEXT(Table1[[#This Row],[Order Date]],"MMM")</f>
        <v>Jun</v>
      </c>
      <c r="AA145" s="3">
        <f>DAY(Table1[[#This Row],[Order Date]])</f>
        <v>28</v>
      </c>
    </row>
    <row r="146" spans="1:27" x14ac:dyDescent="0.35">
      <c r="A146" s="1">
        <v>145</v>
      </c>
      <c r="B146" s="1" t="s">
        <v>764</v>
      </c>
      <c r="C146" s="1" t="s">
        <v>286</v>
      </c>
      <c r="D146" s="1" t="s">
        <v>765</v>
      </c>
      <c r="E146" t="s">
        <v>38</v>
      </c>
      <c r="F146" t="s">
        <v>766</v>
      </c>
      <c r="G146" t="s">
        <v>75</v>
      </c>
      <c r="H146" t="s">
        <v>27</v>
      </c>
      <c r="I146" s="1" t="s">
        <v>28</v>
      </c>
      <c r="J146" t="s">
        <v>53</v>
      </c>
      <c r="K146" t="s">
        <v>54</v>
      </c>
      <c r="L146" s="1">
        <v>820374</v>
      </c>
      <c r="M146" s="1" t="s">
        <v>55</v>
      </c>
      <c r="N146" t="s">
        <v>767</v>
      </c>
      <c r="O146" t="s">
        <v>32</v>
      </c>
      <c r="P146" t="s">
        <v>33</v>
      </c>
      <c r="Q146" t="s">
        <v>34</v>
      </c>
      <c r="R146">
        <v>67881.17</v>
      </c>
      <c r="S146" s="25" t="e">
        <f>IF(Table1[[#This Row],[Sales]]=MIN(Table1[Sales]), Table1[[#This Row],[Sales]], NA())</f>
        <v>#N/A</v>
      </c>
      <c r="T146" s="25">
        <f>IF(AND(Table1[[#This Row],[Sales]]&lt;&gt;MIN(Table1[Sales]),Table1[[#This Row],[Sales]]&lt;&gt;MAX(Table1[Sales])), Table1[[#This Row],[Sales]], NA())</f>
        <v>67881.17</v>
      </c>
      <c r="U146" s="25" t="e">
        <f>IF(Table1[[#This Row],[Sales]]=MAX(Table1[Sales]), Table1[[#This Row],[Sales]], NA())</f>
        <v>#N/A</v>
      </c>
      <c r="V146">
        <v>2</v>
      </c>
      <c r="W146">
        <v>0.1</v>
      </c>
      <c r="X146">
        <v>3733.46</v>
      </c>
      <c r="Y146" s="3">
        <f>YEAR(Table1[[#This Row],[Order Date]])</f>
        <v>2025</v>
      </c>
      <c r="Z146" s="3" t="str">
        <f>TEXT(Table1[[#This Row],[Order Date]],"MMM")</f>
        <v>Oct</v>
      </c>
      <c r="AA146" s="3">
        <f>DAY(Table1[[#This Row],[Order Date]])</f>
        <v>12</v>
      </c>
    </row>
    <row r="147" spans="1:27" x14ac:dyDescent="0.35">
      <c r="A147" s="1">
        <v>146</v>
      </c>
      <c r="B147" s="1" t="s">
        <v>768</v>
      </c>
      <c r="C147" s="1" t="s">
        <v>769</v>
      </c>
      <c r="D147" s="1" t="s">
        <v>770</v>
      </c>
      <c r="E147" t="s">
        <v>115</v>
      </c>
      <c r="F147" t="s">
        <v>771</v>
      </c>
      <c r="G147" t="s">
        <v>122</v>
      </c>
      <c r="H147" t="s">
        <v>27</v>
      </c>
      <c r="I147" s="1" t="s">
        <v>28</v>
      </c>
      <c r="J147" t="s">
        <v>29</v>
      </c>
      <c r="K147" t="s">
        <v>29</v>
      </c>
      <c r="L147" s="1">
        <v>182602</v>
      </c>
      <c r="M147" s="1" t="s">
        <v>30</v>
      </c>
      <c r="N147" t="s">
        <v>772</v>
      </c>
      <c r="O147" t="s">
        <v>68</v>
      </c>
      <c r="P147" t="s">
        <v>69</v>
      </c>
      <c r="Q147" t="s">
        <v>70</v>
      </c>
      <c r="R147">
        <v>70026.98</v>
      </c>
      <c r="S147" s="25" t="e">
        <f>IF(Table1[[#This Row],[Sales]]=MIN(Table1[Sales]), Table1[[#This Row],[Sales]], NA())</f>
        <v>#N/A</v>
      </c>
      <c r="T147" s="25">
        <f>IF(AND(Table1[[#This Row],[Sales]]&lt;&gt;MIN(Table1[Sales]),Table1[[#This Row],[Sales]]&lt;&gt;MAX(Table1[Sales])), Table1[[#This Row],[Sales]], NA())</f>
        <v>70026.98</v>
      </c>
      <c r="U147" s="25" t="e">
        <f>IF(Table1[[#This Row],[Sales]]=MAX(Table1[Sales]), Table1[[#This Row],[Sales]], NA())</f>
        <v>#N/A</v>
      </c>
      <c r="V147">
        <v>5</v>
      </c>
      <c r="W147">
        <v>0.3</v>
      </c>
      <c r="X147">
        <v>350.13</v>
      </c>
      <c r="Y147" s="3">
        <f>YEAR(Table1[[#This Row],[Order Date]])</f>
        <v>2024</v>
      </c>
      <c r="Z147" s="3" t="str">
        <f>TEXT(Table1[[#This Row],[Order Date]],"MMM")</f>
        <v>Apr</v>
      </c>
      <c r="AA147" s="3">
        <f>DAY(Table1[[#This Row],[Order Date]])</f>
        <v>19</v>
      </c>
    </row>
    <row r="148" spans="1:27" x14ac:dyDescent="0.35">
      <c r="A148" s="1">
        <v>147</v>
      </c>
      <c r="B148" s="1" t="s">
        <v>773</v>
      </c>
      <c r="C148" s="1" t="s">
        <v>774</v>
      </c>
      <c r="D148" s="1" t="s">
        <v>775</v>
      </c>
      <c r="E148" t="s">
        <v>38</v>
      </c>
      <c r="F148" t="s">
        <v>776</v>
      </c>
      <c r="G148" t="s">
        <v>26</v>
      </c>
      <c r="H148" t="s">
        <v>41</v>
      </c>
      <c r="I148" s="1" t="s">
        <v>28</v>
      </c>
      <c r="J148" t="s">
        <v>128</v>
      </c>
      <c r="K148" t="s">
        <v>129</v>
      </c>
      <c r="L148" s="1">
        <v>501292</v>
      </c>
      <c r="M148" s="1" t="s">
        <v>66</v>
      </c>
      <c r="N148" t="s">
        <v>777</v>
      </c>
      <c r="O148" t="s">
        <v>32</v>
      </c>
      <c r="P148" t="s">
        <v>33</v>
      </c>
      <c r="Q148" t="s">
        <v>34</v>
      </c>
      <c r="R148">
        <v>95790.720000000001</v>
      </c>
      <c r="S148" s="25" t="e">
        <f>IF(Table1[[#This Row],[Sales]]=MIN(Table1[Sales]), Table1[[#This Row],[Sales]], NA())</f>
        <v>#N/A</v>
      </c>
      <c r="T148" s="25">
        <f>IF(AND(Table1[[#This Row],[Sales]]&lt;&gt;MIN(Table1[Sales]),Table1[[#This Row],[Sales]]&lt;&gt;MAX(Table1[Sales])), Table1[[#This Row],[Sales]], NA())</f>
        <v>95790.720000000001</v>
      </c>
      <c r="U148" s="25" t="e">
        <f>IF(Table1[[#This Row],[Sales]]=MAX(Table1[Sales]), Table1[[#This Row],[Sales]], NA())</f>
        <v>#N/A</v>
      </c>
      <c r="V148">
        <v>10</v>
      </c>
      <c r="W148">
        <v>0.3</v>
      </c>
      <c r="X148">
        <v>478.95</v>
      </c>
      <c r="Y148" s="3">
        <f>YEAR(Table1[[#This Row],[Order Date]])</f>
        <v>2022</v>
      </c>
      <c r="Z148" s="3" t="str">
        <f>TEXT(Table1[[#This Row],[Order Date]],"MMM")</f>
        <v>Jun</v>
      </c>
      <c r="AA148" s="3">
        <f>DAY(Table1[[#This Row],[Order Date]])</f>
        <v>6</v>
      </c>
    </row>
    <row r="149" spans="1:27" x14ac:dyDescent="0.35">
      <c r="A149" s="1">
        <v>148</v>
      </c>
      <c r="B149" s="1" t="s">
        <v>778</v>
      </c>
      <c r="C149" s="1" t="s">
        <v>779</v>
      </c>
      <c r="D149" s="1" t="s">
        <v>780</v>
      </c>
      <c r="E149" t="s">
        <v>38</v>
      </c>
      <c r="F149" t="s">
        <v>781</v>
      </c>
      <c r="G149" t="s">
        <v>81</v>
      </c>
      <c r="H149" t="s">
        <v>41</v>
      </c>
      <c r="I149" s="1" t="s">
        <v>28</v>
      </c>
      <c r="J149" t="s">
        <v>64</v>
      </c>
      <c r="K149" t="s">
        <v>65</v>
      </c>
      <c r="L149" s="1">
        <v>264590</v>
      </c>
      <c r="M149" s="1" t="s">
        <v>66</v>
      </c>
      <c r="N149" t="s">
        <v>782</v>
      </c>
      <c r="O149" t="s">
        <v>32</v>
      </c>
      <c r="P149" t="s">
        <v>33</v>
      </c>
      <c r="Q149" t="s">
        <v>34</v>
      </c>
      <c r="R149">
        <v>594.20000000000005</v>
      </c>
      <c r="S149" s="25" t="e">
        <f>IF(Table1[[#This Row],[Sales]]=MIN(Table1[Sales]), Table1[[#This Row],[Sales]], NA())</f>
        <v>#N/A</v>
      </c>
      <c r="T149" s="25">
        <f>IF(AND(Table1[[#This Row],[Sales]]&lt;&gt;MIN(Table1[Sales]),Table1[[#This Row],[Sales]]&lt;&gt;MAX(Table1[Sales])), Table1[[#This Row],[Sales]], NA())</f>
        <v>594.20000000000005</v>
      </c>
      <c r="U149" s="25" t="e">
        <f>IF(Table1[[#This Row],[Sales]]=MAX(Table1[Sales]), Table1[[#This Row],[Sales]], NA())</f>
        <v>#N/A</v>
      </c>
      <c r="V149">
        <v>2</v>
      </c>
      <c r="W149">
        <v>0</v>
      </c>
      <c r="X149">
        <v>47.54</v>
      </c>
      <c r="Y149" s="3">
        <f>YEAR(Table1[[#This Row],[Order Date]])</f>
        <v>2021</v>
      </c>
      <c r="Z149" s="3" t="str">
        <f>TEXT(Table1[[#This Row],[Order Date]],"MMM")</f>
        <v>Mar</v>
      </c>
      <c r="AA149" s="3">
        <f>DAY(Table1[[#This Row],[Order Date]])</f>
        <v>21</v>
      </c>
    </row>
    <row r="150" spans="1:27" x14ac:dyDescent="0.35">
      <c r="A150" s="1">
        <v>149</v>
      </c>
      <c r="B150" s="1" t="s">
        <v>783</v>
      </c>
      <c r="C150" s="1" t="s">
        <v>784</v>
      </c>
      <c r="D150" s="1" t="s">
        <v>785</v>
      </c>
      <c r="E150" t="s">
        <v>38</v>
      </c>
      <c r="F150" t="s">
        <v>786</v>
      </c>
      <c r="G150" t="s">
        <v>122</v>
      </c>
      <c r="H150" t="s">
        <v>41</v>
      </c>
      <c r="I150" s="1" t="s">
        <v>28</v>
      </c>
      <c r="J150" t="s">
        <v>42</v>
      </c>
      <c r="K150" t="s">
        <v>43</v>
      </c>
      <c r="L150" s="1">
        <v>724722</v>
      </c>
      <c r="M150" s="1" t="s">
        <v>44</v>
      </c>
      <c r="N150" t="s">
        <v>787</v>
      </c>
      <c r="O150" t="s">
        <v>46</v>
      </c>
      <c r="P150" t="s">
        <v>47</v>
      </c>
      <c r="Q150" t="s">
        <v>48</v>
      </c>
      <c r="R150">
        <v>77351.649999999994</v>
      </c>
      <c r="S150" s="25" t="e">
        <f>IF(Table1[[#This Row],[Sales]]=MIN(Table1[Sales]), Table1[[#This Row],[Sales]], NA())</f>
        <v>#N/A</v>
      </c>
      <c r="T150" s="25">
        <f>IF(AND(Table1[[#This Row],[Sales]]&lt;&gt;MIN(Table1[Sales]),Table1[[#This Row],[Sales]]&lt;&gt;MAX(Table1[Sales])), Table1[[#This Row],[Sales]], NA())</f>
        <v>77351.649999999994</v>
      </c>
      <c r="U150" s="25" t="e">
        <f>IF(Table1[[#This Row],[Sales]]=MAX(Table1[Sales]), Table1[[#This Row],[Sales]], NA())</f>
        <v>#N/A</v>
      </c>
      <c r="V150">
        <v>1</v>
      </c>
      <c r="W150">
        <v>0.3</v>
      </c>
      <c r="X150">
        <v>386.76</v>
      </c>
      <c r="Y150" s="3">
        <f>YEAR(Table1[[#This Row],[Order Date]])</f>
        <v>2021</v>
      </c>
      <c r="Z150" s="3" t="str">
        <f>TEXT(Table1[[#This Row],[Order Date]],"MMM")</f>
        <v>Nov</v>
      </c>
      <c r="AA150" s="3">
        <f>DAY(Table1[[#This Row],[Order Date]])</f>
        <v>8</v>
      </c>
    </row>
    <row r="151" spans="1:27" x14ac:dyDescent="0.35">
      <c r="A151" s="1">
        <v>150</v>
      </c>
      <c r="B151" s="1" t="s">
        <v>788</v>
      </c>
      <c r="C151" s="1" t="s">
        <v>789</v>
      </c>
      <c r="D151" s="1" t="s">
        <v>465</v>
      </c>
      <c r="E151" t="s">
        <v>115</v>
      </c>
      <c r="F151" t="s">
        <v>790</v>
      </c>
      <c r="G151" t="s">
        <v>93</v>
      </c>
      <c r="H151" t="s">
        <v>94</v>
      </c>
      <c r="I151" s="1" t="s">
        <v>28</v>
      </c>
      <c r="J151" t="s">
        <v>64</v>
      </c>
      <c r="K151" t="s">
        <v>65</v>
      </c>
      <c r="L151" s="1">
        <v>101874</v>
      </c>
      <c r="M151" s="1" t="s">
        <v>66</v>
      </c>
      <c r="N151" t="s">
        <v>791</v>
      </c>
      <c r="O151" t="s">
        <v>68</v>
      </c>
      <c r="P151" t="s">
        <v>69</v>
      </c>
      <c r="Q151" t="s">
        <v>70</v>
      </c>
      <c r="R151">
        <v>57547.82</v>
      </c>
      <c r="S151" s="25" t="e">
        <f>IF(Table1[[#This Row],[Sales]]=MIN(Table1[Sales]), Table1[[#This Row],[Sales]], NA())</f>
        <v>#N/A</v>
      </c>
      <c r="T151" s="25">
        <f>IF(AND(Table1[[#This Row],[Sales]]&lt;&gt;MIN(Table1[Sales]),Table1[[#This Row],[Sales]]&lt;&gt;MAX(Table1[Sales])), Table1[[#This Row],[Sales]], NA())</f>
        <v>57547.82</v>
      </c>
      <c r="U151" s="25" t="e">
        <f>IF(Table1[[#This Row],[Sales]]=MAX(Table1[Sales]), Table1[[#This Row],[Sales]], NA())</f>
        <v>#N/A</v>
      </c>
      <c r="V151">
        <v>5</v>
      </c>
      <c r="W151">
        <v>0.2</v>
      </c>
      <c r="X151">
        <v>1726.43</v>
      </c>
      <c r="Y151" s="3">
        <f>YEAR(Table1[[#This Row],[Order Date]])</f>
        <v>2025</v>
      </c>
      <c r="Z151" s="3" t="str">
        <f>TEXT(Table1[[#This Row],[Order Date]],"MMM")</f>
        <v>Aug</v>
      </c>
      <c r="AA151" s="3">
        <f>DAY(Table1[[#This Row],[Order Date]])</f>
        <v>7</v>
      </c>
    </row>
    <row r="152" spans="1:27" x14ac:dyDescent="0.35">
      <c r="A152" s="1">
        <v>151</v>
      </c>
      <c r="B152" s="1" t="s">
        <v>792</v>
      </c>
      <c r="C152" s="1" t="s">
        <v>793</v>
      </c>
      <c r="D152" s="1" t="s">
        <v>794</v>
      </c>
      <c r="E152" t="s">
        <v>24</v>
      </c>
      <c r="F152" t="s">
        <v>795</v>
      </c>
      <c r="G152" t="s">
        <v>93</v>
      </c>
      <c r="H152" t="s">
        <v>27</v>
      </c>
      <c r="I152" s="1" t="s">
        <v>28</v>
      </c>
      <c r="J152" t="s">
        <v>29</v>
      </c>
      <c r="K152" t="s">
        <v>29</v>
      </c>
      <c r="L152" s="1">
        <v>616249</v>
      </c>
      <c r="M152" s="1" t="s">
        <v>30</v>
      </c>
      <c r="N152" t="s">
        <v>796</v>
      </c>
      <c r="O152" t="s">
        <v>32</v>
      </c>
      <c r="P152" t="s">
        <v>33</v>
      </c>
      <c r="Q152" t="s">
        <v>34</v>
      </c>
      <c r="R152">
        <v>20267.599999999999</v>
      </c>
      <c r="S152" s="25" t="e">
        <f>IF(Table1[[#This Row],[Sales]]=MIN(Table1[Sales]), Table1[[#This Row],[Sales]], NA())</f>
        <v>#N/A</v>
      </c>
      <c r="T152" s="25">
        <f>IF(AND(Table1[[#This Row],[Sales]]&lt;&gt;MIN(Table1[Sales]),Table1[[#This Row],[Sales]]&lt;&gt;MAX(Table1[Sales])), Table1[[#This Row],[Sales]], NA())</f>
        <v>20267.599999999999</v>
      </c>
      <c r="U152" s="25" t="e">
        <f>IF(Table1[[#This Row],[Sales]]=MAX(Table1[Sales]), Table1[[#This Row],[Sales]], NA())</f>
        <v>#N/A</v>
      </c>
      <c r="V152">
        <v>5</v>
      </c>
      <c r="W152">
        <v>0.3</v>
      </c>
      <c r="X152">
        <v>101.34</v>
      </c>
      <c r="Y152" s="3">
        <f>YEAR(Table1[[#This Row],[Order Date]])</f>
        <v>2023</v>
      </c>
      <c r="Z152" s="3" t="str">
        <f>TEXT(Table1[[#This Row],[Order Date]],"MMM")</f>
        <v>Oct</v>
      </c>
      <c r="AA152" s="3">
        <f>DAY(Table1[[#This Row],[Order Date]])</f>
        <v>18</v>
      </c>
    </row>
    <row r="153" spans="1:27" x14ac:dyDescent="0.35">
      <c r="A153" s="1">
        <v>152</v>
      </c>
      <c r="B153" s="1" t="s">
        <v>797</v>
      </c>
      <c r="C153" s="1" t="s">
        <v>798</v>
      </c>
      <c r="D153" s="1" t="s">
        <v>799</v>
      </c>
      <c r="E153" t="s">
        <v>38</v>
      </c>
      <c r="F153" t="s">
        <v>800</v>
      </c>
      <c r="G153" t="s">
        <v>40</v>
      </c>
      <c r="H153" t="s">
        <v>41</v>
      </c>
      <c r="I153" s="1" t="s">
        <v>28</v>
      </c>
      <c r="J153" t="s">
        <v>53</v>
      </c>
      <c r="K153" t="s">
        <v>54</v>
      </c>
      <c r="L153" s="1">
        <v>171371</v>
      </c>
      <c r="M153" s="1" t="s">
        <v>55</v>
      </c>
      <c r="N153" t="s">
        <v>801</v>
      </c>
      <c r="O153" t="s">
        <v>46</v>
      </c>
      <c r="P153" t="s">
        <v>57</v>
      </c>
      <c r="Q153" t="s">
        <v>58</v>
      </c>
      <c r="R153">
        <v>80874.91</v>
      </c>
      <c r="S153" s="25" t="e">
        <f>IF(Table1[[#This Row],[Sales]]=MIN(Table1[Sales]), Table1[[#This Row],[Sales]], NA())</f>
        <v>#N/A</v>
      </c>
      <c r="T153" s="25">
        <f>IF(AND(Table1[[#This Row],[Sales]]&lt;&gt;MIN(Table1[Sales]),Table1[[#This Row],[Sales]]&lt;&gt;MAX(Table1[Sales])), Table1[[#This Row],[Sales]], NA())</f>
        <v>80874.91</v>
      </c>
      <c r="U153" s="25" t="e">
        <f>IF(Table1[[#This Row],[Sales]]=MAX(Table1[Sales]), Table1[[#This Row],[Sales]], NA())</f>
        <v>#N/A</v>
      </c>
      <c r="V153">
        <v>5</v>
      </c>
      <c r="W153">
        <v>0</v>
      </c>
      <c r="X153">
        <v>6469.99</v>
      </c>
      <c r="Y153" s="3">
        <f>YEAR(Table1[[#This Row],[Order Date]])</f>
        <v>2024</v>
      </c>
      <c r="Z153" s="3" t="str">
        <f>TEXT(Table1[[#This Row],[Order Date]],"MMM")</f>
        <v>May</v>
      </c>
      <c r="AA153" s="3">
        <f>DAY(Table1[[#This Row],[Order Date]])</f>
        <v>6</v>
      </c>
    </row>
    <row r="154" spans="1:27" x14ac:dyDescent="0.35">
      <c r="A154" s="1">
        <v>153</v>
      </c>
      <c r="B154" s="1" t="s">
        <v>802</v>
      </c>
      <c r="C154" s="1" t="s">
        <v>803</v>
      </c>
      <c r="D154" s="1" t="s">
        <v>804</v>
      </c>
      <c r="E154" t="s">
        <v>115</v>
      </c>
      <c r="F154" t="s">
        <v>805</v>
      </c>
      <c r="G154" t="s">
        <v>93</v>
      </c>
      <c r="H154" t="s">
        <v>94</v>
      </c>
      <c r="I154" s="1" t="s">
        <v>28</v>
      </c>
      <c r="J154" t="s">
        <v>29</v>
      </c>
      <c r="K154" t="s">
        <v>29</v>
      </c>
      <c r="L154" s="1">
        <v>401522</v>
      </c>
      <c r="M154" s="1" t="s">
        <v>30</v>
      </c>
      <c r="N154" t="s">
        <v>806</v>
      </c>
      <c r="O154" t="s">
        <v>46</v>
      </c>
      <c r="P154" t="s">
        <v>57</v>
      </c>
      <c r="Q154" t="s">
        <v>58</v>
      </c>
      <c r="R154">
        <v>15218.9</v>
      </c>
      <c r="S154" s="25" t="e">
        <f>IF(Table1[[#This Row],[Sales]]=MIN(Table1[Sales]), Table1[[#This Row],[Sales]], NA())</f>
        <v>#N/A</v>
      </c>
      <c r="T154" s="25">
        <f>IF(AND(Table1[[#This Row],[Sales]]&lt;&gt;MIN(Table1[Sales]),Table1[[#This Row],[Sales]]&lt;&gt;MAX(Table1[Sales])), Table1[[#This Row],[Sales]], NA())</f>
        <v>15218.9</v>
      </c>
      <c r="U154" s="25" t="e">
        <f>IF(Table1[[#This Row],[Sales]]=MAX(Table1[Sales]), Table1[[#This Row],[Sales]], NA())</f>
        <v>#N/A</v>
      </c>
      <c r="V154">
        <v>5</v>
      </c>
      <c r="W154">
        <v>0.2</v>
      </c>
      <c r="X154">
        <v>456.57</v>
      </c>
      <c r="Y154" s="3">
        <f>YEAR(Table1[[#This Row],[Order Date]])</f>
        <v>2023</v>
      </c>
      <c r="Z154" s="3" t="str">
        <f>TEXT(Table1[[#This Row],[Order Date]],"MMM")</f>
        <v>Nov</v>
      </c>
      <c r="AA154" s="3">
        <f>DAY(Table1[[#This Row],[Order Date]])</f>
        <v>25</v>
      </c>
    </row>
    <row r="155" spans="1:27" x14ac:dyDescent="0.35">
      <c r="A155" s="1">
        <v>154</v>
      </c>
      <c r="B155" s="1" t="s">
        <v>807</v>
      </c>
      <c r="C155" s="1" t="s">
        <v>166</v>
      </c>
      <c r="D155" s="1" t="s">
        <v>149</v>
      </c>
      <c r="E155" t="s">
        <v>24</v>
      </c>
      <c r="F155" t="s">
        <v>808</v>
      </c>
      <c r="G155" t="s">
        <v>110</v>
      </c>
      <c r="H155" t="s">
        <v>94</v>
      </c>
      <c r="I155" s="1" t="s">
        <v>28</v>
      </c>
      <c r="J155" t="s">
        <v>29</v>
      </c>
      <c r="K155" t="s">
        <v>29</v>
      </c>
      <c r="L155" s="1">
        <v>467003</v>
      </c>
      <c r="M155" s="1" t="s">
        <v>30</v>
      </c>
      <c r="N155" t="s">
        <v>809</v>
      </c>
      <c r="O155" t="s">
        <v>32</v>
      </c>
      <c r="P155" t="s">
        <v>33</v>
      </c>
      <c r="Q155" t="s">
        <v>34</v>
      </c>
      <c r="R155">
        <v>97685.34</v>
      </c>
      <c r="S155" s="25" t="e">
        <f>IF(Table1[[#This Row],[Sales]]=MIN(Table1[Sales]), Table1[[#This Row],[Sales]], NA())</f>
        <v>#N/A</v>
      </c>
      <c r="T155" s="25">
        <f>IF(AND(Table1[[#This Row],[Sales]]&lt;&gt;MIN(Table1[Sales]),Table1[[#This Row],[Sales]]&lt;&gt;MAX(Table1[Sales])), Table1[[#This Row],[Sales]], NA())</f>
        <v>97685.34</v>
      </c>
      <c r="U155" s="25" t="e">
        <f>IF(Table1[[#This Row],[Sales]]=MAX(Table1[Sales]), Table1[[#This Row],[Sales]], NA())</f>
        <v>#N/A</v>
      </c>
      <c r="V155">
        <v>3</v>
      </c>
      <c r="W155">
        <v>0</v>
      </c>
      <c r="X155">
        <v>7814.83</v>
      </c>
      <c r="Y155" s="3">
        <f>YEAR(Table1[[#This Row],[Order Date]])</f>
        <v>2025</v>
      </c>
      <c r="Z155" s="3" t="str">
        <f>TEXT(Table1[[#This Row],[Order Date]],"MMM")</f>
        <v>Nov</v>
      </c>
      <c r="AA155" s="3">
        <f>DAY(Table1[[#This Row],[Order Date]])</f>
        <v>12</v>
      </c>
    </row>
    <row r="156" spans="1:27" x14ac:dyDescent="0.35">
      <c r="A156" s="1">
        <v>155</v>
      </c>
      <c r="B156" s="1" t="s">
        <v>810</v>
      </c>
      <c r="C156" s="1" t="s">
        <v>811</v>
      </c>
      <c r="D156" s="1" t="s">
        <v>812</v>
      </c>
      <c r="E156" t="s">
        <v>62</v>
      </c>
      <c r="F156" t="s">
        <v>813</v>
      </c>
      <c r="G156" t="s">
        <v>40</v>
      </c>
      <c r="H156" t="s">
        <v>41</v>
      </c>
      <c r="I156" s="1" t="s">
        <v>28</v>
      </c>
      <c r="J156" t="s">
        <v>42</v>
      </c>
      <c r="K156" t="s">
        <v>43</v>
      </c>
      <c r="L156" s="1">
        <v>603188</v>
      </c>
      <c r="M156" s="1" t="s">
        <v>44</v>
      </c>
      <c r="N156" t="s">
        <v>814</v>
      </c>
      <c r="O156" t="s">
        <v>32</v>
      </c>
      <c r="P156" t="s">
        <v>33</v>
      </c>
      <c r="Q156" t="s">
        <v>34</v>
      </c>
      <c r="R156">
        <v>56976.11</v>
      </c>
      <c r="S156" s="25" t="e">
        <f>IF(Table1[[#This Row],[Sales]]=MIN(Table1[Sales]), Table1[[#This Row],[Sales]], NA())</f>
        <v>#N/A</v>
      </c>
      <c r="T156" s="25">
        <f>IF(AND(Table1[[#This Row],[Sales]]&lt;&gt;MIN(Table1[Sales]),Table1[[#This Row],[Sales]]&lt;&gt;MAX(Table1[Sales])), Table1[[#This Row],[Sales]], NA())</f>
        <v>56976.11</v>
      </c>
      <c r="U156" s="25" t="e">
        <f>IF(Table1[[#This Row],[Sales]]=MAX(Table1[Sales]), Table1[[#This Row],[Sales]], NA())</f>
        <v>#N/A</v>
      </c>
      <c r="V156">
        <v>1</v>
      </c>
      <c r="W156">
        <v>0.2</v>
      </c>
      <c r="X156">
        <v>1709.28</v>
      </c>
      <c r="Y156" s="3">
        <f>YEAR(Table1[[#This Row],[Order Date]])</f>
        <v>2022</v>
      </c>
      <c r="Z156" s="3" t="str">
        <f>TEXT(Table1[[#This Row],[Order Date]],"MMM")</f>
        <v>Oct</v>
      </c>
      <c r="AA156" s="3">
        <f>DAY(Table1[[#This Row],[Order Date]])</f>
        <v>31</v>
      </c>
    </row>
    <row r="157" spans="1:27" x14ac:dyDescent="0.35">
      <c r="A157" s="1">
        <v>156</v>
      </c>
      <c r="B157" s="1" t="s">
        <v>815</v>
      </c>
      <c r="C157" s="1" t="s">
        <v>331</v>
      </c>
      <c r="D157" s="1" t="s">
        <v>816</v>
      </c>
      <c r="E157" t="s">
        <v>62</v>
      </c>
      <c r="F157" t="s">
        <v>817</v>
      </c>
      <c r="G157" t="s">
        <v>140</v>
      </c>
      <c r="H157" t="s">
        <v>27</v>
      </c>
      <c r="I157" s="1" t="s">
        <v>28</v>
      </c>
      <c r="J157" t="s">
        <v>64</v>
      </c>
      <c r="K157" t="s">
        <v>65</v>
      </c>
      <c r="L157" s="1">
        <v>942600</v>
      </c>
      <c r="M157" s="1" t="s">
        <v>66</v>
      </c>
      <c r="N157" t="s">
        <v>818</v>
      </c>
      <c r="O157" t="s">
        <v>68</v>
      </c>
      <c r="P157" t="s">
        <v>69</v>
      </c>
      <c r="Q157" t="s">
        <v>70</v>
      </c>
      <c r="R157">
        <v>48731.87</v>
      </c>
      <c r="S157" s="25" t="e">
        <f>IF(Table1[[#This Row],[Sales]]=MIN(Table1[Sales]), Table1[[#This Row],[Sales]], NA())</f>
        <v>#N/A</v>
      </c>
      <c r="T157" s="25">
        <f>IF(AND(Table1[[#This Row],[Sales]]&lt;&gt;MIN(Table1[Sales]),Table1[[#This Row],[Sales]]&lt;&gt;MAX(Table1[Sales])), Table1[[#This Row],[Sales]], NA())</f>
        <v>48731.87</v>
      </c>
      <c r="U157" s="25" t="e">
        <f>IF(Table1[[#This Row],[Sales]]=MAX(Table1[Sales]), Table1[[#This Row],[Sales]], NA())</f>
        <v>#N/A</v>
      </c>
      <c r="V157">
        <v>5</v>
      </c>
      <c r="W157">
        <v>0.3</v>
      </c>
      <c r="X157">
        <v>243.66</v>
      </c>
      <c r="Y157" s="3">
        <f>YEAR(Table1[[#This Row],[Order Date]])</f>
        <v>2024</v>
      </c>
      <c r="Z157" s="3" t="str">
        <f>TEXT(Table1[[#This Row],[Order Date]],"MMM")</f>
        <v>Sep</v>
      </c>
      <c r="AA157" s="3">
        <f>DAY(Table1[[#This Row],[Order Date]])</f>
        <v>17</v>
      </c>
    </row>
    <row r="158" spans="1:27" x14ac:dyDescent="0.35">
      <c r="A158" s="1">
        <v>157</v>
      </c>
      <c r="B158" s="1" t="s">
        <v>819</v>
      </c>
      <c r="C158" s="1" t="s">
        <v>820</v>
      </c>
      <c r="D158" s="1" t="s">
        <v>821</v>
      </c>
      <c r="E158" t="s">
        <v>24</v>
      </c>
      <c r="F158" t="s">
        <v>822</v>
      </c>
      <c r="G158" t="s">
        <v>110</v>
      </c>
      <c r="H158" t="s">
        <v>94</v>
      </c>
      <c r="I158" s="1" t="s">
        <v>28</v>
      </c>
      <c r="J158" t="s">
        <v>29</v>
      </c>
      <c r="K158" t="s">
        <v>29</v>
      </c>
      <c r="L158" s="1">
        <v>747254</v>
      </c>
      <c r="M158" s="1" t="s">
        <v>30</v>
      </c>
      <c r="N158" t="s">
        <v>823</v>
      </c>
      <c r="O158" t="s">
        <v>46</v>
      </c>
      <c r="P158" t="s">
        <v>47</v>
      </c>
      <c r="Q158" t="s">
        <v>48</v>
      </c>
      <c r="R158">
        <v>16676.75</v>
      </c>
      <c r="S158" s="25" t="e">
        <f>IF(Table1[[#This Row],[Sales]]=MIN(Table1[Sales]), Table1[[#This Row],[Sales]], NA())</f>
        <v>#N/A</v>
      </c>
      <c r="T158" s="25">
        <f>IF(AND(Table1[[#This Row],[Sales]]&lt;&gt;MIN(Table1[Sales]),Table1[[#This Row],[Sales]]&lt;&gt;MAX(Table1[Sales])), Table1[[#This Row],[Sales]], NA())</f>
        <v>16676.75</v>
      </c>
      <c r="U158" s="25" t="e">
        <f>IF(Table1[[#This Row],[Sales]]=MAX(Table1[Sales]), Table1[[#This Row],[Sales]], NA())</f>
        <v>#N/A</v>
      </c>
      <c r="V158">
        <v>10</v>
      </c>
      <c r="W158">
        <v>0.2</v>
      </c>
      <c r="X158">
        <v>500.3</v>
      </c>
      <c r="Y158" s="3">
        <f>YEAR(Table1[[#This Row],[Order Date]])</f>
        <v>2025</v>
      </c>
      <c r="Z158" s="3" t="str">
        <f>TEXT(Table1[[#This Row],[Order Date]],"MMM")</f>
        <v>May</v>
      </c>
      <c r="AA158" s="3">
        <f>DAY(Table1[[#This Row],[Order Date]])</f>
        <v>19</v>
      </c>
    </row>
    <row r="159" spans="1:27" x14ac:dyDescent="0.35">
      <c r="A159" s="1">
        <v>158</v>
      </c>
      <c r="B159" s="1" t="s">
        <v>824</v>
      </c>
      <c r="C159" s="1" t="s">
        <v>825</v>
      </c>
      <c r="D159" s="1" t="s">
        <v>826</v>
      </c>
      <c r="E159" t="s">
        <v>38</v>
      </c>
      <c r="F159" t="s">
        <v>827</v>
      </c>
      <c r="G159" t="s">
        <v>93</v>
      </c>
      <c r="H159" t="s">
        <v>27</v>
      </c>
      <c r="I159" s="1" t="s">
        <v>28</v>
      </c>
      <c r="J159" t="s">
        <v>128</v>
      </c>
      <c r="K159" t="s">
        <v>129</v>
      </c>
      <c r="L159" s="1">
        <v>942389</v>
      </c>
      <c r="M159" s="1" t="s">
        <v>66</v>
      </c>
      <c r="N159" t="s">
        <v>828</v>
      </c>
      <c r="O159" t="s">
        <v>46</v>
      </c>
      <c r="P159" t="s">
        <v>57</v>
      </c>
      <c r="Q159" t="s">
        <v>58</v>
      </c>
      <c r="R159">
        <v>4567.45</v>
      </c>
      <c r="S159" s="25" t="e">
        <f>IF(Table1[[#This Row],[Sales]]=MIN(Table1[Sales]), Table1[[#This Row],[Sales]], NA())</f>
        <v>#N/A</v>
      </c>
      <c r="T159" s="25">
        <f>IF(AND(Table1[[#This Row],[Sales]]&lt;&gt;MIN(Table1[Sales]),Table1[[#This Row],[Sales]]&lt;&gt;MAX(Table1[Sales])), Table1[[#This Row],[Sales]], NA())</f>
        <v>4567.45</v>
      </c>
      <c r="U159" s="25" t="e">
        <f>IF(Table1[[#This Row],[Sales]]=MAX(Table1[Sales]), Table1[[#This Row],[Sales]], NA())</f>
        <v>#N/A</v>
      </c>
      <c r="V159">
        <v>2</v>
      </c>
      <c r="W159">
        <v>0.2</v>
      </c>
      <c r="X159">
        <v>137.02000000000001</v>
      </c>
      <c r="Y159" s="3">
        <f>YEAR(Table1[[#This Row],[Order Date]])</f>
        <v>2022</v>
      </c>
      <c r="Z159" s="3" t="str">
        <f>TEXT(Table1[[#This Row],[Order Date]],"MMM")</f>
        <v>Sep</v>
      </c>
      <c r="AA159" s="3">
        <f>DAY(Table1[[#This Row],[Order Date]])</f>
        <v>26</v>
      </c>
    </row>
    <row r="160" spans="1:27" x14ac:dyDescent="0.35">
      <c r="A160" s="1">
        <v>159</v>
      </c>
      <c r="B160" s="1" t="s">
        <v>829</v>
      </c>
      <c r="C160" s="1" t="s">
        <v>830</v>
      </c>
      <c r="D160" s="1" t="s">
        <v>831</v>
      </c>
      <c r="E160" t="s">
        <v>62</v>
      </c>
      <c r="F160" t="s">
        <v>832</v>
      </c>
      <c r="G160" t="s">
        <v>40</v>
      </c>
      <c r="H160" t="s">
        <v>27</v>
      </c>
      <c r="I160" s="1" t="s">
        <v>28</v>
      </c>
      <c r="J160" t="s">
        <v>53</v>
      </c>
      <c r="K160" t="s">
        <v>54</v>
      </c>
      <c r="L160" s="1">
        <v>495402</v>
      </c>
      <c r="M160" s="1" t="s">
        <v>55</v>
      </c>
      <c r="N160" t="s">
        <v>833</v>
      </c>
      <c r="O160" t="s">
        <v>46</v>
      </c>
      <c r="P160" t="s">
        <v>47</v>
      </c>
      <c r="Q160" t="s">
        <v>48</v>
      </c>
      <c r="R160">
        <v>308.37</v>
      </c>
      <c r="S160" s="25">
        <f>IF(Table1[[#This Row],[Sales]]=MIN(Table1[Sales]), Table1[[#This Row],[Sales]], NA())</f>
        <v>308.37</v>
      </c>
      <c r="T160" s="25" t="e">
        <f>IF(AND(Table1[[#This Row],[Sales]]&lt;&gt;MIN(Table1[Sales]),Table1[[#This Row],[Sales]]&lt;&gt;MAX(Table1[Sales])), Table1[[#This Row],[Sales]], NA())</f>
        <v>#N/A</v>
      </c>
      <c r="U160" s="25" t="e">
        <f>IF(Table1[[#This Row],[Sales]]=MAX(Table1[Sales]), Table1[[#This Row],[Sales]], NA())</f>
        <v>#N/A</v>
      </c>
      <c r="V160">
        <v>6</v>
      </c>
      <c r="W160">
        <v>0.3</v>
      </c>
      <c r="X160">
        <v>1.54</v>
      </c>
      <c r="Y160" s="3">
        <f>YEAR(Table1[[#This Row],[Order Date]])</f>
        <v>2023</v>
      </c>
      <c r="Z160" s="3" t="str">
        <f>TEXT(Table1[[#This Row],[Order Date]],"MMM")</f>
        <v>Dec</v>
      </c>
      <c r="AA160" s="3">
        <f>DAY(Table1[[#This Row],[Order Date]])</f>
        <v>19</v>
      </c>
    </row>
    <row r="161" spans="1:27" x14ac:dyDescent="0.35">
      <c r="A161" s="1">
        <v>160</v>
      </c>
      <c r="B161" s="1" t="s">
        <v>834</v>
      </c>
      <c r="C161" s="1" t="s">
        <v>835</v>
      </c>
      <c r="D161" s="1" t="s">
        <v>836</v>
      </c>
      <c r="E161" t="s">
        <v>62</v>
      </c>
      <c r="F161" t="s">
        <v>837</v>
      </c>
      <c r="G161" t="s">
        <v>140</v>
      </c>
      <c r="H161" t="s">
        <v>27</v>
      </c>
      <c r="I161" s="1" t="s">
        <v>28</v>
      </c>
      <c r="J161" t="s">
        <v>29</v>
      </c>
      <c r="K161" t="s">
        <v>29</v>
      </c>
      <c r="L161" s="1">
        <v>438748</v>
      </c>
      <c r="M161" s="1" t="s">
        <v>30</v>
      </c>
      <c r="N161" t="s">
        <v>838</v>
      </c>
      <c r="O161" t="s">
        <v>68</v>
      </c>
      <c r="P161" t="s">
        <v>69</v>
      </c>
      <c r="Q161" t="s">
        <v>70</v>
      </c>
      <c r="R161">
        <v>91114.26</v>
      </c>
      <c r="S161" s="25" t="e">
        <f>IF(Table1[[#This Row],[Sales]]=MIN(Table1[Sales]), Table1[[#This Row],[Sales]], NA())</f>
        <v>#N/A</v>
      </c>
      <c r="T161" s="25">
        <f>IF(AND(Table1[[#This Row],[Sales]]&lt;&gt;MIN(Table1[Sales]),Table1[[#This Row],[Sales]]&lt;&gt;MAX(Table1[Sales])), Table1[[#This Row],[Sales]], NA())</f>
        <v>91114.26</v>
      </c>
      <c r="U161" s="25" t="e">
        <f>IF(Table1[[#This Row],[Sales]]=MAX(Table1[Sales]), Table1[[#This Row],[Sales]], NA())</f>
        <v>#N/A</v>
      </c>
      <c r="V161">
        <v>7</v>
      </c>
      <c r="W161">
        <v>0.1</v>
      </c>
      <c r="X161">
        <v>5011.28</v>
      </c>
      <c r="Y161" s="3">
        <f>YEAR(Table1[[#This Row],[Order Date]])</f>
        <v>2023</v>
      </c>
      <c r="Z161" s="3" t="str">
        <f>TEXT(Table1[[#This Row],[Order Date]],"MMM")</f>
        <v>Mar</v>
      </c>
      <c r="AA161" s="3">
        <f>DAY(Table1[[#This Row],[Order Date]])</f>
        <v>25</v>
      </c>
    </row>
    <row r="162" spans="1:27" x14ac:dyDescent="0.35">
      <c r="A162" s="1">
        <v>161</v>
      </c>
      <c r="B162" s="1" t="s">
        <v>839</v>
      </c>
      <c r="C162" s="1" t="s">
        <v>840</v>
      </c>
      <c r="D162" s="1" t="s">
        <v>841</v>
      </c>
      <c r="E162" t="s">
        <v>24</v>
      </c>
      <c r="F162" t="s">
        <v>842</v>
      </c>
      <c r="G162" t="s">
        <v>93</v>
      </c>
      <c r="H162" t="s">
        <v>94</v>
      </c>
      <c r="I162" s="1" t="s">
        <v>28</v>
      </c>
      <c r="J162" t="s">
        <v>29</v>
      </c>
      <c r="K162" t="s">
        <v>29</v>
      </c>
      <c r="L162" s="1">
        <v>517246</v>
      </c>
      <c r="M162" s="1" t="s">
        <v>30</v>
      </c>
      <c r="N162" t="s">
        <v>843</v>
      </c>
      <c r="O162" t="s">
        <v>46</v>
      </c>
      <c r="P162" t="s">
        <v>57</v>
      </c>
      <c r="Q162" t="s">
        <v>58</v>
      </c>
      <c r="R162">
        <v>87523.42</v>
      </c>
      <c r="S162" s="25" t="e">
        <f>IF(Table1[[#This Row],[Sales]]=MIN(Table1[Sales]), Table1[[#This Row],[Sales]], NA())</f>
        <v>#N/A</v>
      </c>
      <c r="T162" s="25">
        <f>IF(AND(Table1[[#This Row],[Sales]]&lt;&gt;MIN(Table1[Sales]),Table1[[#This Row],[Sales]]&lt;&gt;MAX(Table1[Sales])), Table1[[#This Row],[Sales]], NA())</f>
        <v>87523.42</v>
      </c>
      <c r="U162" s="25" t="e">
        <f>IF(Table1[[#This Row],[Sales]]=MAX(Table1[Sales]), Table1[[#This Row],[Sales]], NA())</f>
        <v>#N/A</v>
      </c>
      <c r="V162">
        <v>2</v>
      </c>
      <c r="W162">
        <v>0.3</v>
      </c>
      <c r="X162">
        <v>437.62</v>
      </c>
      <c r="Y162" s="3">
        <f>YEAR(Table1[[#This Row],[Order Date]])</f>
        <v>2024</v>
      </c>
      <c r="Z162" s="3" t="str">
        <f>TEXT(Table1[[#This Row],[Order Date]],"MMM")</f>
        <v>Feb</v>
      </c>
      <c r="AA162" s="3">
        <f>DAY(Table1[[#This Row],[Order Date]])</f>
        <v>11</v>
      </c>
    </row>
    <row r="163" spans="1:27" x14ac:dyDescent="0.35">
      <c r="A163" s="1">
        <v>162</v>
      </c>
      <c r="B163" s="1" t="s">
        <v>844</v>
      </c>
      <c r="C163" s="1" t="s">
        <v>845</v>
      </c>
      <c r="D163" s="1" t="s">
        <v>846</v>
      </c>
      <c r="E163" t="s">
        <v>62</v>
      </c>
      <c r="F163" t="s">
        <v>847</v>
      </c>
      <c r="G163" t="s">
        <v>110</v>
      </c>
      <c r="H163" t="s">
        <v>41</v>
      </c>
      <c r="I163" s="1" t="s">
        <v>28</v>
      </c>
      <c r="J163" t="s">
        <v>64</v>
      </c>
      <c r="K163" t="s">
        <v>65</v>
      </c>
      <c r="L163" s="1">
        <v>396950</v>
      </c>
      <c r="M163" s="1" t="s">
        <v>66</v>
      </c>
      <c r="N163" t="s">
        <v>848</v>
      </c>
      <c r="O163" t="s">
        <v>46</v>
      </c>
      <c r="P163" t="s">
        <v>47</v>
      </c>
      <c r="Q163" t="s">
        <v>48</v>
      </c>
      <c r="R163">
        <v>64207.3</v>
      </c>
      <c r="S163" s="25" t="e">
        <f>IF(Table1[[#This Row],[Sales]]=MIN(Table1[Sales]), Table1[[#This Row],[Sales]], NA())</f>
        <v>#N/A</v>
      </c>
      <c r="T163" s="25">
        <f>IF(AND(Table1[[#This Row],[Sales]]&lt;&gt;MIN(Table1[Sales]),Table1[[#This Row],[Sales]]&lt;&gt;MAX(Table1[Sales])), Table1[[#This Row],[Sales]], NA())</f>
        <v>64207.3</v>
      </c>
      <c r="U163" s="25" t="e">
        <f>IF(Table1[[#This Row],[Sales]]=MAX(Table1[Sales]), Table1[[#This Row],[Sales]], NA())</f>
        <v>#N/A</v>
      </c>
      <c r="V163">
        <v>2</v>
      </c>
      <c r="W163">
        <v>0</v>
      </c>
      <c r="X163">
        <v>5136.58</v>
      </c>
      <c r="Y163" s="3">
        <f>YEAR(Table1[[#This Row],[Order Date]])</f>
        <v>2025</v>
      </c>
      <c r="Z163" s="3" t="str">
        <f>TEXT(Table1[[#This Row],[Order Date]],"MMM")</f>
        <v>Dec</v>
      </c>
      <c r="AA163" s="3">
        <f>DAY(Table1[[#This Row],[Order Date]])</f>
        <v>5</v>
      </c>
    </row>
    <row r="164" spans="1:27" x14ac:dyDescent="0.35">
      <c r="A164" s="1">
        <v>163</v>
      </c>
      <c r="B164" s="1" t="s">
        <v>849</v>
      </c>
      <c r="C164" s="1" t="s">
        <v>850</v>
      </c>
      <c r="D164" s="1" t="s">
        <v>851</v>
      </c>
      <c r="E164" t="s">
        <v>24</v>
      </c>
      <c r="F164" t="s">
        <v>852</v>
      </c>
      <c r="G164" t="s">
        <v>140</v>
      </c>
      <c r="H164" t="s">
        <v>27</v>
      </c>
      <c r="I164" s="1" t="s">
        <v>28</v>
      </c>
      <c r="J164" t="s">
        <v>53</v>
      </c>
      <c r="K164" t="s">
        <v>54</v>
      </c>
      <c r="L164" s="1">
        <v>203621</v>
      </c>
      <c r="M164" s="1" t="s">
        <v>55</v>
      </c>
      <c r="N164" t="s">
        <v>853</v>
      </c>
      <c r="O164" t="s">
        <v>68</v>
      </c>
      <c r="P164" t="s">
        <v>69</v>
      </c>
      <c r="Q164" t="s">
        <v>70</v>
      </c>
      <c r="R164">
        <v>81373.62</v>
      </c>
      <c r="S164" s="25" t="e">
        <f>IF(Table1[[#This Row],[Sales]]=MIN(Table1[Sales]), Table1[[#This Row],[Sales]], NA())</f>
        <v>#N/A</v>
      </c>
      <c r="T164" s="25">
        <f>IF(AND(Table1[[#This Row],[Sales]]&lt;&gt;MIN(Table1[Sales]),Table1[[#This Row],[Sales]]&lt;&gt;MAX(Table1[Sales])), Table1[[#This Row],[Sales]], NA())</f>
        <v>81373.62</v>
      </c>
      <c r="U164" s="25" t="e">
        <f>IF(Table1[[#This Row],[Sales]]=MAX(Table1[Sales]), Table1[[#This Row],[Sales]], NA())</f>
        <v>#N/A</v>
      </c>
      <c r="V164">
        <v>1</v>
      </c>
      <c r="W164">
        <v>0.2</v>
      </c>
      <c r="X164">
        <v>2441.21</v>
      </c>
      <c r="Y164" s="3">
        <f>YEAR(Table1[[#This Row],[Order Date]])</f>
        <v>2024</v>
      </c>
      <c r="Z164" s="3" t="str">
        <f>TEXT(Table1[[#This Row],[Order Date]],"MMM")</f>
        <v>Dec</v>
      </c>
      <c r="AA164" s="3">
        <f>DAY(Table1[[#This Row],[Order Date]])</f>
        <v>19</v>
      </c>
    </row>
    <row r="165" spans="1:27" x14ac:dyDescent="0.35">
      <c r="A165" s="1">
        <v>164</v>
      </c>
      <c r="B165" s="1" t="s">
        <v>854</v>
      </c>
      <c r="C165" s="1" t="s">
        <v>855</v>
      </c>
      <c r="D165" s="1" t="s">
        <v>856</v>
      </c>
      <c r="E165" t="s">
        <v>62</v>
      </c>
      <c r="F165" t="s">
        <v>857</v>
      </c>
      <c r="G165" t="s">
        <v>87</v>
      </c>
      <c r="H165" t="s">
        <v>41</v>
      </c>
      <c r="I165" s="1" t="s">
        <v>28</v>
      </c>
      <c r="J165" t="s">
        <v>42</v>
      </c>
      <c r="K165" t="s">
        <v>43</v>
      </c>
      <c r="L165" s="1">
        <v>128643</v>
      </c>
      <c r="M165" s="1" t="s">
        <v>44</v>
      </c>
      <c r="N165" t="s">
        <v>858</v>
      </c>
      <c r="O165" t="s">
        <v>46</v>
      </c>
      <c r="P165" t="s">
        <v>57</v>
      </c>
      <c r="Q165" t="s">
        <v>58</v>
      </c>
      <c r="R165">
        <v>46042.43</v>
      </c>
      <c r="S165" s="25" t="e">
        <f>IF(Table1[[#This Row],[Sales]]=MIN(Table1[Sales]), Table1[[#This Row],[Sales]], NA())</f>
        <v>#N/A</v>
      </c>
      <c r="T165" s="25">
        <f>IF(AND(Table1[[#This Row],[Sales]]&lt;&gt;MIN(Table1[Sales]),Table1[[#This Row],[Sales]]&lt;&gt;MAX(Table1[Sales])), Table1[[#This Row],[Sales]], NA())</f>
        <v>46042.43</v>
      </c>
      <c r="U165" s="25" t="e">
        <f>IF(Table1[[#This Row],[Sales]]=MAX(Table1[Sales]), Table1[[#This Row],[Sales]], NA())</f>
        <v>#N/A</v>
      </c>
      <c r="V165">
        <v>4</v>
      </c>
      <c r="W165">
        <v>0.3</v>
      </c>
      <c r="X165">
        <v>230.21</v>
      </c>
      <c r="Y165" s="3">
        <f>YEAR(Table1[[#This Row],[Order Date]])</f>
        <v>2022</v>
      </c>
      <c r="Z165" s="3" t="str">
        <f>TEXT(Table1[[#This Row],[Order Date]],"MMM")</f>
        <v>Dec</v>
      </c>
      <c r="AA165" s="3">
        <f>DAY(Table1[[#This Row],[Order Date]])</f>
        <v>23</v>
      </c>
    </row>
    <row r="166" spans="1:27" x14ac:dyDescent="0.35">
      <c r="A166" s="1">
        <v>165</v>
      </c>
      <c r="B166" s="1" t="s">
        <v>859</v>
      </c>
      <c r="C166" s="1" t="s">
        <v>860</v>
      </c>
      <c r="D166" s="1" t="s">
        <v>861</v>
      </c>
      <c r="E166" t="s">
        <v>38</v>
      </c>
      <c r="F166" t="s">
        <v>862</v>
      </c>
      <c r="G166" t="s">
        <v>26</v>
      </c>
      <c r="H166" t="s">
        <v>27</v>
      </c>
      <c r="I166" s="1" t="s">
        <v>28</v>
      </c>
      <c r="J166" t="s">
        <v>128</v>
      </c>
      <c r="K166" t="s">
        <v>129</v>
      </c>
      <c r="L166" s="1">
        <v>392737</v>
      </c>
      <c r="M166" s="1" t="s">
        <v>66</v>
      </c>
      <c r="N166" t="s">
        <v>863</v>
      </c>
      <c r="O166" t="s">
        <v>68</v>
      </c>
      <c r="P166" t="s">
        <v>69</v>
      </c>
      <c r="Q166" t="s">
        <v>70</v>
      </c>
      <c r="R166">
        <v>14322.88</v>
      </c>
      <c r="S166" s="25" t="e">
        <f>IF(Table1[[#This Row],[Sales]]=MIN(Table1[Sales]), Table1[[#This Row],[Sales]], NA())</f>
        <v>#N/A</v>
      </c>
      <c r="T166" s="25">
        <f>IF(AND(Table1[[#This Row],[Sales]]&lt;&gt;MIN(Table1[Sales]),Table1[[#This Row],[Sales]]&lt;&gt;MAX(Table1[Sales])), Table1[[#This Row],[Sales]], NA())</f>
        <v>14322.88</v>
      </c>
      <c r="U166" s="25" t="e">
        <f>IF(Table1[[#This Row],[Sales]]=MAX(Table1[Sales]), Table1[[#This Row],[Sales]], NA())</f>
        <v>#N/A</v>
      </c>
      <c r="V166">
        <v>10</v>
      </c>
      <c r="W166">
        <v>0</v>
      </c>
      <c r="X166">
        <v>1145.83</v>
      </c>
      <c r="Y166" s="3">
        <f>YEAR(Table1[[#This Row],[Order Date]])</f>
        <v>2022</v>
      </c>
      <c r="Z166" s="3" t="str">
        <f>TEXT(Table1[[#This Row],[Order Date]],"MMM")</f>
        <v>Dec</v>
      </c>
      <c r="AA166" s="3">
        <f>DAY(Table1[[#This Row],[Order Date]])</f>
        <v>25</v>
      </c>
    </row>
    <row r="167" spans="1:27" x14ac:dyDescent="0.35">
      <c r="A167" s="1">
        <v>166</v>
      </c>
      <c r="B167" s="1" t="s">
        <v>864</v>
      </c>
      <c r="C167" s="1" t="s">
        <v>865</v>
      </c>
      <c r="D167" s="1" t="s">
        <v>866</v>
      </c>
      <c r="E167" t="s">
        <v>62</v>
      </c>
      <c r="F167" t="s">
        <v>867</v>
      </c>
      <c r="G167" t="s">
        <v>122</v>
      </c>
      <c r="H167" t="s">
        <v>27</v>
      </c>
      <c r="I167" s="1" t="s">
        <v>28</v>
      </c>
      <c r="J167" t="s">
        <v>29</v>
      </c>
      <c r="K167" t="s">
        <v>29</v>
      </c>
      <c r="L167" s="1">
        <v>729641</v>
      </c>
      <c r="M167" s="1" t="s">
        <v>30</v>
      </c>
      <c r="N167" t="s">
        <v>868</v>
      </c>
      <c r="O167" t="s">
        <v>46</v>
      </c>
      <c r="P167" t="s">
        <v>57</v>
      </c>
      <c r="Q167" t="s">
        <v>58</v>
      </c>
      <c r="R167">
        <v>21424.17</v>
      </c>
      <c r="S167" s="25" t="e">
        <f>IF(Table1[[#This Row],[Sales]]=MIN(Table1[Sales]), Table1[[#This Row],[Sales]], NA())</f>
        <v>#N/A</v>
      </c>
      <c r="T167" s="25">
        <f>IF(AND(Table1[[#This Row],[Sales]]&lt;&gt;MIN(Table1[Sales]),Table1[[#This Row],[Sales]]&lt;&gt;MAX(Table1[Sales])), Table1[[#This Row],[Sales]], NA())</f>
        <v>21424.17</v>
      </c>
      <c r="U167" s="25" t="e">
        <f>IF(Table1[[#This Row],[Sales]]=MAX(Table1[Sales]), Table1[[#This Row],[Sales]], NA())</f>
        <v>#N/A</v>
      </c>
      <c r="V167">
        <v>1</v>
      </c>
      <c r="W167">
        <v>0.3</v>
      </c>
      <c r="X167">
        <v>107.12</v>
      </c>
      <c r="Y167" s="3">
        <f>YEAR(Table1[[#This Row],[Order Date]])</f>
        <v>2024</v>
      </c>
      <c r="Z167" s="3" t="str">
        <f>TEXT(Table1[[#This Row],[Order Date]],"MMM")</f>
        <v>Feb</v>
      </c>
      <c r="AA167" s="3">
        <f>DAY(Table1[[#This Row],[Order Date]])</f>
        <v>8</v>
      </c>
    </row>
    <row r="168" spans="1:27" x14ac:dyDescent="0.35">
      <c r="A168" s="1">
        <v>167</v>
      </c>
      <c r="B168" s="1" t="s">
        <v>869</v>
      </c>
      <c r="C168" s="1" t="s">
        <v>870</v>
      </c>
      <c r="D168" s="1" t="s">
        <v>871</v>
      </c>
      <c r="E168" t="s">
        <v>115</v>
      </c>
      <c r="F168" t="s">
        <v>872</v>
      </c>
      <c r="G168" t="s">
        <v>81</v>
      </c>
      <c r="H168" t="s">
        <v>27</v>
      </c>
      <c r="I168" s="1" t="s">
        <v>28</v>
      </c>
      <c r="J168" t="s">
        <v>64</v>
      </c>
      <c r="K168" t="s">
        <v>65</v>
      </c>
      <c r="L168" s="1">
        <v>431350</v>
      </c>
      <c r="M168" s="1" t="s">
        <v>66</v>
      </c>
      <c r="N168" t="s">
        <v>873</v>
      </c>
      <c r="O168" t="s">
        <v>32</v>
      </c>
      <c r="P168" t="s">
        <v>33</v>
      </c>
      <c r="Q168" t="s">
        <v>34</v>
      </c>
      <c r="R168">
        <v>83147.7</v>
      </c>
      <c r="S168" s="25" t="e">
        <f>IF(Table1[[#This Row],[Sales]]=MIN(Table1[Sales]), Table1[[#This Row],[Sales]], NA())</f>
        <v>#N/A</v>
      </c>
      <c r="T168" s="25">
        <f>IF(AND(Table1[[#This Row],[Sales]]&lt;&gt;MIN(Table1[Sales]),Table1[[#This Row],[Sales]]&lt;&gt;MAX(Table1[Sales])), Table1[[#This Row],[Sales]], NA())</f>
        <v>83147.7</v>
      </c>
      <c r="U168" s="25" t="e">
        <f>IF(Table1[[#This Row],[Sales]]=MAX(Table1[Sales]), Table1[[#This Row],[Sales]], NA())</f>
        <v>#N/A</v>
      </c>
      <c r="V168">
        <v>7</v>
      </c>
      <c r="W168">
        <v>0</v>
      </c>
      <c r="X168">
        <v>6651.82</v>
      </c>
      <c r="Y168" s="3">
        <f>YEAR(Table1[[#This Row],[Order Date]])</f>
        <v>2024</v>
      </c>
      <c r="Z168" s="3" t="str">
        <f>TEXT(Table1[[#This Row],[Order Date]],"MMM")</f>
        <v>Oct</v>
      </c>
      <c r="AA168" s="3">
        <f>DAY(Table1[[#This Row],[Order Date]])</f>
        <v>28</v>
      </c>
    </row>
    <row r="169" spans="1:27" x14ac:dyDescent="0.35">
      <c r="A169" s="1">
        <v>168</v>
      </c>
      <c r="B169" s="1" t="s">
        <v>874</v>
      </c>
      <c r="C169" s="1" t="s">
        <v>875</v>
      </c>
      <c r="D169" s="1" t="s">
        <v>876</v>
      </c>
      <c r="E169" t="s">
        <v>62</v>
      </c>
      <c r="F169" t="s">
        <v>877</v>
      </c>
      <c r="G169" t="s">
        <v>140</v>
      </c>
      <c r="H169" t="s">
        <v>41</v>
      </c>
      <c r="I169" s="1" t="s">
        <v>28</v>
      </c>
      <c r="J169" t="s">
        <v>64</v>
      </c>
      <c r="K169" t="s">
        <v>65</v>
      </c>
      <c r="L169" s="1">
        <v>901433</v>
      </c>
      <c r="M169" s="1" t="s">
        <v>66</v>
      </c>
      <c r="N169" t="s">
        <v>878</v>
      </c>
      <c r="O169" t="s">
        <v>32</v>
      </c>
      <c r="P169" t="s">
        <v>33</v>
      </c>
      <c r="Q169" t="s">
        <v>34</v>
      </c>
      <c r="R169">
        <v>12411.25</v>
      </c>
      <c r="S169" s="25" t="e">
        <f>IF(Table1[[#This Row],[Sales]]=MIN(Table1[Sales]), Table1[[#This Row],[Sales]], NA())</f>
        <v>#N/A</v>
      </c>
      <c r="T169" s="25">
        <f>IF(AND(Table1[[#This Row],[Sales]]&lt;&gt;MIN(Table1[Sales]),Table1[[#This Row],[Sales]]&lt;&gt;MAX(Table1[Sales])), Table1[[#This Row],[Sales]], NA())</f>
        <v>12411.25</v>
      </c>
      <c r="U169" s="25" t="e">
        <f>IF(Table1[[#This Row],[Sales]]=MAX(Table1[Sales]), Table1[[#This Row],[Sales]], NA())</f>
        <v>#N/A</v>
      </c>
      <c r="V169">
        <v>6</v>
      </c>
      <c r="W169">
        <v>0.1</v>
      </c>
      <c r="X169">
        <v>682.62</v>
      </c>
      <c r="Y169" s="3">
        <f>YEAR(Table1[[#This Row],[Order Date]])</f>
        <v>2022</v>
      </c>
      <c r="Z169" s="3" t="str">
        <f>TEXT(Table1[[#This Row],[Order Date]],"MMM")</f>
        <v>Jul</v>
      </c>
      <c r="AA169" s="3">
        <f>DAY(Table1[[#This Row],[Order Date]])</f>
        <v>17</v>
      </c>
    </row>
    <row r="170" spans="1:27" x14ac:dyDescent="0.35">
      <c r="A170" s="1">
        <v>169</v>
      </c>
      <c r="B170" s="1" t="s">
        <v>879</v>
      </c>
      <c r="C170" s="1" t="s">
        <v>880</v>
      </c>
      <c r="D170" s="1" t="s">
        <v>202</v>
      </c>
      <c r="E170" t="s">
        <v>62</v>
      </c>
      <c r="F170" t="s">
        <v>881</v>
      </c>
      <c r="G170" t="s">
        <v>40</v>
      </c>
      <c r="H170" t="s">
        <v>41</v>
      </c>
      <c r="I170" s="1" t="s">
        <v>28</v>
      </c>
      <c r="J170" t="s">
        <v>64</v>
      </c>
      <c r="K170" t="s">
        <v>65</v>
      </c>
      <c r="L170" s="1">
        <v>853015</v>
      </c>
      <c r="M170" s="1" t="s">
        <v>66</v>
      </c>
      <c r="N170" t="s">
        <v>882</v>
      </c>
      <c r="O170" t="s">
        <v>68</v>
      </c>
      <c r="P170" t="s">
        <v>69</v>
      </c>
      <c r="Q170" t="s">
        <v>70</v>
      </c>
      <c r="R170">
        <v>18672.71</v>
      </c>
      <c r="S170" s="25" t="e">
        <f>IF(Table1[[#This Row],[Sales]]=MIN(Table1[Sales]), Table1[[#This Row],[Sales]], NA())</f>
        <v>#N/A</v>
      </c>
      <c r="T170" s="25">
        <f>IF(AND(Table1[[#This Row],[Sales]]&lt;&gt;MIN(Table1[Sales]),Table1[[#This Row],[Sales]]&lt;&gt;MAX(Table1[Sales])), Table1[[#This Row],[Sales]], NA())</f>
        <v>18672.71</v>
      </c>
      <c r="U170" s="25" t="e">
        <f>IF(Table1[[#This Row],[Sales]]=MAX(Table1[Sales]), Table1[[#This Row],[Sales]], NA())</f>
        <v>#N/A</v>
      </c>
      <c r="V170">
        <v>7</v>
      </c>
      <c r="W170">
        <v>0.3</v>
      </c>
      <c r="X170">
        <v>93.36</v>
      </c>
      <c r="Y170" s="3">
        <f>YEAR(Table1[[#This Row],[Order Date]])</f>
        <v>2022</v>
      </c>
      <c r="Z170" s="3" t="str">
        <f>TEXT(Table1[[#This Row],[Order Date]],"MMM")</f>
        <v>Oct</v>
      </c>
      <c r="AA170" s="3">
        <f>DAY(Table1[[#This Row],[Order Date]])</f>
        <v>28</v>
      </c>
    </row>
    <row r="171" spans="1:27" x14ac:dyDescent="0.35">
      <c r="A171" s="1">
        <v>170</v>
      </c>
      <c r="B171" s="1" t="s">
        <v>883</v>
      </c>
      <c r="C171" s="1" t="s">
        <v>884</v>
      </c>
      <c r="D171" s="1" t="s">
        <v>885</v>
      </c>
      <c r="E171" t="s">
        <v>115</v>
      </c>
      <c r="F171" t="s">
        <v>886</v>
      </c>
      <c r="G171" t="s">
        <v>140</v>
      </c>
      <c r="H171" t="s">
        <v>41</v>
      </c>
      <c r="I171" s="1" t="s">
        <v>28</v>
      </c>
      <c r="J171" t="s">
        <v>42</v>
      </c>
      <c r="K171" t="s">
        <v>43</v>
      </c>
      <c r="L171" s="1">
        <v>726964</v>
      </c>
      <c r="M171" s="1" t="s">
        <v>44</v>
      </c>
      <c r="N171" t="s">
        <v>887</v>
      </c>
      <c r="O171" t="s">
        <v>68</v>
      </c>
      <c r="P171" t="s">
        <v>69</v>
      </c>
      <c r="Q171" t="s">
        <v>70</v>
      </c>
      <c r="R171">
        <v>9054.23</v>
      </c>
      <c r="S171" s="25" t="e">
        <f>IF(Table1[[#This Row],[Sales]]=MIN(Table1[Sales]), Table1[[#This Row],[Sales]], NA())</f>
        <v>#N/A</v>
      </c>
      <c r="T171" s="25">
        <f>IF(AND(Table1[[#This Row],[Sales]]&lt;&gt;MIN(Table1[Sales]),Table1[[#This Row],[Sales]]&lt;&gt;MAX(Table1[Sales])), Table1[[#This Row],[Sales]], NA())</f>
        <v>9054.23</v>
      </c>
      <c r="U171" s="25" t="e">
        <f>IF(Table1[[#This Row],[Sales]]=MAX(Table1[Sales]), Table1[[#This Row],[Sales]], NA())</f>
        <v>#N/A</v>
      </c>
      <c r="V171">
        <v>10</v>
      </c>
      <c r="W171">
        <v>0</v>
      </c>
      <c r="X171">
        <v>724.34</v>
      </c>
      <c r="Y171" s="3">
        <f>YEAR(Table1[[#This Row],[Order Date]])</f>
        <v>2023</v>
      </c>
      <c r="Z171" s="3" t="str">
        <f>TEXT(Table1[[#This Row],[Order Date]],"MMM")</f>
        <v>Oct</v>
      </c>
      <c r="AA171" s="3">
        <f>DAY(Table1[[#This Row],[Order Date]])</f>
        <v>10</v>
      </c>
    </row>
    <row r="172" spans="1:27" x14ac:dyDescent="0.35">
      <c r="A172" s="1">
        <v>171</v>
      </c>
      <c r="B172" s="1" t="s">
        <v>888</v>
      </c>
      <c r="C172" s="1" t="s">
        <v>889</v>
      </c>
      <c r="D172" s="1" t="s">
        <v>185</v>
      </c>
      <c r="E172" t="s">
        <v>62</v>
      </c>
      <c r="F172" t="s">
        <v>890</v>
      </c>
      <c r="G172" t="s">
        <v>93</v>
      </c>
      <c r="H172" t="s">
        <v>94</v>
      </c>
      <c r="I172" s="1" t="s">
        <v>28</v>
      </c>
      <c r="J172" t="s">
        <v>42</v>
      </c>
      <c r="K172" t="s">
        <v>43</v>
      </c>
      <c r="L172" s="1">
        <v>769181</v>
      </c>
      <c r="M172" s="1" t="s">
        <v>44</v>
      </c>
      <c r="N172" t="s">
        <v>891</v>
      </c>
      <c r="O172" t="s">
        <v>46</v>
      </c>
      <c r="P172" t="s">
        <v>47</v>
      </c>
      <c r="Q172" t="s">
        <v>48</v>
      </c>
      <c r="R172">
        <v>44883.76</v>
      </c>
      <c r="S172" s="25" t="e">
        <f>IF(Table1[[#This Row],[Sales]]=MIN(Table1[Sales]), Table1[[#This Row],[Sales]], NA())</f>
        <v>#N/A</v>
      </c>
      <c r="T172" s="25">
        <f>IF(AND(Table1[[#This Row],[Sales]]&lt;&gt;MIN(Table1[Sales]),Table1[[#This Row],[Sales]]&lt;&gt;MAX(Table1[Sales])), Table1[[#This Row],[Sales]], NA())</f>
        <v>44883.76</v>
      </c>
      <c r="U172" s="25" t="e">
        <f>IF(Table1[[#This Row],[Sales]]=MAX(Table1[Sales]), Table1[[#This Row],[Sales]], NA())</f>
        <v>#N/A</v>
      </c>
      <c r="V172">
        <v>4</v>
      </c>
      <c r="W172">
        <v>0.1</v>
      </c>
      <c r="X172">
        <v>2468.61</v>
      </c>
      <c r="Y172" s="3">
        <f>YEAR(Table1[[#This Row],[Order Date]])</f>
        <v>2022</v>
      </c>
      <c r="Z172" s="3" t="str">
        <f>TEXT(Table1[[#This Row],[Order Date]],"MMM")</f>
        <v>Feb</v>
      </c>
      <c r="AA172" s="3">
        <f>DAY(Table1[[#This Row],[Order Date]])</f>
        <v>7</v>
      </c>
    </row>
    <row r="173" spans="1:27" x14ac:dyDescent="0.35">
      <c r="A173" s="1">
        <v>172</v>
      </c>
      <c r="B173" s="1" t="s">
        <v>892</v>
      </c>
      <c r="C173" s="1" t="s">
        <v>456</v>
      </c>
      <c r="D173" s="1" t="s">
        <v>893</v>
      </c>
      <c r="E173" t="s">
        <v>24</v>
      </c>
      <c r="F173" t="s">
        <v>894</v>
      </c>
      <c r="G173" t="s">
        <v>81</v>
      </c>
      <c r="H173" t="s">
        <v>27</v>
      </c>
      <c r="I173" s="1" t="s">
        <v>28</v>
      </c>
      <c r="J173" t="s">
        <v>53</v>
      </c>
      <c r="K173" t="s">
        <v>54</v>
      </c>
      <c r="L173" s="1">
        <v>405910</v>
      </c>
      <c r="M173" s="1" t="s">
        <v>55</v>
      </c>
      <c r="N173" t="s">
        <v>895</v>
      </c>
      <c r="O173" t="s">
        <v>32</v>
      </c>
      <c r="P173" t="s">
        <v>33</v>
      </c>
      <c r="Q173" t="s">
        <v>34</v>
      </c>
      <c r="R173">
        <v>85889.2</v>
      </c>
      <c r="S173" s="25" t="e">
        <f>IF(Table1[[#This Row],[Sales]]=MIN(Table1[Sales]), Table1[[#This Row],[Sales]], NA())</f>
        <v>#N/A</v>
      </c>
      <c r="T173" s="25">
        <f>IF(AND(Table1[[#This Row],[Sales]]&lt;&gt;MIN(Table1[Sales]),Table1[[#This Row],[Sales]]&lt;&gt;MAX(Table1[Sales])), Table1[[#This Row],[Sales]], NA())</f>
        <v>85889.2</v>
      </c>
      <c r="U173" s="25" t="e">
        <f>IF(Table1[[#This Row],[Sales]]=MAX(Table1[Sales]), Table1[[#This Row],[Sales]], NA())</f>
        <v>#N/A</v>
      </c>
      <c r="V173">
        <v>8</v>
      </c>
      <c r="W173">
        <v>0.3</v>
      </c>
      <c r="X173">
        <v>429.45</v>
      </c>
      <c r="Y173" s="3">
        <f>YEAR(Table1[[#This Row],[Order Date]])</f>
        <v>2024</v>
      </c>
      <c r="Z173" s="3" t="str">
        <f>TEXT(Table1[[#This Row],[Order Date]],"MMM")</f>
        <v>Nov</v>
      </c>
      <c r="AA173" s="3">
        <f>DAY(Table1[[#This Row],[Order Date]])</f>
        <v>19</v>
      </c>
    </row>
    <row r="174" spans="1:27" x14ac:dyDescent="0.35">
      <c r="A174" s="1">
        <v>173</v>
      </c>
      <c r="B174" s="1" t="s">
        <v>896</v>
      </c>
      <c r="C174" s="1" t="s">
        <v>897</v>
      </c>
      <c r="D174" s="1" t="s">
        <v>898</v>
      </c>
      <c r="E174" t="s">
        <v>115</v>
      </c>
      <c r="F174" t="s">
        <v>899</v>
      </c>
      <c r="G174" t="s">
        <v>87</v>
      </c>
      <c r="H174" t="s">
        <v>94</v>
      </c>
      <c r="I174" s="1" t="s">
        <v>28</v>
      </c>
      <c r="J174" t="s">
        <v>64</v>
      </c>
      <c r="K174" t="s">
        <v>65</v>
      </c>
      <c r="L174" s="1">
        <v>440737</v>
      </c>
      <c r="M174" s="1" t="s">
        <v>66</v>
      </c>
      <c r="N174" t="s">
        <v>900</v>
      </c>
      <c r="O174" t="s">
        <v>32</v>
      </c>
      <c r="P174" t="s">
        <v>33</v>
      </c>
      <c r="Q174" t="s">
        <v>34</v>
      </c>
      <c r="R174">
        <v>99041.39</v>
      </c>
      <c r="S174" s="25" t="e">
        <f>IF(Table1[[#This Row],[Sales]]=MIN(Table1[Sales]), Table1[[#This Row],[Sales]], NA())</f>
        <v>#N/A</v>
      </c>
      <c r="T174" s="25">
        <f>IF(AND(Table1[[#This Row],[Sales]]&lt;&gt;MIN(Table1[Sales]),Table1[[#This Row],[Sales]]&lt;&gt;MAX(Table1[Sales])), Table1[[#This Row],[Sales]], NA())</f>
        <v>99041.39</v>
      </c>
      <c r="U174" s="25" t="e">
        <f>IF(Table1[[#This Row],[Sales]]=MAX(Table1[Sales]), Table1[[#This Row],[Sales]], NA())</f>
        <v>#N/A</v>
      </c>
      <c r="V174">
        <v>2</v>
      </c>
      <c r="W174">
        <v>0.2</v>
      </c>
      <c r="X174">
        <v>2971.24</v>
      </c>
      <c r="Y174" s="3">
        <f>YEAR(Table1[[#This Row],[Order Date]])</f>
        <v>2025</v>
      </c>
      <c r="Z174" s="3" t="str">
        <f>TEXT(Table1[[#This Row],[Order Date]],"MMM")</f>
        <v>May</v>
      </c>
      <c r="AA174" s="3">
        <f>DAY(Table1[[#This Row],[Order Date]])</f>
        <v>31</v>
      </c>
    </row>
    <row r="175" spans="1:27" x14ac:dyDescent="0.35">
      <c r="A175" s="1">
        <v>174</v>
      </c>
      <c r="B175" s="1" t="s">
        <v>901</v>
      </c>
      <c r="C175" s="1" t="s">
        <v>902</v>
      </c>
      <c r="D175" s="1" t="s">
        <v>138</v>
      </c>
      <c r="E175" t="s">
        <v>24</v>
      </c>
      <c r="F175" t="s">
        <v>903</v>
      </c>
      <c r="G175" t="s">
        <v>110</v>
      </c>
      <c r="H175" t="s">
        <v>41</v>
      </c>
      <c r="I175" s="1" t="s">
        <v>28</v>
      </c>
      <c r="J175" t="s">
        <v>53</v>
      </c>
      <c r="K175" t="s">
        <v>54</v>
      </c>
      <c r="L175" s="1">
        <v>313510</v>
      </c>
      <c r="M175" s="1" t="s">
        <v>55</v>
      </c>
      <c r="N175" t="s">
        <v>904</v>
      </c>
      <c r="O175" t="s">
        <v>46</v>
      </c>
      <c r="P175" t="s">
        <v>57</v>
      </c>
      <c r="Q175" t="s">
        <v>58</v>
      </c>
      <c r="R175">
        <v>60851.5</v>
      </c>
      <c r="S175" s="25" t="e">
        <f>IF(Table1[[#This Row],[Sales]]=MIN(Table1[Sales]), Table1[[#This Row],[Sales]], NA())</f>
        <v>#N/A</v>
      </c>
      <c r="T175" s="25">
        <f>IF(AND(Table1[[#This Row],[Sales]]&lt;&gt;MIN(Table1[Sales]),Table1[[#This Row],[Sales]]&lt;&gt;MAX(Table1[Sales])), Table1[[#This Row],[Sales]], NA())</f>
        <v>60851.5</v>
      </c>
      <c r="U175" s="25" t="e">
        <f>IF(Table1[[#This Row],[Sales]]=MAX(Table1[Sales]), Table1[[#This Row],[Sales]], NA())</f>
        <v>#N/A</v>
      </c>
      <c r="V175">
        <v>3</v>
      </c>
      <c r="W175">
        <v>0.3</v>
      </c>
      <c r="X175">
        <v>304.26</v>
      </c>
      <c r="Y175" s="3">
        <f>YEAR(Table1[[#This Row],[Order Date]])</f>
        <v>2024</v>
      </c>
      <c r="Z175" s="3" t="str">
        <f>TEXT(Table1[[#This Row],[Order Date]],"MMM")</f>
        <v>Jan</v>
      </c>
      <c r="AA175" s="3">
        <f>DAY(Table1[[#This Row],[Order Date]])</f>
        <v>30</v>
      </c>
    </row>
    <row r="176" spans="1:27" x14ac:dyDescent="0.35">
      <c r="A176" s="1">
        <v>175</v>
      </c>
      <c r="B176" s="1" t="s">
        <v>905</v>
      </c>
      <c r="C176" s="1" t="s">
        <v>871</v>
      </c>
      <c r="D176" s="1" t="s">
        <v>392</v>
      </c>
      <c r="E176" t="s">
        <v>62</v>
      </c>
      <c r="F176" t="s">
        <v>906</v>
      </c>
      <c r="G176" t="s">
        <v>93</v>
      </c>
      <c r="H176" t="s">
        <v>94</v>
      </c>
      <c r="I176" s="1" t="s">
        <v>28</v>
      </c>
      <c r="J176" t="s">
        <v>42</v>
      </c>
      <c r="K176" t="s">
        <v>43</v>
      </c>
      <c r="L176" s="1">
        <v>551377</v>
      </c>
      <c r="M176" s="1" t="s">
        <v>44</v>
      </c>
      <c r="N176" t="s">
        <v>907</v>
      </c>
      <c r="O176" t="s">
        <v>46</v>
      </c>
      <c r="P176" t="s">
        <v>47</v>
      </c>
      <c r="Q176" t="s">
        <v>48</v>
      </c>
      <c r="R176">
        <v>49150.87</v>
      </c>
      <c r="S176" s="25" t="e">
        <f>IF(Table1[[#This Row],[Sales]]=MIN(Table1[Sales]), Table1[[#This Row],[Sales]], NA())</f>
        <v>#N/A</v>
      </c>
      <c r="T176" s="25">
        <f>IF(AND(Table1[[#This Row],[Sales]]&lt;&gt;MIN(Table1[Sales]),Table1[[#This Row],[Sales]]&lt;&gt;MAX(Table1[Sales])), Table1[[#This Row],[Sales]], NA())</f>
        <v>49150.87</v>
      </c>
      <c r="U176" s="25" t="e">
        <f>IF(Table1[[#This Row],[Sales]]=MAX(Table1[Sales]), Table1[[#This Row],[Sales]], NA())</f>
        <v>#N/A</v>
      </c>
      <c r="V176">
        <v>6</v>
      </c>
      <c r="W176">
        <v>0</v>
      </c>
      <c r="X176">
        <v>3932.07</v>
      </c>
      <c r="Y176" s="3">
        <f>YEAR(Table1[[#This Row],[Order Date]])</f>
        <v>2024</v>
      </c>
      <c r="Z176" s="3" t="str">
        <f>TEXT(Table1[[#This Row],[Order Date]],"MMM")</f>
        <v>Nov</v>
      </c>
      <c r="AA176" s="3">
        <f>DAY(Table1[[#This Row],[Order Date]])</f>
        <v>2</v>
      </c>
    </row>
    <row r="177" spans="1:27" x14ac:dyDescent="0.35">
      <c r="A177" s="1">
        <v>176</v>
      </c>
      <c r="B177" s="1" t="s">
        <v>908</v>
      </c>
      <c r="C177" s="1" t="s">
        <v>909</v>
      </c>
      <c r="D177" s="1" t="s">
        <v>910</v>
      </c>
      <c r="E177" t="s">
        <v>38</v>
      </c>
      <c r="F177" t="s">
        <v>911</v>
      </c>
      <c r="G177" t="s">
        <v>188</v>
      </c>
      <c r="H177" t="s">
        <v>27</v>
      </c>
      <c r="I177" s="1" t="s">
        <v>28</v>
      </c>
      <c r="J177" t="s">
        <v>64</v>
      </c>
      <c r="K177" t="s">
        <v>65</v>
      </c>
      <c r="L177" s="1">
        <v>183367</v>
      </c>
      <c r="M177" s="1" t="s">
        <v>66</v>
      </c>
      <c r="N177" t="s">
        <v>912</v>
      </c>
      <c r="O177" t="s">
        <v>68</v>
      </c>
      <c r="P177" t="s">
        <v>69</v>
      </c>
      <c r="Q177" t="s">
        <v>70</v>
      </c>
      <c r="R177">
        <v>59881.49</v>
      </c>
      <c r="S177" s="25" t="e">
        <f>IF(Table1[[#This Row],[Sales]]=MIN(Table1[Sales]), Table1[[#This Row],[Sales]], NA())</f>
        <v>#N/A</v>
      </c>
      <c r="T177" s="25">
        <f>IF(AND(Table1[[#This Row],[Sales]]&lt;&gt;MIN(Table1[Sales]),Table1[[#This Row],[Sales]]&lt;&gt;MAX(Table1[Sales])), Table1[[#This Row],[Sales]], NA())</f>
        <v>59881.49</v>
      </c>
      <c r="U177" s="25" t="e">
        <f>IF(Table1[[#This Row],[Sales]]=MAX(Table1[Sales]), Table1[[#This Row],[Sales]], NA())</f>
        <v>#N/A</v>
      </c>
      <c r="V177">
        <v>2</v>
      </c>
      <c r="W177">
        <v>0.3</v>
      </c>
      <c r="X177">
        <v>299.41000000000003</v>
      </c>
      <c r="Y177" s="3">
        <f>YEAR(Table1[[#This Row],[Order Date]])</f>
        <v>2021</v>
      </c>
      <c r="Z177" s="3" t="str">
        <f>TEXT(Table1[[#This Row],[Order Date]],"MMM")</f>
        <v>Feb</v>
      </c>
      <c r="AA177" s="3">
        <f>DAY(Table1[[#This Row],[Order Date]])</f>
        <v>6</v>
      </c>
    </row>
    <row r="178" spans="1:27" x14ac:dyDescent="0.35">
      <c r="A178" s="1">
        <v>177</v>
      </c>
      <c r="B178" s="1" t="s">
        <v>913</v>
      </c>
      <c r="C178" s="1" t="s">
        <v>914</v>
      </c>
      <c r="D178" s="1" t="s">
        <v>915</v>
      </c>
      <c r="E178" t="s">
        <v>24</v>
      </c>
      <c r="F178" t="s">
        <v>916</v>
      </c>
      <c r="G178" t="s">
        <v>26</v>
      </c>
      <c r="H178" t="s">
        <v>94</v>
      </c>
      <c r="I178" s="1" t="s">
        <v>28</v>
      </c>
      <c r="J178" t="s">
        <v>128</v>
      </c>
      <c r="K178" t="s">
        <v>129</v>
      </c>
      <c r="L178" s="1">
        <v>883570</v>
      </c>
      <c r="M178" s="1" t="s">
        <v>66</v>
      </c>
      <c r="N178" t="s">
        <v>917</v>
      </c>
      <c r="O178" t="s">
        <v>32</v>
      </c>
      <c r="P178" t="s">
        <v>33</v>
      </c>
      <c r="Q178" t="s">
        <v>34</v>
      </c>
      <c r="R178">
        <v>76995.75</v>
      </c>
      <c r="S178" s="25" t="e">
        <f>IF(Table1[[#This Row],[Sales]]=MIN(Table1[Sales]), Table1[[#This Row],[Sales]], NA())</f>
        <v>#N/A</v>
      </c>
      <c r="T178" s="25">
        <f>IF(AND(Table1[[#This Row],[Sales]]&lt;&gt;MIN(Table1[Sales]),Table1[[#This Row],[Sales]]&lt;&gt;MAX(Table1[Sales])), Table1[[#This Row],[Sales]], NA())</f>
        <v>76995.75</v>
      </c>
      <c r="U178" s="25" t="e">
        <f>IF(Table1[[#This Row],[Sales]]=MAX(Table1[Sales]), Table1[[#This Row],[Sales]], NA())</f>
        <v>#N/A</v>
      </c>
      <c r="V178">
        <v>9</v>
      </c>
      <c r="W178">
        <v>0.2</v>
      </c>
      <c r="X178">
        <v>2309.87</v>
      </c>
      <c r="Y178" s="3">
        <f>YEAR(Table1[[#This Row],[Order Date]])</f>
        <v>2022</v>
      </c>
      <c r="Z178" s="3" t="str">
        <f>TEXT(Table1[[#This Row],[Order Date]],"MMM")</f>
        <v>Nov</v>
      </c>
      <c r="AA178" s="3">
        <f>DAY(Table1[[#This Row],[Order Date]])</f>
        <v>18</v>
      </c>
    </row>
    <row r="179" spans="1:27" x14ac:dyDescent="0.35">
      <c r="A179" s="1">
        <v>178</v>
      </c>
      <c r="B179" s="1" t="s">
        <v>918</v>
      </c>
      <c r="C179" s="1" t="s">
        <v>919</v>
      </c>
      <c r="D179" s="1" t="s">
        <v>920</v>
      </c>
      <c r="E179" t="s">
        <v>62</v>
      </c>
      <c r="F179" t="s">
        <v>921</v>
      </c>
      <c r="G179" t="s">
        <v>93</v>
      </c>
      <c r="H179" t="s">
        <v>27</v>
      </c>
      <c r="I179" s="1" t="s">
        <v>28</v>
      </c>
      <c r="J179" t="s">
        <v>29</v>
      </c>
      <c r="K179" t="s">
        <v>29</v>
      </c>
      <c r="L179" s="1">
        <v>567103</v>
      </c>
      <c r="M179" s="1" t="s">
        <v>30</v>
      </c>
      <c r="N179" t="s">
        <v>922</v>
      </c>
      <c r="O179" t="s">
        <v>68</v>
      </c>
      <c r="P179" t="s">
        <v>69</v>
      </c>
      <c r="Q179" t="s">
        <v>70</v>
      </c>
      <c r="R179">
        <v>6389.35</v>
      </c>
      <c r="S179" s="25" t="e">
        <f>IF(Table1[[#This Row],[Sales]]=MIN(Table1[Sales]), Table1[[#This Row],[Sales]], NA())</f>
        <v>#N/A</v>
      </c>
      <c r="T179" s="25">
        <f>IF(AND(Table1[[#This Row],[Sales]]&lt;&gt;MIN(Table1[Sales]),Table1[[#This Row],[Sales]]&lt;&gt;MAX(Table1[Sales])), Table1[[#This Row],[Sales]], NA())</f>
        <v>6389.35</v>
      </c>
      <c r="U179" s="25" t="e">
        <f>IF(Table1[[#This Row],[Sales]]=MAX(Table1[Sales]), Table1[[#This Row],[Sales]], NA())</f>
        <v>#N/A</v>
      </c>
      <c r="V179">
        <v>2</v>
      </c>
      <c r="W179">
        <v>0.3</v>
      </c>
      <c r="X179">
        <v>31.95</v>
      </c>
      <c r="Y179" s="3">
        <f>YEAR(Table1[[#This Row],[Order Date]])</f>
        <v>2023</v>
      </c>
      <c r="Z179" s="3" t="str">
        <f>TEXT(Table1[[#This Row],[Order Date]],"MMM")</f>
        <v>Jul</v>
      </c>
      <c r="AA179" s="3">
        <f>DAY(Table1[[#This Row],[Order Date]])</f>
        <v>16</v>
      </c>
    </row>
    <row r="180" spans="1:27" x14ac:dyDescent="0.35">
      <c r="A180" s="1">
        <v>179</v>
      </c>
      <c r="B180" s="1" t="s">
        <v>923</v>
      </c>
      <c r="C180" s="1" t="s">
        <v>924</v>
      </c>
      <c r="D180" s="1" t="s">
        <v>925</v>
      </c>
      <c r="E180" t="s">
        <v>24</v>
      </c>
      <c r="F180" t="s">
        <v>926</v>
      </c>
      <c r="G180" t="s">
        <v>93</v>
      </c>
      <c r="H180" t="s">
        <v>41</v>
      </c>
      <c r="I180" s="1" t="s">
        <v>28</v>
      </c>
      <c r="J180" t="s">
        <v>64</v>
      </c>
      <c r="K180" t="s">
        <v>65</v>
      </c>
      <c r="L180" s="1">
        <v>623577</v>
      </c>
      <c r="M180" s="1" t="s">
        <v>66</v>
      </c>
      <c r="N180" t="s">
        <v>927</v>
      </c>
      <c r="O180" t="s">
        <v>32</v>
      </c>
      <c r="P180" t="s">
        <v>33</v>
      </c>
      <c r="Q180" t="s">
        <v>34</v>
      </c>
      <c r="R180">
        <v>51055.77</v>
      </c>
      <c r="S180" s="25" t="e">
        <f>IF(Table1[[#This Row],[Sales]]=MIN(Table1[Sales]), Table1[[#This Row],[Sales]], NA())</f>
        <v>#N/A</v>
      </c>
      <c r="T180" s="25">
        <f>IF(AND(Table1[[#This Row],[Sales]]&lt;&gt;MIN(Table1[Sales]),Table1[[#This Row],[Sales]]&lt;&gt;MAX(Table1[Sales])), Table1[[#This Row],[Sales]], NA())</f>
        <v>51055.77</v>
      </c>
      <c r="U180" s="25" t="e">
        <f>IF(Table1[[#This Row],[Sales]]=MAX(Table1[Sales]), Table1[[#This Row],[Sales]], NA())</f>
        <v>#N/A</v>
      </c>
      <c r="V180">
        <v>4</v>
      </c>
      <c r="W180">
        <v>0.2</v>
      </c>
      <c r="X180">
        <v>1531.67</v>
      </c>
      <c r="Y180" s="3">
        <f>YEAR(Table1[[#This Row],[Order Date]])</f>
        <v>2025</v>
      </c>
      <c r="Z180" s="3" t="str">
        <f>TEXT(Table1[[#This Row],[Order Date]],"MMM")</f>
        <v>Jan</v>
      </c>
      <c r="AA180" s="3">
        <f>DAY(Table1[[#This Row],[Order Date]])</f>
        <v>19</v>
      </c>
    </row>
    <row r="181" spans="1:27" x14ac:dyDescent="0.35">
      <c r="A181" s="1">
        <v>180</v>
      </c>
      <c r="B181" s="1" t="s">
        <v>928</v>
      </c>
      <c r="C181" s="1" t="s">
        <v>929</v>
      </c>
      <c r="D181" s="1" t="s">
        <v>930</v>
      </c>
      <c r="E181" t="s">
        <v>62</v>
      </c>
      <c r="F181" t="s">
        <v>931</v>
      </c>
      <c r="G181" t="s">
        <v>122</v>
      </c>
      <c r="H181" t="s">
        <v>94</v>
      </c>
      <c r="I181" s="1" t="s">
        <v>28</v>
      </c>
      <c r="J181" t="s">
        <v>29</v>
      </c>
      <c r="K181" t="s">
        <v>29</v>
      </c>
      <c r="L181" s="1">
        <v>290744</v>
      </c>
      <c r="M181" s="1" t="s">
        <v>30</v>
      </c>
      <c r="N181" t="s">
        <v>932</v>
      </c>
      <c r="O181" t="s">
        <v>46</v>
      </c>
      <c r="P181" t="s">
        <v>47</v>
      </c>
      <c r="Q181" t="s">
        <v>48</v>
      </c>
      <c r="R181">
        <v>26698.6</v>
      </c>
      <c r="S181" s="25" t="e">
        <f>IF(Table1[[#This Row],[Sales]]=MIN(Table1[Sales]), Table1[[#This Row],[Sales]], NA())</f>
        <v>#N/A</v>
      </c>
      <c r="T181" s="25">
        <f>IF(AND(Table1[[#This Row],[Sales]]&lt;&gt;MIN(Table1[Sales]),Table1[[#This Row],[Sales]]&lt;&gt;MAX(Table1[Sales])), Table1[[#This Row],[Sales]], NA())</f>
        <v>26698.6</v>
      </c>
      <c r="U181" s="25" t="e">
        <f>IF(Table1[[#This Row],[Sales]]=MAX(Table1[Sales]), Table1[[#This Row],[Sales]], NA())</f>
        <v>#N/A</v>
      </c>
      <c r="V181">
        <v>1</v>
      </c>
      <c r="W181">
        <v>0.2</v>
      </c>
      <c r="X181">
        <v>800.96</v>
      </c>
      <c r="Y181" s="3">
        <f>YEAR(Table1[[#This Row],[Order Date]])</f>
        <v>2025</v>
      </c>
      <c r="Z181" s="3" t="str">
        <f>TEXT(Table1[[#This Row],[Order Date]],"MMM")</f>
        <v>Aug</v>
      </c>
      <c r="AA181" s="3">
        <f>DAY(Table1[[#This Row],[Order Date]])</f>
        <v>30</v>
      </c>
    </row>
    <row r="182" spans="1:27" x14ac:dyDescent="0.35">
      <c r="A182" s="1">
        <v>181</v>
      </c>
      <c r="B182" s="1" t="s">
        <v>933</v>
      </c>
      <c r="C182" s="1" t="s">
        <v>934</v>
      </c>
      <c r="D182" s="1" t="s">
        <v>880</v>
      </c>
      <c r="E182" t="s">
        <v>38</v>
      </c>
      <c r="F182" t="s">
        <v>935</v>
      </c>
      <c r="G182" t="s">
        <v>81</v>
      </c>
      <c r="H182" t="s">
        <v>41</v>
      </c>
      <c r="I182" s="1" t="s">
        <v>28</v>
      </c>
      <c r="J182" t="s">
        <v>29</v>
      </c>
      <c r="K182" t="s">
        <v>29</v>
      </c>
      <c r="L182" s="1">
        <v>971678</v>
      </c>
      <c r="M182" s="1" t="s">
        <v>30</v>
      </c>
      <c r="N182" t="s">
        <v>936</v>
      </c>
      <c r="O182" t="s">
        <v>32</v>
      </c>
      <c r="P182" t="s">
        <v>33</v>
      </c>
      <c r="Q182" t="s">
        <v>34</v>
      </c>
      <c r="R182">
        <v>21291.78</v>
      </c>
      <c r="S182" s="25" t="e">
        <f>IF(Table1[[#This Row],[Sales]]=MIN(Table1[Sales]), Table1[[#This Row],[Sales]], NA())</f>
        <v>#N/A</v>
      </c>
      <c r="T182" s="25">
        <f>IF(AND(Table1[[#This Row],[Sales]]&lt;&gt;MIN(Table1[Sales]),Table1[[#This Row],[Sales]]&lt;&gt;MAX(Table1[Sales])), Table1[[#This Row],[Sales]], NA())</f>
        <v>21291.78</v>
      </c>
      <c r="U182" s="25" t="e">
        <f>IF(Table1[[#This Row],[Sales]]=MAX(Table1[Sales]), Table1[[#This Row],[Sales]], NA())</f>
        <v>#N/A</v>
      </c>
      <c r="V182">
        <v>8</v>
      </c>
      <c r="W182">
        <v>0.2</v>
      </c>
      <c r="X182">
        <v>638.75</v>
      </c>
      <c r="Y182" s="3">
        <f>YEAR(Table1[[#This Row],[Order Date]])</f>
        <v>2022</v>
      </c>
      <c r="Z182" s="3" t="str">
        <f>TEXT(Table1[[#This Row],[Order Date]],"MMM")</f>
        <v>Oct</v>
      </c>
      <c r="AA182" s="3">
        <f>DAY(Table1[[#This Row],[Order Date]])</f>
        <v>25</v>
      </c>
    </row>
    <row r="183" spans="1:27" x14ac:dyDescent="0.35">
      <c r="A183" s="1">
        <v>182</v>
      </c>
      <c r="B183" s="1" t="s">
        <v>937</v>
      </c>
      <c r="C183" s="1" t="s">
        <v>938</v>
      </c>
      <c r="D183" s="1" t="s">
        <v>939</v>
      </c>
      <c r="E183" t="s">
        <v>24</v>
      </c>
      <c r="F183" t="s">
        <v>940</v>
      </c>
      <c r="G183" t="s">
        <v>75</v>
      </c>
      <c r="H183" t="s">
        <v>94</v>
      </c>
      <c r="I183" s="1" t="s">
        <v>28</v>
      </c>
      <c r="J183" t="s">
        <v>64</v>
      </c>
      <c r="K183" t="s">
        <v>65</v>
      </c>
      <c r="L183" s="1">
        <v>677181</v>
      </c>
      <c r="M183" s="1" t="s">
        <v>66</v>
      </c>
      <c r="N183" t="s">
        <v>941</v>
      </c>
      <c r="O183" t="s">
        <v>32</v>
      </c>
      <c r="P183" t="s">
        <v>33</v>
      </c>
      <c r="Q183" t="s">
        <v>34</v>
      </c>
      <c r="R183">
        <v>57829.65</v>
      </c>
      <c r="S183" s="25" t="e">
        <f>IF(Table1[[#This Row],[Sales]]=MIN(Table1[Sales]), Table1[[#This Row],[Sales]], NA())</f>
        <v>#N/A</v>
      </c>
      <c r="T183" s="25">
        <f>IF(AND(Table1[[#This Row],[Sales]]&lt;&gt;MIN(Table1[Sales]),Table1[[#This Row],[Sales]]&lt;&gt;MAX(Table1[Sales])), Table1[[#This Row],[Sales]], NA())</f>
        <v>57829.65</v>
      </c>
      <c r="U183" s="25" t="e">
        <f>IF(Table1[[#This Row],[Sales]]=MAX(Table1[Sales]), Table1[[#This Row],[Sales]], NA())</f>
        <v>#N/A</v>
      </c>
      <c r="V183">
        <v>4</v>
      </c>
      <c r="W183">
        <v>0.2</v>
      </c>
      <c r="X183">
        <v>1734.89</v>
      </c>
      <c r="Y183" s="3">
        <f>YEAR(Table1[[#This Row],[Order Date]])</f>
        <v>2024</v>
      </c>
      <c r="Z183" s="3" t="str">
        <f>TEXT(Table1[[#This Row],[Order Date]],"MMM")</f>
        <v>Sep</v>
      </c>
      <c r="AA183" s="3">
        <f>DAY(Table1[[#This Row],[Order Date]])</f>
        <v>8</v>
      </c>
    </row>
    <row r="184" spans="1:27" x14ac:dyDescent="0.35">
      <c r="A184" s="1">
        <v>183</v>
      </c>
      <c r="B184" s="1" t="s">
        <v>942</v>
      </c>
      <c r="C184" s="1" t="s">
        <v>943</v>
      </c>
      <c r="D184" s="1" t="s">
        <v>944</v>
      </c>
      <c r="E184" t="s">
        <v>24</v>
      </c>
      <c r="F184" t="s">
        <v>945</v>
      </c>
      <c r="G184" t="s">
        <v>87</v>
      </c>
      <c r="H184" t="s">
        <v>27</v>
      </c>
      <c r="I184" s="1" t="s">
        <v>28</v>
      </c>
      <c r="J184" t="s">
        <v>64</v>
      </c>
      <c r="K184" t="s">
        <v>65</v>
      </c>
      <c r="L184" s="1">
        <v>798463</v>
      </c>
      <c r="M184" s="1" t="s">
        <v>66</v>
      </c>
      <c r="N184" t="s">
        <v>946</v>
      </c>
      <c r="O184" t="s">
        <v>46</v>
      </c>
      <c r="P184" t="s">
        <v>57</v>
      </c>
      <c r="Q184" t="s">
        <v>58</v>
      </c>
      <c r="R184">
        <v>47414.52</v>
      </c>
      <c r="S184" s="25" t="e">
        <f>IF(Table1[[#This Row],[Sales]]=MIN(Table1[Sales]), Table1[[#This Row],[Sales]], NA())</f>
        <v>#N/A</v>
      </c>
      <c r="T184" s="25">
        <f>IF(AND(Table1[[#This Row],[Sales]]&lt;&gt;MIN(Table1[Sales]),Table1[[#This Row],[Sales]]&lt;&gt;MAX(Table1[Sales])), Table1[[#This Row],[Sales]], NA())</f>
        <v>47414.52</v>
      </c>
      <c r="U184" s="25" t="e">
        <f>IF(Table1[[#This Row],[Sales]]=MAX(Table1[Sales]), Table1[[#This Row],[Sales]], NA())</f>
        <v>#N/A</v>
      </c>
      <c r="V184">
        <v>5</v>
      </c>
      <c r="W184">
        <v>0.2</v>
      </c>
      <c r="X184">
        <v>1422.44</v>
      </c>
      <c r="Y184" s="3">
        <f>YEAR(Table1[[#This Row],[Order Date]])</f>
        <v>2024</v>
      </c>
      <c r="Z184" s="3" t="str">
        <f>TEXT(Table1[[#This Row],[Order Date]],"MMM")</f>
        <v>Aug</v>
      </c>
      <c r="AA184" s="3">
        <f>DAY(Table1[[#This Row],[Order Date]])</f>
        <v>1</v>
      </c>
    </row>
    <row r="185" spans="1:27" x14ac:dyDescent="0.35">
      <c r="A185" s="1">
        <v>184</v>
      </c>
      <c r="B185" s="1" t="s">
        <v>947</v>
      </c>
      <c r="C185" s="1" t="s">
        <v>948</v>
      </c>
      <c r="D185" s="1" t="s">
        <v>949</v>
      </c>
      <c r="E185" t="s">
        <v>62</v>
      </c>
      <c r="F185" t="s">
        <v>950</v>
      </c>
      <c r="G185" t="s">
        <v>75</v>
      </c>
      <c r="H185" t="s">
        <v>41</v>
      </c>
      <c r="I185" s="1" t="s">
        <v>28</v>
      </c>
      <c r="J185" t="s">
        <v>128</v>
      </c>
      <c r="K185" t="s">
        <v>129</v>
      </c>
      <c r="L185" s="1">
        <v>705145</v>
      </c>
      <c r="M185" s="1" t="s">
        <v>66</v>
      </c>
      <c r="N185" t="s">
        <v>951</v>
      </c>
      <c r="O185" t="s">
        <v>46</v>
      </c>
      <c r="P185" t="s">
        <v>57</v>
      </c>
      <c r="Q185" t="s">
        <v>58</v>
      </c>
      <c r="R185">
        <v>97339.76</v>
      </c>
      <c r="S185" s="25" t="e">
        <f>IF(Table1[[#This Row],[Sales]]=MIN(Table1[Sales]), Table1[[#This Row],[Sales]], NA())</f>
        <v>#N/A</v>
      </c>
      <c r="T185" s="25">
        <f>IF(AND(Table1[[#This Row],[Sales]]&lt;&gt;MIN(Table1[Sales]),Table1[[#This Row],[Sales]]&lt;&gt;MAX(Table1[Sales])), Table1[[#This Row],[Sales]], NA())</f>
        <v>97339.76</v>
      </c>
      <c r="U185" s="25" t="e">
        <f>IF(Table1[[#This Row],[Sales]]=MAX(Table1[Sales]), Table1[[#This Row],[Sales]], NA())</f>
        <v>#N/A</v>
      </c>
      <c r="V185">
        <v>9</v>
      </c>
      <c r="W185">
        <v>0</v>
      </c>
      <c r="X185">
        <v>7787.18</v>
      </c>
      <c r="Y185" s="3">
        <f>YEAR(Table1[[#This Row],[Order Date]])</f>
        <v>2025</v>
      </c>
      <c r="Z185" s="3" t="str">
        <f>TEXT(Table1[[#This Row],[Order Date]],"MMM")</f>
        <v>Dec</v>
      </c>
      <c r="AA185" s="3">
        <f>DAY(Table1[[#This Row],[Order Date]])</f>
        <v>28</v>
      </c>
    </row>
    <row r="186" spans="1:27" x14ac:dyDescent="0.35">
      <c r="A186" s="1">
        <v>185</v>
      </c>
      <c r="B186" s="1" t="s">
        <v>952</v>
      </c>
      <c r="C186" s="1" t="s">
        <v>953</v>
      </c>
      <c r="D186" s="1" t="s">
        <v>954</v>
      </c>
      <c r="E186" t="s">
        <v>24</v>
      </c>
      <c r="F186" t="s">
        <v>955</v>
      </c>
      <c r="G186" t="s">
        <v>110</v>
      </c>
      <c r="H186" t="s">
        <v>27</v>
      </c>
      <c r="I186" s="1" t="s">
        <v>28</v>
      </c>
      <c r="J186" t="s">
        <v>42</v>
      </c>
      <c r="K186" t="s">
        <v>43</v>
      </c>
      <c r="L186" s="1">
        <v>804944</v>
      </c>
      <c r="M186" s="1" t="s">
        <v>44</v>
      </c>
      <c r="N186" t="s">
        <v>956</v>
      </c>
      <c r="O186" t="s">
        <v>32</v>
      </c>
      <c r="P186" t="s">
        <v>33</v>
      </c>
      <c r="Q186" t="s">
        <v>34</v>
      </c>
      <c r="R186">
        <v>2237.2600000000002</v>
      </c>
      <c r="S186" s="25" t="e">
        <f>IF(Table1[[#This Row],[Sales]]=MIN(Table1[Sales]), Table1[[#This Row],[Sales]], NA())</f>
        <v>#N/A</v>
      </c>
      <c r="T186" s="25">
        <f>IF(AND(Table1[[#This Row],[Sales]]&lt;&gt;MIN(Table1[Sales]),Table1[[#This Row],[Sales]]&lt;&gt;MAX(Table1[Sales])), Table1[[#This Row],[Sales]], NA())</f>
        <v>2237.2600000000002</v>
      </c>
      <c r="U186" s="25" t="e">
        <f>IF(Table1[[#This Row],[Sales]]=MAX(Table1[Sales]), Table1[[#This Row],[Sales]], NA())</f>
        <v>#N/A</v>
      </c>
      <c r="V186">
        <v>2</v>
      </c>
      <c r="W186">
        <v>0.1</v>
      </c>
      <c r="X186">
        <v>123.05</v>
      </c>
      <c r="Y186" s="3">
        <f>YEAR(Table1[[#This Row],[Order Date]])</f>
        <v>2025</v>
      </c>
      <c r="Z186" s="3" t="str">
        <f>TEXT(Table1[[#This Row],[Order Date]],"MMM")</f>
        <v>Sep</v>
      </c>
      <c r="AA186" s="3">
        <f>DAY(Table1[[#This Row],[Order Date]])</f>
        <v>18</v>
      </c>
    </row>
    <row r="187" spans="1:27" x14ac:dyDescent="0.35">
      <c r="A187" s="1">
        <v>186</v>
      </c>
      <c r="B187" s="1" t="s">
        <v>957</v>
      </c>
      <c r="C187" s="1" t="s">
        <v>958</v>
      </c>
      <c r="D187" s="1" t="s">
        <v>959</v>
      </c>
      <c r="E187" t="s">
        <v>38</v>
      </c>
      <c r="F187" t="s">
        <v>960</v>
      </c>
      <c r="G187" t="s">
        <v>26</v>
      </c>
      <c r="H187" t="s">
        <v>27</v>
      </c>
      <c r="I187" s="1" t="s">
        <v>28</v>
      </c>
      <c r="J187" t="s">
        <v>29</v>
      </c>
      <c r="K187" t="s">
        <v>29</v>
      </c>
      <c r="L187" s="1">
        <v>483448</v>
      </c>
      <c r="M187" s="1" t="s">
        <v>30</v>
      </c>
      <c r="N187" t="s">
        <v>961</v>
      </c>
      <c r="O187" t="s">
        <v>68</v>
      </c>
      <c r="P187" t="s">
        <v>69</v>
      </c>
      <c r="Q187" t="s">
        <v>70</v>
      </c>
      <c r="R187">
        <v>93435.68</v>
      </c>
      <c r="S187" s="25" t="e">
        <f>IF(Table1[[#This Row],[Sales]]=MIN(Table1[Sales]), Table1[[#This Row],[Sales]], NA())</f>
        <v>#N/A</v>
      </c>
      <c r="T187" s="25">
        <f>IF(AND(Table1[[#This Row],[Sales]]&lt;&gt;MIN(Table1[Sales]),Table1[[#This Row],[Sales]]&lt;&gt;MAX(Table1[Sales])), Table1[[#This Row],[Sales]], NA())</f>
        <v>93435.68</v>
      </c>
      <c r="U187" s="25" t="e">
        <f>IF(Table1[[#This Row],[Sales]]=MAX(Table1[Sales]), Table1[[#This Row],[Sales]], NA())</f>
        <v>#N/A</v>
      </c>
      <c r="V187">
        <v>5</v>
      </c>
      <c r="W187">
        <v>0.3</v>
      </c>
      <c r="X187">
        <v>467.18</v>
      </c>
      <c r="Y187" s="3">
        <f>YEAR(Table1[[#This Row],[Order Date]])</f>
        <v>2025</v>
      </c>
      <c r="Z187" s="3" t="str">
        <f>TEXT(Table1[[#This Row],[Order Date]],"MMM")</f>
        <v>Jul</v>
      </c>
      <c r="AA187" s="3">
        <f>DAY(Table1[[#This Row],[Order Date]])</f>
        <v>13</v>
      </c>
    </row>
    <row r="188" spans="1:27" x14ac:dyDescent="0.35">
      <c r="A188" s="1">
        <v>187</v>
      </c>
      <c r="B188" s="1" t="s">
        <v>962</v>
      </c>
      <c r="C188" s="1" t="s">
        <v>963</v>
      </c>
      <c r="D188" s="1" t="s">
        <v>964</v>
      </c>
      <c r="E188" t="s">
        <v>115</v>
      </c>
      <c r="F188" t="s">
        <v>965</v>
      </c>
      <c r="G188" t="s">
        <v>87</v>
      </c>
      <c r="H188" t="s">
        <v>94</v>
      </c>
      <c r="I188" s="1" t="s">
        <v>28</v>
      </c>
      <c r="J188" t="s">
        <v>42</v>
      </c>
      <c r="K188" t="s">
        <v>43</v>
      </c>
      <c r="L188" s="1">
        <v>133536</v>
      </c>
      <c r="M188" s="1" t="s">
        <v>44</v>
      </c>
      <c r="N188" t="s">
        <v>966</v>
      </c>
      <c r="O188" t="s">
        <v>68</v>
      </c>
      <c r="P188" t="s">
        <v>69</v>
      </c>
      <c r="Q188" t="s">
        <v>70</v>
      </c>
      <c r="R188">
        <v>24435.67</v>
      </c>
      <c r="S188" s="25" t="e">
        <f>IF(Table1[[#This Row],[Sales]]=MIN(Table1[Sales]), Table1[[#This Row],[Sales]], NA())</f>
        <v>#N/A</v>
      </c>
      <c r="T188" s="25">
        <f>IF(AND(Table1[[#This Row],[Sales]]&lt;&gt;MIN(Table1[Sales]),Table1[[#This Row],[Sales]]&lt;&gt;MAX(Table1[Sales])), Table1[[#This Row],[Sales]], NA())</f>
        <v>24435.67</v>
      </c>
      <c r="U188" s="25" t="e">
        <f>IF(Table1[[#This Row],[Sales]]=MAX(Table1[Sales]), Table1[[#This Row],[Sales]], NA())</f>
        <v>#N/A</v>
      </c>
      <c r="V188">
        <v>2</v>
      </c>
      <c r="W188">
        <v>0.2</v>
      </c>
      <c r="X188">
        <v>733.07</v>
      </c>
      <c r="Y188" s="3">
        <f>YEAR(Table1[[#This Row],[Order Date]])</f>
        <v>2023</v>
      </c>
      <c r="Z188" s="3" t="str">
        <f>TEXT(Table1[[#This Row],[Order Date]],"MMM")</f>
        <v>Jun</v>
      </c>
      <c r="AA188" s="3">
        <f>DAY(Table1[[#This Row],[Order Date]])</f>
        <v>9</v>
      </c>
    </row>
    <row r="189" spans="1:27" x14ac:dyDescent="0.35">
      <c r="A189" s="1">
        <v>188</v>
      </c>
      <c r="B189" s="1" t="s">
        <v>967</v>
      </c>
      <c r="C189" s="1" t="s">
        <v>968</v>
      </c>
      <c r="D189" s="1" t="s">
        <v>456</v>
      </c>
      <c r="E189" t="s">
        <v>38</v>
      </c>
      <c r="F189" t="s">
        <v>969</v>
      </c>
      <c r="G189" t="s">
        <v>122</v>
      </c>
      <c r="H189" t="s">
        <v>41</v>
      </c>
      <c r="I189" s="1" t="s">
        <v>28</v>
      </c>
      <c r="J189" t="s">
        <v>29</v>
      </c>
      <c r="K189" t="s">
        <v>29</v>
      </c>
      <c r="L189" s="1">
        <v>292428</v>
      </c>
      <c r="M189" s="1" t="s">
        <v>30</v>
      </c>
      <c r="N189" t="s">
        <v>970</v>
      </c>
      <c r="O189" t="s">
        <v>46</v>
      </c>
      <c r="P189" t="s">
        <v>47</v>
      </c>
      <c r="Q189" t="s">
        <v>48</v>
      </c>
      <c r="R189">
        <v>51611.73</v>
      </c>
      <c r="S189" s="25" t="e">
        <f>IF(Table1[[#This Row],[Sales]]=MIN(Table1[Sales]), Table1[[#This Row],[Sales]], NA())</f>
        <v>#N/A</v>
      </c>
      <c r="T189" s="25">
        <f>IF(AND(Table1[[#This Row],[Sales]]&lt;&gt;MIN(Table1[Sales]),Table1[[#This Row],[Sales]]&lt;&gt;MAX(Table1[Sales])), Table1[[#This Row],[Sales]], NA())</f>
        <v>51611.73</v>
      </c>
      <c r="U189" s="25" t="e">
        <f>IF(Table1[[#This Row],[Sales]]=MAX(Table1[Sales]), Table1[[#This Row],[Sales]], NA())</f>
        <v>#N/A</v>
      </c>
      <c r="V189">
        <v>8</v>
      </c>
      <c r="W189">
        <v>0.2</v>
      </c>
      <c r="X189">
        <v>1548.35</v>
      </c>
      <c r="Y189" s="3">
        <f>YEAR(Table1[[#This Row],[Order Date]])</f>
        <v>2024</v>
      </c>
      <c r="Z189" s="3" t="str">
        <f>TEXT(Table1[[#This Row],[Order Date]],"MMM")</f>
        <v>Nov</v>
      </c>
      <c r="AA189" s="3">
        <f>DAY(Table1[[#This Row],[Order Date]])</f>
        <v>12</v>
      </c>
    </row>
    <row r="190" spans="1:27" x14ac:dyDescent="0.35">
      <c r="A190" s="1">
        <v>189</v>
      </c>
      <c r="B190" s="1" t="s">
        <v>971</v>
      </c>
      <c r="C190" s="1" t="s">
        <v>972</v>
      </c>
      <c r="D190" s="1" t="s">
        <v>973</v>
      </c>
      <c r="E190" t="s">
        <v>24</v>
      </c>
      <c r="F190" t="s">
        <v>974</v>
      </c>
      <c r="G190" t="s">
        <v>110</v>
      </c>
      <c r="H190" t="s">
        <v>94</v>
      </c>
      <c r="I190" s="1" t="s">
        <v>28</v>
      </c>
      <c r="J190" t="s">
        <v>53</v>
      </c>
      <c r="K190" t="s">
        <v>54</v>
      </c>
      <c r="L190" s="1">
        <v>913289</v>
      </c>
      <c r="M190" s="1" t="s">
        <v>55</v>
      </c>
      <c r="N190" t="s">
        <v>975</v>
      </c>
      <c r="O190" t="s">
        <v>68</v>
      </c>
      <c r="P190" t="s">
        <v>69</v>
      </c>
      <c r="Q190" t="s">
        <v>70</v>
      </c>
      <c r="R190">
        <v>31135.94</v>
      </c>
      <c r="S190" s="25" t="e">
        <f>IF(Table1[[#This Row],[Sales]]=MIN(Table1[Sales]), Table1[[#This Row],[Sales]], NA())</f>
        <v>#N/A</v>
      </c>
      <c r="T190" s="25">
        <f>IF(AND(Table1[[#This Row],[Sales]]&lt;&gt;MIN(Table1[Sales]),Table1[[#This Row],[Sales]]&lt;&gt;MAX(Table1[Sales])), Table1[[#This Row],[Sales]], NA())</f>
        <v>31135.94</v>
      </c>
      <c r="U190" s="25" t="e">
        <f>IF(Table1[[#This Row],[Sales]]=MAX(Table1[Sales]), Table1[[#This Row],[Sales]], NA())</f>
        <v>#N/A</v>
      </c>
      <c r="V190">
        <v>5</v>
      </c>
      <c r="W190">
        <v>0.1</v>
      </c>
      <c r="X190">
        <v>1712.48</v>
      </c>
      <c r="Y190" s="3">
        <f>YEAR(Table1[[#This Row],[Order Date]])</f>
        <v>2021</v>
      </c>
      <c r="Z190" s="3" t="str">
        <f>TEXT(Table1[[#This Row],[Order Date]],"MMM")</f>
        <v>Oct</v>
      </c>
      <c r="AA190" s="3">
        <f>DAY(Table1[[#This Row],[Order Date]])</f>
        <v>23</v>
      </c>
    </row>
    <row r="191" spans="1:27" x14ac:dyDescent="0.35">
      <c r="A191" s="1">
        <v>190</v>
      </c>
      <c r="B191" s="1" t="s">
        <v>976</v>
      </c>
      <c r="C191" s="1" t="s">
        <v>977</v>
      </c>
      <c r="D191" s="1" t="s">
        <v>978</v>
      </c>
      <c r="E191" t="s">
        <v>38</v>
      </c>
      <c r="F191" t="s">
        <v>979</v>
      </c>
      <c r="G191" t="s">
        <v>93</v>
      </c>
      <c r="H191" t="s">
        <v>41</v>
      </c>
      <c r="I191" s="1" t="s">
        <v>28</v>
      </c>
      <c r="J191" t="s">
        <v>42</v>
      </c>
      <c r="K191" t="s">
        <v>43</v>
      </c>
      <c r="L191" s="1">
        <v>382533</v>
      </c>
      <c r="M191" s="1" t="s">
        <v>44</v>
      </c>
      <c r="N191" t="s">
        <v>980</v>
      </c>
      <c r="O191" t="s">
        <v>32</v>
      </c>
      <c r="P191" t="s">
        <v>33</v>
      </c>
      <c r="Q191" t="s">
        <v>34</v>
      </c>
      <c r="R191">
        <v>44583.35</v>
      </c>
      <c r="S191" s="25" t="e">
        <f>IF(Table1[[#This Row],[Sales]]=MIN(Table1[Sales]), Table1[[#This Row],[Sales]], NA())</f>
        <v>#N/A</v>
      </c>
      <c r="T191" s="25">
        <f>IF(AND(Table1[[#This Row],[Sales]]&lt;&gt;MIN(Table1[Sales]),Table1[[#This Row],[Sales]]&lt;&gt;MAX(Table1[Sales])), Table1[[#This Row],[Sales]], NA())</f>
        <v>44583.35</v>
      </c>
      <c r="U191" s="25" t="e">
        <f>IF(Table1[[#This Row],[Sales]]=MAX(Table1[Sales]), Table1[[#This Row],[Sales]], NA())</f>
        <v>#N/A</v>
      </c>
      <c r="V191">
        <v>10</v>
      </c>
      <c r="W191">
        <v>0.1</v>
      </c>
      <c r="X191">
        <v>2452.08</v>
      </c>
      <c r="Y191" s="3">
        <f>YEAR(Table1[[#This Row],[Order Date]])</f>
        <v>2022</v>
      </c>
      <c r="Z191" s="3" t="str">
        <f>TEXT(Table1[[#This Row],[Order Date]],"MMM")</f>
        <v>Dec</v>
      </c>
      <c r="AA191" s="3">
        <f>DAY(Table1[[#This Row],[Order Date]])</f>
        <v>19</v>
      </c>
    </row>
    <row r="192" spans="1:27" x14ac:dyDescent="0.35">
      <c r="A192" s="1">
        <v>191</v>
      </c>
      <c r="B192" s="1" t="s">
        <v>981</v>
      </c>
      <c r="C192" s="1" t="s">
        <v>982</v>
      </c>
      <c r="D192" s="1" t="s">
        <v>983</v>
      </c>
      <c r="E192" t="s">
        <v>24</v>
      </c>
      <c r="F192" t="s">
        <v>984</v>
      </c>
      <c r="G192" t="s">
        <v>93</v>
      </c>
      <c r="H192" t="s">
        <v>27</v>
      </c>
      <c r="I192" s="1" t="s">
        <v>28</v>
      </c>
      <c r="J192" t="s">
        <v>29</v>
      </c>
      <c r="K192" t="s">
        <v>29</v>
      </c>
      <c r="L192" s="1">
        <v>458702</v>
      </c>
      <c r="M192" s="1" t="s">
        <v>30</v>
      </c>
      <c r="N192" t="s">
        <v>985</v>
      </c>
      <c r="O192" t="s">
        <v>46</v>
      </c>
      <c r="P192" t="s">
        <v>47</v>
      </c>
      <c r="Q192" t="s">
        <v>48</v>
      </c>
      <c r="R192">
        <v>6096.08</v>
      </c>
      <c r="S192" s="25" t="e">
        <f>IF(Table1[[#This Row],[Sales]]=MIN(Table1[Sales]), Table1[[#This Row],[Sales]], NA())</f>
        <v>#N/A</v>
      </c>
      <c r="T192" s="25">
        <f>IF(AND(Table1[[#This Row],[Sales]]&lt;&gt;MIN(Table1[Sales]),Table1[[#This Row],[Sales]]&lt;&gt;MAX(Table1[Sales])), Table1[[#This Row],[Sales]], NA())</f>
        <v>6096.08</v>
      </c>
      <c r="U192" s="25" t="e">
        <f>IF(Table1[[#This Row],[Sales]]=MAX(Table1[Sales]), Table1[[#This Row],[Sales]], NA())</f>
        <v>#N/A</v>
      </c>
      <c r="V192">
        <v>8</v>
      </c>
      <c r="W192">
        <v>0.3</v>
      </c>
      <c r="X192">
        <v>30.48</v>
      </c>
      <c r="Y192" s="3">
        <f>YEAR(Table1[[#This Row],[Order Date]])</f>
        <v>2025</v>
      </c>
      <c r="Z192" s="3" t="str">
        <f>TEXT(Table1[[#This Row],[Order Date]],"MMM")</f>
        <v>Aug</v>
      </c>
      <c r="AA192" s="3">
        <f>DAY(Table1[[#This Row],[Order Date]])</f>
        <v>17</v>
      </c>
    </row>
    <row r="193" spans="1:27" x14ac:dyDescent="0.35">
      <c r="A193" s="1">
        <v>192</v>
      </c>
      <c r="B193" s="1" t="s">
        <v>986</v>
      </c>
      <c r="C193" s="1" t="s">
        <v>987</v>
      </c>
      <c r="D193" s="1" t="s">
        <v>988</v>
      </c>
      <c r="E193" t="s">
        <v>115</v>
      </c>
      <c r="F193" t="s">
        <v>989</v>
      </c>
      <c r="G193" t="s">
        <v>26</v>
      </c>
      <c r="H193" t="s">
        <v>27</v>
      </c>
      <c r="I193" s="1" t="s">
        <v>28</v>
      </c>
      <c r="J193" t="s">
        <v>29</v>
      </c>
      <c r="K193" t="s">
        <v>29</v>
      </c>
      <c r="L193" s="1">
        <v>755939</v>
      </c>
      <c r="M193" s="1" t="s">
        <v>30</v>
      </c>
      <c r="N193" t="s">
        <v>990</v>
      </c>
      <c r="O193" t="s">
        <v>32</v>
      </c>
      <c r="P193" t="s">
        <v>33</v>
      </c>
      <c r="Q193" t="s">
        <v>34</v>
      </c>
      <c r="R193">
        <v>40444.68</v>
      </c>
      <c r="S193" s="25" t="e">
        <f>IF(Table1[[#This Row],[Sales]]=MIN(Table1[Sales]), Table1[[#This Row],[Sales]], NA())</f>
        <v>#N/A</v>
      </c>
      <c r="T193" s="25">
        <f>IF(AND(Table1[[#This Row],[Sales]]&lt;&gt;MIN(Table1[Sales]),Table1[[#This Row],[Sales]]&lt;&gt;MAX(Table1[Sales])), Table1[[#This Row],[Sales]], NA())</f>
        <v>40444.68</v>
      </c>
      <c r="U193" s="25" t="e">
        <f>IF(Table1[[#This Row],[Sales]]=MAX(Table1[Sales]), Table1[[#This Row],[Sales]], NA())</f>
        <v>#N/A</v>
      </c>
      <c r="V193">
        <v>8</v>
      </c>
      <c r="W193">
        <v>0.2</v>
      </c>
      <c r="X193">
        <v>1213.3399999999999</v>
      </c>
      <c r="Y193" s="3">
        <f>YEAR(Table1[[#This Row],[Order Date]])</f>
        <v>2022</v>
      </c>
      <c r="Z193" s="3" t="str">
        <f>TEXT(Table1[[#This Row],[Order Date]],"MMM")</f>
        <v>Nov</v>
      </c>
      <c r="AA193" s="3">
        <f>DAY(Table1[[#This Row],[Order Date]])</f>
        <v>26</v>
      </c>
    </row>
    <row r="194" spans="1:27" x14ac:dyDescent="0.35">
      <c r="A194" s="1">
        <v>193</v>
      </c>
      <c r="B194" s="1" t="s">
        <v>991</v>
      </c>
      <c r="C194" s="1" t="s">
        <v>992</v>
      </c>
      <c r="D194" s="1" t="s">
        <v>387</v>
      </c>
      <c r="E194" t="s">
        <v>38</v>
      </c>
      <c r="F194" t="s">
        <v>993</v>
      </c>
      <c r="G194" t="s">
        <v>87</v>
      </c>
      <c r="H194" t="s">
        <v>27</v>
      </c>
      <c r="I194" s="1" t="s">
        <v>28</v>
      </c>
      <c r="J194" t="s">
        <v>53</v>
      </c>
      <c r="K194" t="s">
        <v>54</v>
      </c>
      <c r="L194" s="1">
        <v>322366</v>
      </c>
      <c r="M194" s="1" t="s">
        <v>55</v>
      </c>
      <c r="N194" t="s">
        <v>994</v>
      </c>
      <c r="O194" t="s">
        <v>46</v>
      </c>
      <c r="P194" t="s">
        <v>47</v>
      </c>
      <c r="Q194" t="s">
        <v>48</v>
      </c>
      <c r="R194">
        <v>74436.09</v>
      </c>
      <c r="S194" s="25" t="e">
        <f>IF(Table1[[#This Row],[Sales]]=MIN(Table1[Sales]), Table1[[#This Row],[Sales]], NA())</f>
        <v>#N/A</v>
      </c>
      <c r="T194" s="25">
        <f>IF(AND(Table1[[#This Row],[Sales]]&lt;&gt;MIN(Table1[Sales]),Table1[[#This Row],[Sales]]&lt;&gt;MAX(Table1[Sales])), Table1[[#This Row],[Sales]], NA())</f>
        <v>74436.09</v>
      </c>
      <c r="U194" s="25" t="e">
        <f>IF(Table1[[#This Row],[Sales]]=MAX(Table1[Sales]), Table1[[#This Row],[Sales]], NA())</f>
        <v>#N/A</v>
      </c>
      <c r="V194">
        <v>4</v>
      </c>
      <c r="W194">
        <v>0.3</v>
      </c>
      <c r="X194">
        <v>372.18</v>
      </c>
      <c r="Y194" s="3">
        <f>YEAR(Table1[[#This Row],[Order Date]])</f>
        <v>2021</v>
      </c>
      <c r="Z194" s="3" t="str">
        <f>TEXT(Table1[[#This Row],[Order Date]],"MMM")</f>
        <v>Dec</v>
      </c>
      <c r="AA194" s="3">
        <f>DAY(Table1[[#This Row],[Order Date]])</f>
        <v>14</v>
      </c>
    </row>
    <row r="195" spans="1:27" x14ac:dyDescent="0.35">
      <c r="A195" s="1">
        <v>194</v>
      </c>
      <c r="B195" s="1" t="s">
        <v>995</v>
      </c>
      <c r="C195" s="1" t="s">
        <v>846</v>
      </c>
      <c r="D195" s="1" t="s">
        <v>996</v>
      </c>
      <c r="E195" t="s">
        <v>62</v>
      </c>
      <c r="F195" t="s">
        <v>997</v>
      </c>
      <c r="G195" t="s">
        <v>110</v>
      </c>
      <c r="H195" t="s">
        <v>41</v>
      </c>
      <c r="I195" s="1" t="s">
        <v>28</v>
      </c>
      <c r="J195" t="s">
        <v>53</v>
      </c>
      <c r="K195" t="s">
        <v>54</v>
      </c>
      <c r="L195" s="1">
        <v>978038</v>
      </c>
      <c r="M195" s="1" t="s">
        <v>55</v>
      </c>
      <c r="N195" t="s">
        <v>998</v>
      </c>
      <c r="O195" t="s">
        <v>68</v>
      </c>
      <c r="P195" t="s">
        <v>69</v>
      </c>
      <c r="Q195" t="s">
        <v>70</v>
      </c>
      <c r="R195">
        <v>37094.730000000003</v>
      </c>
      <c r="S195" s="25" t="e">
        <f>IF(Table1[[#This Row],[Sales]]=MIN(Table1[Sales]), Table1[[#This Row],[Sales]], NA())</f>
        <v>#N/A</v>
      </c>
      <c r="T195" s="25">
        <f>IF(AND(Table1[[#This Row],[Sales]]&lt;&gt;MIN(Table1[Sales]),Table1[[#This Row],[Sales]]&lt;&gt;MAX(Table1[Sales])), Table1[[#This Row],[Sales]], NA())</f>
        <v>37094.730000000003</v>
      </c>
      <c r="U195" s="25" t="e">
        <f>IF(Table1[[#This Row],[Sales]]=MAX(Table1[Sales]), Table1[[#This Row],[Sales]], NA())</f>
        <v>#N/A</v>
      </c>
      <c r="V195">
        <v>2</v>
      </c>
      <c r="W195">
        <v>0.2</v>
      </c>
      <c r="X195">
        <v>1112.8399999999999</v>
      </c>
      <c r="Y195" s="3">
        <f>YEAR(Table1[[#This Row],[Order Date]])</f>
        <v>2025</v>
      </c>
      <c r="Z195" s="3" t="str">
        <f>TEXT(Table1[[#This Row],[Order Date]],"MMM")</f>
        <v>Dec</v>
      </c>
      <c r="AA195" s="3">
        <f>DAY(Table1[[#This Row],[Order Date]])</f>
        <v>12</v>
      </c>
    </row>
    <row r="196" spans="1:27" x14ac:dyDescent="0.35">
      <c r="A196" s="1">
        <v>195</v>
      </c>
      <c r="B196" s="1" t="s">
        <v>999</v>
      </c>
      <c r="C196" s="1" t="s">
        <v>1000</v>
      </c>
      <c r="D196" s="1" t="s">
        <v>1001</v>
      </c>
      <c r="E196" t="s">
        <v>38</v>
      </c>
      <c r="F196" t="s">
        <v>1002</v>
      </c>
      <c r="G196" t="s">
        <v>122</v>
      </c>
      <c r="H196" t="s">
        <v>94</v>
      </c>
      <c r="I196" s="1" t="s">
        <v>28</v>
      </c>
      <c r="J196" t="s">
        <v>29</v>
      </c>
      <c r="K196" t="s">
        <v>29</v>
      </c>
      <c r="L196" s="1">
        <v>104267</v>
      </c>
      <c r="M196" s="1" t="s">
        <v>30</v>
      </c>
      <c r="N196" t="s">
        <v>1003</v>
      </c>
      <c r="O196" t="s">
        <v>46</v>
      </c>
      <c r="P196" t="s">
        <v>57</v>
      </c>
      <c r="Q196" t="s">
        <v>58</v>
      </c>
      <c r="R196">
        <v>47746.16</v>
      </c>
      <c r="S196" s="25" t="e">
        <f>IF(Table1[[#This Row],[Sales]]=MIN(Table1[Sales]), Table1[[#This Row],[Sales]], NA())</f>
        <v>#N/A</v>
      </c>
      <c r="T196" s="25">
        <f>IF(AND(Table1[[#This Row],[Sales]]&lt;&gt;MIN(Table1[Sales]),Table1[[#This Row],[Sales]]&lt;&gt;MAX(Table1[Sales])), Table1[[#This Row],[Sales]], NA())</f>
        <v>47746.16</v>
      </c>
      <c r="U196" s="25" t="e">
        <f>IF(Table1[[#This Row],[Sales]]=MAX(Table1[Sales]), Table1[[#This Row],[Sales]], NA())</f>
        <v>#N/A</v>
      </c>
      <c r="V196">
        <v>2</v>
      </c>
      <c r="W196">
        <v>0.3</v>
      </c>
      <c r="X196">
        <v>238.73</v>
      </c>
      <c r="Y196" s="3">
        <f>YEAR(Table1[[#This Row],[Order Date]])</f>
        <v>2025</v>
      </c>
      <c r="Z196" s="3" t="str">
        <f>TEXT(Table1[[#This Row],[Order Date]],"MMM")</f>
        <v>Oct</v>
      </c>
      <c r="AA196" s="3">
        <f>DAY(Table1[[#This Row],[Order Date]])</f>
        <v>7</v>
      </c>
    </row>
    <row r="197" spans="1:27" x14ac:dyDescent="0.35">
      <c r="A197" s="1">
        <v>196</v>
      </c>
      <c r="B197" s="1" t="s">
        <v>1004</v>
      </c>
      <c r="C197" s="1" t="s">
        <v>643</v>
      </c>
      <c r="D197" s="1" t="s">
        <v>1005</v>
      </c>
      <c r="E197" t="s">
        <v>38</v>
      </c>
      <c r="F197" t="s">
        <v>1006</v>
      </c>
      <c r="G197" t="s">
        <v>122</v>
      </c>
      <c r="H197" t="s">
        <v>41</v>
      </c>
      <c r="I197" s="1" t="s">
        <v>28</v>
      </c>
      <c r="J197" t="s">
        <v>42</v>
      </c>
      <c r="K197" t="s">
        <v>43</v>
      </c>
      <c r="L197" s="1">
        <v>355291</v>
      </c>
      <c r="M197" s="1" t="s">
        <v>44</v>
      </c>
      <c r="N197" t="s">
        <v>1007</v>
      </c>
      <c r="O197" t="s">
        <v>46</v>
      </c>
      <c r="P197" t="s">
        <v>47</v>
      </c>
      <c r="Q197" t="s">
        <v>48</v>
      </c>
      <c r="R197">
        <v>80120.61</v>
      </c>
      <c r="S197" s="25" t="e">
        <f>IF(Table1[[#This Row],[Sales]]=MIN(Table1[Sales]), Table1[[#This Row],[Sales]], NA())</f>
        <v>#N/A</v>
      </c>
      <c r="T197" s="25">
        <f>IF(AND(Table1[[#This Row],[Sales]]&lt;&gt;MIN(Table1[Sales]),Table1[[#This Row],[Sales]]&lt;&gt;MAX(Table1[Sales])), Table1[[#This Row],[Sales]], NA())</f>
        <v>80120.61</v>
      </c>
      <c r="U197" s="25" t="e">
        <f>IF(Table1[[#This Row],[Sales]]=MAX(Table1[Sales]), Table1[[#This Row],[Sales]], NA())</f>
        <v>#N/A</v>
      </c>
      <c r="V197">
        <v>1</v>
      </c>
      <c r="W197">
        <v>0.3</v>
      </c>
      <c r="X197">
        <v>400.6</v>
      </c>
      <c r="Y197" s="3">
        <f>YEAR(Table1[[#This Row],[Order Date]])</f>
        <v>2023</v>
      </c>
      <c r="Z197" s="3" t="str">
        <f>TEXT(Table1[[#This Row],[Order Date]],"MMM")</f>
        <v>Nov</v>
      </c>
      <c r="AA197" s="3">
        <f>DAY(Table1[[#This Row],[Order Date]])</f>
        <v>4</v>
      </c>
    </row>
    <row r="198" spans="1:27" x14ac:dyDescent="0.35">
      <c r="A198" s="1">
        <v>197</v>
      </c>
      <c r="B198" s="1" t="s">
        <v>1008</v>
      </c>
      <c r="C198" s="1" t="s">
        <v>1009</v>
      </c>
      <c r="D198" s="1" t="s">
        <v>1010</v>
      </c>
      <c r="E198" t="s">
        <v>115</v>
      </c>
      <c r="F198" t="s">
        <v>1011</v>
      </c>
      <c r="G198" t="s">
        <v>75</v>
      </c>
      <c r="H198" t="s">
        <v>27</v>
      </c>
      <c r="I198" s="1" t="s">
        <v>28</v>
      </c>
      <c r="J198" t="s">
        <v>64</v>
      </c>
      <c r="K198" t="s">
        <v>65</v>
      </c>
      <c r="L198" s="1">
        <v>465456</v>
      </c>
      <c r="M198" s="1" t="s">
        <v>66</v>
      </c>
      <c r="N198" t="s">
        <v>1012</v>
      </c>
      <c r="O198" t="s">
        <v>46</v>
      </c>
      <c r="P198" t="s">
        <v>47</v>
      </c>
      <c r="Q198" t="s">
        <v>48</v>
      </c>
      <c r="R198">
        <v>69871.34</v>
      </c>
      <c r="S198" s="25" t="e">
        <f>IF(Table1[[#This Row],[Sales]]=MIN(Table1[Sales]), Table1[[#This Row],[Sales]], NA())</f>
        <v>#N/A</v>
      </c>
      <c r="T198" s="25">
        <f>IF(AND(Table1[[#This Row],[Sales]]&lt;&gt;MIN(Table1[Sales]),Table1[[#This Row],[Sales]]&lt;&gt;MAX(Table1[Sales])), Table1[[#This Row],[Sales]], NA())</f>
        <v>69871.34</v>
      </c>
      <c r="U198" s="25" t="e">
        <f>IF(Table1[[#This Row],[Sales]]=MAX(Table1[Sales]), Table1[[#This Row],[Sales]], NA())</f>
        <v>#N/A</v>
      </c>
      <c r="V198">
        <v>7</v>
      </c>
      <c r="W198">
        <v>0.2</v>
      </c>
      <c r="X198">
        <v>2096.14</v>
      </c>
      <c r="Y198" s="3">
        <f>YEAR(Table1[[#This Row],[Order Date]])</f>
        <v>2025</v>
      </c>
      <c r="Z198" s="3" t="str">
        <f>TEXT(Table1[[#This Row],[Order Date]],"MMM")</f>
        <v>Aug</v>
      </c>
      <c r="AA198" s="3">
        <f>DAY(Table1[[#This Row],[Order Date]])</f>
        <v>28</v>
      </c>
    </row>
    <row r="199" spans="1:27" x14ac:dyDescent="0.35">
      <c r="A199" s="1">
        <v>198</v>
      </c>
      <c r="B199" s="1" t="s">
        <v>1013</v>
      </c>
      <c r="C199" s="1" t="s">
        <v>1014</v>
      </c>
      <c r="D199" s="1" t="s">
        <v>1015</v>
      </c>
      <c r="E199" t="s">
        <v>38</v>
      </c>
      <c r="F199" t="s">
        <v>1016</v>
      </c>
      <c r="G199" t="s">
        <v>122</v>
      </c>
      <c r="H199" t="s">
        <v>94</v>
      </c>
      <c r="I199" s="1" t="s">
        <v>28</v>
      </c>
      <c r="J199" t="s">
        <v>128</v>
      </c>
      <c r="K199" t="s">
        <v>129</v>
      </c>
      <c r="L199" s="1">
        <v>127218</v>
      </c>
      <c r="M199" s="1" t="s">
        <v>66</v>
      </c>
      <c r="N199" t="s">
        <v>1017</v>
      </c>
      <c r="O199" t="s">
        <v>46</v>
      </c>
      <c r="P199" t="s">
        <v>47</v>
      </c>
      <c r="Q199" t="s">
        <v>48</v>
      </c>
      <c r="R199">
        <v>4679.46</v>
      </c>
      <c r="S199" s="25" t="e">
        <f>IF(Table1[[#This Row],[Sales]]=MIN(Table1[Sales]), Table1[[#This Row],[Sales]], NA())</f>
        <v>#N/A</v>
      </c>
      <c r="T199" s="25">
        <f>IF(AND(Table1[[#This Row],[Sales]]&lt;&gt;MIN(Table1[Sales]),Table1[[#This Row],[Sales]]&lt;&gt;MAX(Table1[Sales])), Table1[[#This Row],[Sales]], NA())</f>
        <v>4679.46</v>
      </c>
      <c r="U199" s="25" t="e">
        <f>IF(Table1[[#This Row],[Sales]]=MAX(Table1[Sales]), Table1[[#This Row],[Sales]], NA())</f>
        <v>#N/A</v>
      </c>
      <c r="V199">
        <v>1</v>
      </c>
      <c r="W199">
        <v>0.2</v>
      </c>
      <c r="X199">
        <v>140.38</v>
      </c>
      <c r="Y199" s="3">
        <f>YEAR(Table1[[#This Row],[Order Date]])</f>
        <v>2025</v>
      </c>
      <c r="Z199" s="3" t="str">
        <f>TEXT(Table1[[#This Row],[Order Date]],"MMM")</f>
        <v>Sep</v>
      </c>
      <c r="AA199" s="3">
        <f>DAY(Table1[[#This Row],[Order Date]])</f>
        <v>27</v>
      </c>
    </row>
    <row r="200" spans="1:27" x14ac:dyDescent="0.35">
      <c r="A200" s="1">
        <v>199</v>
      </c>
      <c r="B200" s="1" t="s">
        <v>1018</v>
      </c>
      <c r="C200" s="1" t="s">
        <v>1019</v>
      </c>
      <c r="D200" s="1" t="s">
        <v>212</v>
      </c>
      <c r="E200" t="s">
        <v>24</v>
      </c>
      <c r="F200" t="s">
        <v>1020</v>
      </c>
      <c r="G200" t="s">
        <v>26</v>
      </c>
      <c r="H200" t="s">
        <v>41</v>
      </c>
      <c r="I200" s="1" t="s">
        <v>28</v>
      </c>
      <c r="J200" t="s">
        <v>29</v>
      </c>
      <c r="K200" t="s">
        <v>29</v>
      </c>
      <c r="L200" s="1">
        <v>477221</v>
      </c>
      <c r="M200" s="1" t="s">
        <v>30</v>
      </c>
      <c r="N200" t="s">
        <v>1021</v>
      </c>
      <c r="O200" t="s">
        <v>46</v>
      </c>
      <c r="P200" t="s">
        <v>57</v>
      </c>
      <c r="Q200" t="s">
        <v>58</v>
      </c>
      <c r="R200">
        <v>5325.11</v>
      </c>
      <c r="S200" s="25" t="e">
        <f>IF(Table1[[#This Row],[Sales]]=MIN(Table1[Sales]), Table1[[#This Row],[Sales]], NA())</f>
        <v>#N/A</v>
      </c>
      <c r="T200" s="25">
        <f>IF(AND(Table1[[#This Row],[Sales]]&lt;&gt;MIN(Table1[Sales]),Table1[[#This Row],[Sales]]&lt;&gt;MAX(Table1[Sales])), Table1[[#This Row],[Sales]], NA())</f>
        <v>5325.11</v>
      </c>
      <c r="U200" s="25" t="e">
        <f>IF(Table1[[#This Row],[Sales]]=MAX(Table1[Sales]), Table1[[#This Row],[Sales]], NA())</f>
        <v>#N/A</v>
      </c>
      <c r="V200">
        <v>4</v>
      </c>
      <c r="W200">
        <v>0</v>
      </c>
      <c r="X200">
        <v>426.01</v>
      </c>
      <c r="Y200" s="3">
        <f>YEAR(Table1[[#This Row],[Order Date]])</f>
        <v>2022</v>
      </c>
      <c r="Z200" s="3" t="str">
        <f>TEXT(Table1[[#This Row],[Order Date]],"MMM")</f>
        <v>Jun</v>
      </c>
      <c r="AA200" s="3">
        <f>DAY(Table1[[#This Row],[Order Date]])</f>
        <v>23</v>
      </c>
    </row>
    <row r="201" spans="1:27" x14ac:dyDescent="0.35">
      <c r="A201" s="1">
        <v>200</v>
      </c>
      <c r="B201" s="1" t="s">
        <v>1022</v>
      </c>
      <c r="C201" s="1" t="s">
        <v>1023</v>
      </c>
      <c r="D201" s="1" t="s">
        <v>1024</v>
      </c>
      <c r="E201" t="s">
        <v>24</v>
      </c>
      <c r="F201" t="s">
        <v>1025</v>
      </c>
      <c r="G201" t="s">
        <v>81</v>
      </c>
      <c r="H201" t="s">
        <v>94</v>
      </c>
      <c r="I201" s="1" t="s">
        <v>28</v>
      </c>
      <c r="J201" t="s">
        <v>53</v>
      </c>
      <c r="K201" t="s">
        <v>54</v>
      </c>
      <c r="L201" s="1">
        <v>646040</v>
      </c>
      <c r="M201" s="1" t="s">
        <v>55</v>
      </c>
      <c r="N201" t="s">
        <v>1026</v>
      </c>
      <c r="O201" t="s">
        <v>68</v>
      </c>
      <c r="P201" t="s">
        <v>69</v>
      </c>
      <c r="Q201" t="s">
        <v>70</v>
      </c>
      <c r="R201">
        <v>96665.49</v>
      </c>
      <c r="S201" s="25" t="e">
        <f>IF(Table1[[#This Row],[Sales]]=MIN(Table1[Sales]), Table1[[#This Row],[Sales]], NA())</f>
        <v>#N/A</v>
      </c>
      <c r="T201" s="25">
        <f>IF(AND(Table1[[#This Row],[Sales]]&lt;&gt;MIN(Table1[Sales]),Table1[[#This Row],[Sales]]&lt;&gt;MAX(Table1[Sales])), Table1[[#This Row],[Sales]], NA())</f>
        <v>96665.49</v>
      </c>
      <c r="U201" s="25" t="e">
        <f>IF(Table1[[#This Row],[Sales]]=MAX(Table1[Sales]), Table1[[#This Row],[Sales]], NA())</f>
        <v>#N/A</v>
      </c>
      <c r="V201">
        <v>10</v>
      </c>
      <c r="W201">
        <v>0.3</v>
      </c>
      <c r="X201">
        <v>483.33</v>
      </c>
      <c r="Y201" s="3">
        <f>YEAR(Table1[[#This Row],[Order Date]])</f>
        <v>2021</v>
      </c>
      <c r="Z201" s="3" t="str">
        <f>TEXT(Table1[[#This Row],[Order Date]],"MMM")</f>
        <v>Aug</v>
      </c>
      <c r="AA201" s="3">
        <f>DAY(Table1[[#This Row],[Order Date]])</f>
        <v>29</v>
      </c>
    </row>
    <row r="202" spans="1:27" x14ac:dyDescent="0.35">
      <c r="A202" s="1">
        <v>201</v>
      </c>
      <c r="B202" s="1" t="s">
        <v>1027</v>
      </c>
      <c r="C202" s="1" t="s">
        <v>1028</v>
      </c>
      <c r="D202" s="1" t="s">
        <v>1029</v>
      </c>
      <c r="E202" t="s">
        <v>38</v>
      </c>
      <c r="F202" t="s">
        <v>1030</v>
      </c>
      <c r="G202" t="s">
        <v>140</v>
      </c>
      <c r="H202" t="s">
        <v>41</v>
      </c>
      <c r="I202" s="1" t="s">
        <v>28</v>
      </c>
      <c r="J202" t="s">
        <v>42</v>
      </c>
      <c r="K202" t="s">
        <v>43</v>
      </c>
      <c r="L202" s="1">
        <v>769652</v>
      </c>
      <c r="M202" s="1" t="s">
        <v>44</v>
      </c>
      <c r="N202" t="s">
        <v>1031</v>
      </c>
      <c r="O202" t="s">
        <v>32</v>
      </c>
      <c r="P202" t="s">
        <v>33</v>
      </c>
      <c r="Q202" t="s">
        <v>34</v>
      </c>
      <c r="R202">
        <v>61900.44</v>
      </c>
      <c r="S202" s="25" t="e">
        <f>IF(Table1[[#This Row],[Sales]]=MIN(Table1[Sales]), Table1[[#This Row],[Sales]], NA())</f>
        <v>#N/A</v>
      </c>
      <c r="T202" s="25">
        <f>IF(AND(Table1[[#This Row],[Sales]]&lt;&gt;MIN(Table1[Sales]),Table1[[#This Row],[Sales]]&lt;&gt;MAX(Table1[Sales])), Table1[[#This Row],[Sales]], NA())</f>
        <v>61900.44</v>
      </c>
      <c r="U202" s="25" t="e">
        <f>IF(Table1[[#This Row],[Sales]]=MAX(Table1[Sales]), Table1[[#This Row],[Sales]], NA())</f>
        <v>#N/A</v>
      </c>
      <c r="V202">
        <v>7</v>
      </c>
      <c r="W202">
        <v>0.3</v>
      </c>
      <c r="X202">
        <v>309.5</v>
      </c>
      <c r="Y202" s="3">
        <f>YEAR(Table1[[#This Row],[Order Date]])</f>
        <v>2025</v>
      </c>
      <c r="Z202" s="3" t="str">
        <f>TEXT(Table1[[#This Row],[Order Date]],"MMM")</f>
        <v>Jun</v>
      </c>
      <c r="AA202" s="3">
        <f>DAY(Table1[[#This Row],[Order Date]])</f>
        <v>22</v>
      </c>
    </row>
    <row r="203" spans="1:27" x14ac:dyDescent="0.35">
      <c r="A203" s="1">
        <v>202</v>
      </c>
      <c r="B203" s="1" t="s">
        <v>1032</v>
      </c>
      <c r="C203" s="1" t="s">
        <v>1033</v>
      </c>
      <c r="D203" s="1" t="s">
        <v>943</v>
      </c>
      <c r="E203" t="s">
        <v>24</v>
      </c>
      <c r="F203" t="s">
        <v>1034</v>
      </c>
      <c r="G203" t="s">
        <v>40</v>
      </c>
      <c r="H203" t="s">
        <v>41</v>
      </c>
      <c r="I203" s="1" t="s">
        <v>28</v>
      </c>
      <c r="J203" t="s">
        <v>64</v>
      </c>
      <c r="K203" t="s">
        <v>65</v>
      </c>
      <c r="L203" s="1">
        <v>192478</v>
      </c>
      <c r="M203" s="1" t="s">
        <v>66</v>
      </c>
      <c r="N203" t="s">
        <v>1035</v>
      </c>
      <c r="O203" t="s">
        <v>68</v>
      </c>
      <c r="P203" t="s">
        <v>69</v>
      </c>
      <c r="Q203" t="s">
        <v>70</v>
      </c>
      <c r="R203">
        <v>21065.11</v>
      </c>
      <c r="S203" s="25" t="e">
        <f>IF(Table1[[#This Row],[Sales]]=MIN(Table1[Sales]), Table1[[#This Row],[Sales]], NA())</f>
        <v>#N/A</v>
      </c>
      <c r="T203" s="25">
        <f>IF(AND(Table1[[#This Row],[Sales]]&lt;&gt;MIN(Table1[Sales]),Table1[[#This Row],[Sales]]&lt;&gt;MAX(Table1[Sales])), Table1[[#This Row],[Sales]], NA())</f>
        <v>21065.11</v>
      </c>
      <c r="U203" s="25" t="e">
        <f>IF(Table1[[#This Row],[Sales]]=MAX(Table1[Sales]), Table1[[#This Row],[Sales]], NA())</f>
        <v>#N/A</v>
      </c>
      <c r="V203">
        <v>10</v>
      </c>
      <c r="W203">
        <v>0.1</v>
      </c>
      <c r="X203">
        <v>1158.58</v>
      </c>
      <c r="Y203" s="3">
        <f>YEAR(Table1[[#This Row],[Order Date]])</f>
        <v>2024</v>
      </c>
      <c r="Z203" s="3" t="str">
        <f>TEXT(Table1[[#This Row],[Order Date]],"MMM")</f>
        <v>Jul</v>
      </c>
      <c r="AA203" s="3">
        <f>DAY(Table1[[#This Row],[Order Date]])</f>
        <v>25</v>
      </c>
    </row>
    <row r="204" spans="1:27" x14ac:dyDescent="0.35">
      <c r="A204" s="1">
        <v>203</v>
      </c>
      <c r="B204" s="1" t="s">
        <v>1036</v>
      </c>
      <c r="C204" s="1" t="s">
        <v>181</v>
      </c>
      <c r="D204" s="1" t="s">
        <v>1037</v>
      </c>
      <c r="E204" t="s">
        <v>62</v>
      </c>
      <c r="F204" t="s">
        <v>1038</v>
      </c>
      <c r="G204" t="s">
        <v>93</v>
      </c>
      <c r="H204" t="s">
        <v>41</v>
      </c>
      <c r="I204" s="1" t="s">
        <v>28</v>
      </c>
      <c r="J204" t="s">
        <v>42</v>
      </c>
      <c r="K204" t="s">
        <v>43</v>
      </c>
      <c r="L204" s="1">
        <v>571909</v>
      </c>
      <c r="M204" s="1" t="s">
        <v>44</v>
      </c>
      <c r="N204" t="s">
        <v>1039</v>
      </c>
      <c r="O204" t="s">
        <v>46</v>
      </c>
      <c r="P204" t="s">
        <v>47</v>
      </c>
      <c r="Q204" t="s">
        <v>48</v>
      </c>
      <c r="R204">
        <v>59049.55</v>
      </c>
      <c r="S204" s="25" t="e">
        <f>IF(Table1[[#This Row],[Sales]]=MIN(Table1[Sales]), Table1[[#This Row],[Sales]], NA())</f>
        <v>#N/A</v>
      </c>
      <c r="T204" s="25">
        <f>IF(AND(Table1[[#This Row],[Sales]]&lt;&gt;MIN(Table1[Sales]),Table1[[#This Row],[Sales]]&lt;&gt;MAX(Table1[Sales])), Table1[[#This Row],[Sales]], NA())</f>
        <v>59049.55</v>
      </c>
      <c r="U204" s="25" t="e">
        <f>IF(Table1[[#This Row],[Sales]]=MAX(Table1[Sales]), Table1[[#This Row],[Sales]], NA())</f>
        <v>#N/A</v>
      </c>
      <c r="V204">
        <v>7</v>
      </c>
      <c r="W204">
        <v>0</v>
      </c>
      <c r="X204">
        <v>4723.96</v>
      </c>
      <c r="Y204" s="3">
        <f>YEAR(Table1[[#This Row],[Order Date]])</f>
        <v>2022</v>
      </c>
      <c r="Z204" s="3" t="str">
        <f>TEXT(Table1[[#This Row],[Order Date]],"MMM")</f>
        <v>Apr</v>
      </c>
      <c r="AA204" s="3">
        <f>DAY(Table1[[#This Row],[Order Date]])</f>
        <v>1</v>
      </c>
    </row>
    <row r="205" spans="1:27" x14ac:dyDescent="0.35">
      <c r="A205" s="1">
        <v>204</v>
      </c>
      <c r="B205" s="1" t="s">
        <v>1040</v>
      </c>
      <c r="C205" s="1" t="s">
        <v>948</v>
      </c>
      <c r="D205" s="1" t="s">
        <v>1041</v>
      </c>
      <c r="E205" t="s">
        <v>62</v>
      </c>
      <c r="F205" t="s">
        <v>1042</v>
      </c>
      <c r="G205" t="s">
        <v>140</v>
      </c>
      <c r="H205" t="s">
        <v>27</v>
      </c>
      <c r="I205" s="1" t="s">
        <v>28</v>
      </c>
      <c r="J205" t="s">
        <v>128</v>
      </c>
      <c r="K205" t="s">
        <v>129</v>
      </c>
      <c r="L205" s="1">
        <v>638157</v>
      </c>
      <c r="M205" s="1" t="s">
        <v>66</v>
      </c>
      <c r="N205" t="s">
        <v>1043</v>
      </c>
      <c r="O205" t="s">
        <v>46</v>
      </c>
      <c r="P205" t="s">
        <v>57</v>
      </c>
      <c r="Q205" t="s">
        <v>58</v>
      </c>
      <c r="R205">
        <v>15568.03</v>
      </c>
      <c r="S205" s="25" t="e">
        <f>IF(Table1[[#This Row],[Sales]]=MIN(Table1[Sales]), Table1[[#This Row],[Sales]], NA())</f>
        <v>#N/A</v>
      </c>
      <c r="T205" s="25">
        <f>IF(AND(Table1[[#This Row],[Sales]]&lt;&gt;MIN(Table1[Sales]),Table1[[#This Row],[Sales]]&lt;&gt;MAX(Table1[Sales])), Table1[[#This Row],[Sales]], NA())</f>
        <v>15568.03</v>
      </c>
      <c r="U205" s="25" t="e">
        <f>IF(Table1[[#This Row],[Sales]]=MAX(Table1[Sales]), Table1[[#This Row],[Sales]], NA())</f>
        <v>#N/A</v>
      </c>
      <c r="V205">
        <v>10</v>
      </c>
      <c r="W205">
        <v>0.2</v>
      </c>
      <c r="X205">
        <v>467.04</v>
      </c>
      <c r="Y205" s="3">
        <f>YEAR(Table1[[#This Row],[Order Date]])</f>
        <v>2025</v>
      </c>
      <c r="Z205" s="3" t="str">
        <f>TEXT(Table1[[#This Row],[Order Date]],"MMM")</f>
        <v>Dec</v>
      </c>
      <c r="AA205" s="3">
        <f>DAY(Table1[[#This Row],[Order Date]])</f>
        <v>28</v>
      </c>
    </row>
    <row r="206" spans="1:27" x14ac:dyDescent="0.35">
      <c r="A206" s="1">
        <v>205</v>
      </c>
      <c r="B206" s="1" t="s">
        <v>1044</v>
      </c>
      <c r="C206" s="1" t="s">
        <v>1045</v>
      </c>
      <c r="D206" s="1" t="s">
        <v>1046</v>
      </c>
      <c r="E206" t="s">
        <v>38</v>
      </c>
      <c r="F206" t="s">
        <v>1047</v>
      </c>
      <c r="G206" t="s">
        <v>26</v>
      </c>
      <c r="H206" t="s">
        <v>41</v>
      </c>
      <c r="I206" s="1" t="s">
        <v>28</v>
      </c>
      <c r="J206" t="s">
        <v>128</v>
      </c>
      <c r="K206" t="s">
        <v>129</v>
      </c>
      <c r="L206" s="1">
        <v>599783</v>
      </c>
      <c r="M206" s="1" t="s">
        <v>66</v>
      </c>
      <c r="N206" t="s">
        <v>1048</v>
      </c>
      <c r="O206" t="s">
        <v>68</v>
      </c>
      <c r="P206" t="s">
        <v>69</v>
      </c>
      <c r="Q206" t="s">
        <v>70</v>
      </c>
      <c r="R206">
        <v>80701.37</v>
      </c>
      <c r="S206" s="25" t="e">
        <f>IF(Table1[[#This Row],[Sales]]=MIN(Table1[Sales]), Table1[[#This Row],[Sales]], NA())</f>
        <v>#N/A</v>
      </c>
      <c r="T206" s="25">
        <f>IF(AND(Table1[[#This Row],[Sales]]&lt;&gt;MIN(Table1[Sales]),Table1[[#This Row],[Sales]]&lt;&gt;MAX(Table1[Sales])), Table1[[#This Row],[Sales]], NA())</f>
        <v>80701.37</v>
      </c>
      <c r="U206" s="25" t="e">
        <f>IF(Table1[[#This Row],[Sales]]=MAX(Table1[Sales]), Table1[[#This Row],[Sales]], NA())</f>
        <v>#N/A</v>
      </c>
      <c r="V206">
        <v>1</v>
      </c>
      <c r="W206">
        <v>0</v>
      </c>
      <c r="X206">
        <v>6456.11</v>
      </c>
      <c r="Y206" s="3">
        <f>YEAR(Table1[[#This Row],[Order Date]])</f>
        <v>2022</v>
      </c>
      <c r="Z206" s="3" t="str">
        <f>TEXT(Table1[[#This Row],[Order Date]],"MMM")</f>
        <v>May</v>
      </c>
      <c r="AA206" s="3">
        <f>DAY(Table1[[#This Row],[Order Date]])</f>
        <v>2</v>
      </c>
    </row>
    <row r="207" spans="1:27" x14ac:dyDescent="0.35">
      <c r="A207" s="1">
        <v>206</v>
      </c>
      <c r="B207" s="1" t="s">
        <v>1049</v>
      </c>
      <c r="C207" s="1" t="s">
        <v>707</v>
      </c>
      <c r="D207" s="1" t="s">
        <v>1009</v>
      </c>
      <c r="E207" t="s">
        <v>24</v>
      </c>
      <c r="F207" t="s">
        <v>1050</v>
      </c>
      <c r="G207" t="s">
        <v>26</v>
      </c>
      <c r="H207" t="s">
        <v>27</v>
      </c>
      <c r="I207" s="1" t="s">
        <v>28</v>
      </c>
      <c r="J207" t="s">
        <v>128</v>
      </c>
      <c r="K207" t="s">
        <v>129</v>
      </c>
      <c r="L207" s="1">
        <v>505448</v>
      </c>
      <c r="M207" s="1" t="s">
        <v>66</v>
      </c>
      <c r="N207" t="s">
        <v>1051</v>
      </c>
      <c r="O207" t="s">
        <v>32</v>
      </c>
      <c r="P207" t="s">
        <v>33</v>
      </c>
      <c r="Q207" t="s">
        <v>34</v>
      </c>
      <c r="R207">
        <v>54770.77</v>
      </c>
      <c r="S207" s="25" t="e">
        <f>IF(Table1[[#This Row],[Sales]]=MIN(Table1[Sales]), Table1[[#This Row],[Sales]], NA())</f>
        <v>#N/A</v>
      </c>
      <c r="T207" s="25">
        <f>IF(AND(Table1[[#This Row],[Sales]]&lt;&gt;MIN(Table1[Sales]),Table1[[#This Row],[Sales]]&lt;&gt;MAX(Table1[Sales])), Table1[[#This Row],[Sales]], NA())</f>
        <v>54770.77</v>
      </c>
      <c r="U207" s="25" t="e">
        <f>IF(Table1[[#This Row],[Sales]]=MAX(Table1[Sales]), Table1[[#This Row],[Sales]], NA())</f>
        <v>#N/A</v>
      </c>
      <c r="V207">
        <v>6</v>
      </c>
      <c r="W207">
        <v>0.3</v>
      </c>
      <c r="X207">
        <v>273.85000000000002</v>
      </c>
      <c r="Y207" s="3">
        <f>YEAR(Table1[[#This Row],[Order Date]])</f>
        <v>2025</v>
      </c>
      <c r="Z207" s="3" t="str">
        <f>TEXT(Table1[[#This Row],[Order Date]],"MMM")</f>
        <v>Aug</v>
      </c>
      <c r="AA207" s="3">
        <f>DAY(Table1[[#This Row],[Order Date]])</f>
        <v>21</v>
      </c>
    </row>
    <row r="208" spans="1:27" x14ac:dyDescent="0.35">
      <c r="A208" s="1">
        <v>207</v>
      </c>
      <c r="B208" s="1" t="s">
        <v>1052</v>
      </c>
      <c r="C208" s="1" t="s">
        <v>1053</v>
      </c>
      <c r="D208" s="1" t="s">
        <v>1054</v>
      </c>
      <c r="E208" t="s">
        <v>115</v>
      </c>
      <c r="F208" t="s">
        <v>1055</v>
      </c>
      <c r="G208" t="s">
        <v>93</v>
      </c>
      <c r="H208" t="s">
        <v>27</v>
      </c>
      <c r="I208" s="1" t="s">
        <v>28</v>
      </c>
      <c r="J208" t="s">
        <v>42</v>
      </c>
      <c r="K208" t="s">
        <v>43</v>
      </c>
      <c r="L208" s="1">
        <v>598055</v>
      </c>
      <c r="M208" s="1" t="s">
        <v>44</v>
      </c>
      <c r="N208" t="s">
        <v>1056</v>
      </c>
      <c r="O208" t="s">
        <v>46</v>
      </c>
      <c r="P208" t="s">
        <v>47</v>
      </c>
      <c r="Q208" t="s">
        <v>48</v>
      </c>
      <c r="R208">
        <v>44723.7</v>
      </c>
      <c r="S208" s="25" t="e">
        <f>IF(Table1[[#This Row],[Sales]]=MIN(Table1[Sales]), Table1[[#This Row],[Sales]], NA())</f>
        <v>#N/A</v>
      </c>
      <c r="T208" s="25">
        <f>IF(AND(Table1[[#This Row],[Sales]]&lt;&gt;MIN(Table1[Sales]),Table1[[#This Row],[Sales]]&lt;&gt;MAX(Table1[Sales])), Table1[[#This Row],[Sales]], NA())</f>
        <v>44723.7</v>
      </c>
      <c r="U208" s="25" t="e">
        <f>IF(Table1[[#This Row],[Sales]]=MAX(Table1[Sales]), Table1[[#This Row],[Sales]], NA())</f>
        <v>#N/A</v>
      </c>
      <c r="V208">
        <v>6</v>
      </c>
      <c r="W208">
        <v>0.3</v>
      </c>
      <c r="X208">
        <v>223.62</v>
      </c>
      <c r="Y208" s="3">
        <f>YEAR(Table1[[#This Row],[Order Date]])</f>
        <v>2023</v>
      </c>
      <c r="Z208" s="3" t="str">
        <f>TEXT(Table1[[#This Row],[Order Date]],"MMM")</f>
        <v>Jun</v>
      </c>
      <c r="AA208" s="3">
        <f>DAY(Table1[[#This Row],[Order Date]])</f>
        <v>29</v>
      </c>
    </row>
    <row r="209" spans="1:27" x14ac:dyDescent="0.35">
      <c r="A209" s="1">
        <v>208</v>
      </c>
      <c r="B209" s="1" t="s">
        <v>1057</v>
      </c>
      <c r="C209" s="1" t="s">
        <v>1058</v>
      </c>
      <c r="D209" s="1" t="s">
        <v>1059</v>
      </c>
      <c r="E209" t="s">
        <v>24</v>
      </c>
      <c r="F209" t="s">
        <v>1060</v>
      </c>
      <c r="G209" t="s">
        <v>122</v>
      </c>
      <c r="H209" t="s">
        <v>27</v>
      </c>
      <c r="I209" s="1" t="s">
        <v>28</v>
      </c>
      <c r="J209" t="s">
        <v>64</v>
      </c>
      <c r="K209" t="s">
        <v>65</v>
      </c>
      <c r="L209" s="1">
        <v>259865</v>
      </c>
      <c r="M209" s="1" t="s">
        <v>66</v>
      </c>
      <c r="N209" t="s">
        <v>1061</v>
      </c>
      <c r="O209" t="s">
        <v>46</v>
      </c>
      <c r="P209" t="s">
        <v>47</v>
      </c>
      <c r="Q209" t="s">
        <v>48</v>
      </c>
      <c r="R209">
        <v>31931.21</v>
      </c>
      <c r="S209" s="25" t="e">
        <f>IF(Table1[[#This Row],[Sales]]=MIN(Table1[Sales]), Table1[[#This Row],[Sales]], NA())</f>
        <v>#N/A</v>
      </c>
      <c r="T209" s="25">
        <f>IF(AND(Table1[[#This Row],[Sales]]&lt;&gt;MIN(Table1[Sales]),Table1[[#This Row],[Sales]]&lt;&gt;MAX(Table1[Sales])), Table1[[#This Row],[Sales]], NA())</f>
        <v>31931.21</v>
      </c>
      <c r="U209" s="25" t="e">
        <f>IF(Table1[[#This Row],[Sales]]=MAX(Table1[Sales]), Table1[[#This Row],[Sales]], NA())</f>
        <v>#N/A</v>
      </c>
      <c r="V209">
        <v>4</v>
      </c>
      <c r="W209">
        <v>0.3</v>
      </c>
      <c r="X209">
        <v>159.66</v>
      </c>
      <c r="Y209" s="3">
        <f>YEAR(Table1[[#This Row],[Order Date]])</f>
        <v>2021</v>
      </c>
      <c r="Z209" s="3" t="str">
        <f>TEXT(Table1[[#This Row],[Order Date]],"MMM")</f>
        <v>May</v>
      </c>
      <c r="AA209" s="3">
        <f>DAY(Table1[[#This Row],[Order Date]])</f>
        <v>12</v>
      </c>
    </row>
    <row r="210" spans="1:27" x14ac:dyDescent="0.35">
      <c r="A210" s="1">
        <v>209</v>
      </c>
      <c r="B210" s="1" t="s">
        <v>1062</v>
      </c>
      <c r="C210" s="1" t="s">
        <v>1063</v>
      </c>
      <c r="D210" s="1" t="s">
        <v>703</v>
      </c>
      <c r="E210" t="s">
        <v>62</v>
      </c>
      <c r="F210" t="s">
        <v>1064</v>
      </c>
      <c r="G210" t="s">
        <v>140</v>
      </c>
      <c r="H210" t="s">
        <v>94</v>
      </c>
      <c r="I210" s="1" t="s">
        <v>28</v>
      </c>
      <c r="J210" t="s">
        <v>42</v>
      </c>
      <c r="K210" t="s">
        <v>43</v>
      </c>
      <c r="L210" s="1">
        <v>498794</v>
      </c>
      <c r="M210" s="1" t="s">
        <v>44</v>
      </c>
      <c r="N210" t="s">
        <v>1065</v>
      </c>
      <c r="O210" t="s">
        <v>68</v>
      </c>
      <c r="P210" t="s">
        <v>69</v>
      </c>
      <c r="Q210" t="s">
        <v>70</v>
      </c>
      <c r="R210">
        <v>52141.61</v>
      </c>
      <c r="S210" s="25" t="e">
        <f>IF(Table1[[#This Row],[Sales]]=MIN(Table1[Sales]), Table1[[#This Row],[Sales]], NA())</f>
        <v>#N/A</v>
      </c>
      <c r="T210" s="25">
        <f>IF(AND(Table1[[#This Row],[Sales]]&lt;&gt;MIN(Table1[Sales]),Table1[[#This Row],[Sales]]&lt;&gt;MAX(Table1[Sales])), Table1[[#This Row],[Sales]], NA())</f>
        <v>52141.61</v>
      </c>
      <c r="U210" s="25" t="e">
        <f>IF(Table1[[#This Row],[Sales]]=MAX(Table1[Sales]), Table1[[#This Row],[Sales]], NA())</f>
        <v>#N/A</v>
      </c>
      <c r="V210">
        <v>6</v>
      </c>
      <c r="W210">
        <v>0.2</v>
      </c>
      <c r="X210">
        <v>1564.25</v>
      </c>
      <c r="Y210" s="3">
        <f>YEAR(Table1[[#This Row],[Order Date]])</f>
        <v>2025</v>
      </c>
      <c r="Z210" s="3" t="str">
        <f>TEXT(Table1[[#This Row],[Order Date]],"MMM")</f>
        <v>Jul</v>
      </c>
      <c r="AA210" s="3">
        <f>DAY(Table1[[#This Row],[Order Date]])</f>
        <v>2</v>
      </c>
    </row>
    <row r="211" spans="1:27" x14ac:dyDescent="0.35">
      <c r="A211" s="1">
        <v>210</v>
      </c>
      <c r="B211" s="1" t="s">
        <v>1066</v>
      </c>
      <c r="C211" s="1" t="s">
        <v>1067</v>
      </c>
      <c r="D211" s="1" t="s">
        <v>1068</v>
      </c>
      <c r="E211" t="s">
        <v>38</v>
      </c>
      <c r="F211" t="s">
        <v>1069</v>
      </c>
      <c r="G211" t="s">
        <v>81</v>
      </c>
      <c r="H211" t="s">
        <v>41</v>
      </c>
      <c r="I211" s="1" t="s">
        <v>28</v>
      </c>
      <c r="J211" t="s">
        <v>29</v>
      </c>
      <c r="K211" t="s">
        <v>29</v>
      </c>
      <c r="L211" s="1">
        <v>998331</v>
      </c>
      <c r="M211" s="1" t="s">
        <v>30</v>
      </c>
      <c r="N211" t="s">
        <v>1070</v>
      </c>
      <c r="O211" t="s">
        <v>32</v>
      </c>
      <c r="P211" t="s">
        <v>33</v>
      </c>
      <c r="Q211" t="s">
        <v>34</v>
      </c>
      <c r="R211">
        <v>64726.66</v>
      </c>
      <c r="S211" s="25" t="e">
        <f>IF(Table1[[#This Row],[Sales]]=MIN(Table1[Sales]), Table1[[#This Row],[Sales]], NA())</f>
        <v>#N/A</v>
      </c>
      <c r="T211" s="25">
        <f>IF(AND(Table1[[#This Row],[Sales]]&lt;&gt;MIN(Table1[Sales]),Table1[[#This Row],[Sales]]&lt;&gt;MAX(Table1[Sales])), Table1[[#This Row],[Sales]], NA())</f>
        <v>64726.66</v>
      </c>
      <c r="U211" s="25" t="e">
        <f>IF(Table1[[#This Row],[Sales]]=MAX(Table1[Sales]), Table1[[#This Row],[Sales]], NA())</f>
        <v>#N/A</v>
      </c>
      <c r="V211">
        <v>4</v>
      </c>
      <c r="W211">
        <v>0.2</v>
      </c>
      <c r="X211">
        <v>1941.8</v>
      </c>
      <c r="Y211" s="3">
        <f>YEAR(Table1[[#This Row],[Order Date]])</f>
        <v>2021</v>
      </c>
      <c r="Z211" s="3" t="str">
        <f>TEXT(Table1[[#This Row],[Order Date]],"MMM")</f>
        <v>Dec</v>
      </c>
      <c r="AA211" s="3">
        <f>DAY(Table1[[#This Row],[Order Date]])</f>
        <v>20</v>
      </c>
    </row>
    <row r="212" spans="1:27" x14ac:dyDescent="0.35">
      <c r="A212" s="1">
        <v>211</v>
      </c>
      <c r="B212" s="1" t="s">
        <v>1071</v>
      </c>
      <c r="C212" s="1" t="s">
        <v>1072</v>
      </c>
      <c r="D212" s="1" t="s">
        <v>1073</v>
      </c>
      <c r="E212" t="s">
        <v>38</v>
      </c>
      <c r="F212" t="s">
        <v>1074</v>
      </c>
      <c r="G212" t="s">
        <v>93</v>
      </c>
      <c r="H212" t="s">
        <v>94</v>
      </c>
      <c r="I212" s="1" t="s">
        <v>28</v>
      </c>
      <c r="J212" t="s">
        <v>64</v>
      </c>
      <c r="K212" t="s">
        <v>65</v>
      </c>
      <c r="L212" s="1">
        <v>146820</v>
      </c>
      <c r="M212" s="1" t="s">
        <v>66</v>
      </c>
      <c r="N212" t="s">
        <v>1075</v>
      </c>
      <c r="O212" t="s">
        <v>32</v>
      </c>
      <c r="P212" t="s">
        <v>33</v>
      </c>
      <c r="Q212" t="s">
        <v>34</v>
      </c>
      <c r="R212">
        <v>50750.37</v>
      </c>
      <c r="S212" s="25" t="e">
        <f>IF(Table1[[#This Row],[Sales]]=MIN(Table1[Sales]), Table1[[#This Row],[Sales]], NA())</f>
        <v>#N/A</v>
      </c>
      <c r="T212" s="25">
        <f>IF(AND(Table1[[#This Row],[Sales]]&lt;&gt;MIN(Table1[Sales]),Table1[[#This Row],[Sales]]&lt;&gt;MAX(Table1[Sales])), Table1[[#This Row],[Sales]], NA())</f>
        <v>50750.37</v>
      </c>
      <c r="U212" s="25" t="e">
        <f>IF(Table1[[#This Row],[Sales]]=MAX(Table1[Sales]), Table1[[#This Row],[Sales]], NA())</f>
        <v>#N/A</v>
      </c>
      <c r="V212">
        <v>9</v>
      </c>
      <c r="W212">
        <v>0.3</v>
      </c>
      <c r="X212">
        <v>253.75</v>
      </c>
      <c r="Y212" s="3">
        <f>YEAR(Table1[[#This Row],[Order Date]])</f>
        <v>2022</v>
      </c>
      <c r="Z212" s="3" t="str">
        <f>TEXT(Table1[[#This Row],[Order Date]],"MMM")</f>
        <v>Dec</v>
      </c>
      <c r="AA212" s="3">
        <f>DAY(Table1[[#This Row],[Order Date]])</f>
        <v>22</v>
      </c>
    </row>
    <row r="213" spans="1:27" x14ac:dyDescent="0.35">
      <c r="A213" s="1">
        <v>212</v>
      </c>
      <c r="B213" s="1" t="s">
        <v>1076</v>
      </c>
      <c r="C213" s="1" t="s">
        <v>300</v>
      </c>
      <c r="D213" s="1" t="s">
        <v>1077</v>
      </c>
      <c r="E213" t="s">
        <v>38</v>
      </c>
      <c r="F213" t="s">
        <v>1078</v>
      </c>
      <c r="G213" t="s">
        <v>110</v>
      </c>
      <c r="H213" t="s">
        <v>94</v>
      </c>
      <c r="I213" s="1" t="s">
        <v>28</v>
      </c>
      <c r="J213" t="s">
        <v>53</v>
      </c>
      <c r="K213" t="s">
        <v>54</v>
      </c>
      <c r="L213" s="1">
        <v>364801</v>
      </c>
      <c r="M213" s="1" t="s">
        <v>55</v>
      </c>
      <c r="N213" t="s">
        <v>1079</v>
      </c>
      <c r="O213" t="s">
        <v>46</v>
      </c>
      <c r="P213" t="s">
        <v>47</v>
      </c>
      <c r="Q213" t="s">
        <v>48</v>
      </c>
      <c r="R213">
        <v>23428.240000000002</v>
      </c>
      <c r="S213" s="25" t="e">
        <f>IF(Table1[[#This Row],[Sales]]=MIN(Table1[Sales]), Table1[[#This Row],[Sales]], NA())</f>
        <v>#N/A</v>
      </c>
      <c r="T213" s="25">
        <f>IF(AND(Table1[[#This Row],[Sales]]&lt;&gt;MIN(Table1[Sales]),Table1[[#This Row],[Sales]]&lt;&gt;MAX(Table1[Sales])), Table1[[#This Row],[Sales]], NA())</f>
        <v>23428.240000000002</v>
      </c>
      <c r="U213" s="25" t="e">
        <f>IF(Table1[[#This Row],[Sales]]=MAX(Table1[Sales]), Table1[[#This Row],[Sales]], NA())</f>
        <v>#N/A</v>
      </c>
      <c r="V213">
        <v>2</v>
      </c>
      <c r="W213">
        <v>0.1</v>
      </c>
      <c r="X213">
        <v>1288.55</v>
      </c>
      <c r="Y213" s="3">
        <f>YEAR(Table1[[#This Row],[Order Date]])</f>
        <v>2023</v>
      </c>
      <c r="Z213" s="3" t="str">
        <f>TEXT(Table1[[#This Row],[Order Date]],"MMM")</f>
        <v>Mar</v>
      </c>
      <c r="AA213" s="3">
        <f>DAY(Table1[[#This Row],[Order Date]])</f>
        <v>26</v>
      </c>
    </row>
    <row r="214" spans="1:27" x14ac:dyDescent="0.35">
      <c r="A214" s="1">
        <v>213</v>
      </c>
      <c r="B214" s="1" t="s">
        <v>1080</v>
      </c>
      <c r="C214" s="1" t="s">
        <v>1081</v>
      </c>
      <c r="D214" s="1" t="s">
        <v>1082</v>
      </c>
      <c r="E214" t="s">
        <v>24</v>
      </c>
      <c r="F214" t="s">
        <v>1083</v>
      </c>
      <c r="G214" t="s">
        <v>26</v>
      </c>
      <c r="H214" t="s">
        <v>41</v>
      </c>
      <c r="I214" s="1" t="s">
        <v>28</v>
      </c>
      <c r="J214" t="s">
        <v>128</v>
      </c>
      <c r="K214" t="s">
        <v>129</v>
      </c>
      <c r="L214" s="1">
        <v>186312</v>
      </c>
      <c r="M214" s="1" t="s">
        <v>66</v>
      </c>
      <c r="N214" t="s">
        <v>1084</v>
      </c>
      <c r="O214" t="s">
        <v>68</v>
      </c>
      <c r="P214" t="s">
        <v>69</v>
      </c>
      <c r="Q214" t="s">
        <v>70</v>
      </c>
      <c r="R214">
        <v>83112.679999999993</v>
      </c>
      <c r="S214" s="25" t="e">
        <f>IF(Table1[[#This Row],[Sales]]=MIN(Table1[Sales]), Table1[[#This Row],[Sales]], NA())</f>
        <v>#N/A</v>
      </c>
      <c r="T214" s="25">
        <f>IF(AND(Table1[[#This Row],[Sales]]&lt;&gt;MIN(Table1[Sales]),Table1[[#This Row],[Sales]]&lt;&gt;MAX(Table1[Sales])), Table1[[#This Row],[Sales]], NA())</f>
        <v>83112.679999999993</v>
      </c>
      <c r="U214" s="25" t="e">
        <f>IF(Table1[[#This Row],[Sales]]=MAX(Table1[Sales]), Table1[[#This Row],[Sales]], NA())</f>
        <v>#N/A</v>
      </c>
      <c r="V214">
        <v>5</v>
      </c>
      <c r="W214">
        <v>0.3</v>
      </c>
      <c r="X214">
        <v>415.56</v>
      </c>
      <c r="Y214" s="3">
        <f>YEAR(Table1[[#This Row],[Order Date]])</f>
        <v>2024</v>
      </c>
      <c r="Z214" s="3" t="str">
        <f>TEXT(Table1[[#This Row],[Order Date]],"MMM")</f>
        <v>Mar</v>
      </c>
      <c r="AA214" s="3">
        <f>DAY(Table1[[#This Row],[Order Date]])</f>
        <v>31</v>
      </c>
    </row>
    <row r="215" spans="1:27" x14ac:dyDescent="0.35">
      <c r="A215" s="1">
        <v>214</v>
      </c>
      <c r="B215" s="1" t="s">
        <v>1085</v>
      </c>
      <c r="C215" s="1" t="s">
        <v>1086</v>
      </c>
      <c r="D215" s="1" t="s">
        <v>1087</v>
      </c>
      <c r="E215" t="s">
        <v>38</v>
      </c>
      <c r="F215" t="s">
        <v>1088</v>
      </c>
      <c r="G215" t="s">
        <v>93</v>
      </c>
      <c r="H215" t="s">
        <v>27</v>
      </c>
      <c r="I215" s="1" t="s">
        <v>28</v>
      </c>
      <c r="J215" t="s">
        <v>64</v>
      </c>
      <c r="K215" t="s">
        <v>65</v>
      </c>
      <c r="L215" s="1">
        <v>229384</v>
      </c>
      <c r="M215" s="1" t="s">
        <v>66</v>
      </c>
      <c r="N215" t="s">
        <v>1089</v>
      </c>
      <c r="O215" t="s">
        <v>32</v>
      </c>
      <c r="P215" t="s">
        <v>33</v>
      </c>
      <c r="Q215" t="s">
        <v>34</v>
      </c>
      <c r="R215">
        <v>33864.14</v>
      </c>
      <c r="S215" s="25" t="e">
        <f>IF(Table1[[#This Row],[Sales]]=MIN(Table1[Sales]), Table1[[#This Row],[Sales]], NA())</f>
        <v>#N/A</v>
      </c>
      <c r="T215" s="25">
        <f>IF(AND(Table1[[#This Row],[Sales]]&lt;&gt;MIN(Table1[Sales]),Table1[[#This Row],[Sales]]&lt;&gt;MAX(Table1[Sales])), Table1[[#This Row],[Sales]], NA())</f>
        <v>33864.14</v>
      </c>
      <c r="U215" s="25" t="e">
        <f>IF(Table1[[#This Row],[Sales]]=MAX(Table1[Sales]), Table1[[#This Row],[Sales]], NA())</f>
        <v>#N/A</v>
      </c>
      <c r="V215">
        <v>6</v>
      </c>
      <c r="W215">
        <v>0</v>
      </c>
      <c r="X215">
        <v>2709.13</v>
      </c>
      <c r="Y215" s="3">
        <f>YEAR(Table1[[#This Row],[Order Date]])</f>
        <v>2023</v>
      </c>
      <c r="Z215" s="3" t="str">
        <f>TEXT(Table1[[#This Row],[Order Date]],"MMM")</f>
        <v>May</v>
      </c>
      <c r="AA215" s="3">
        <f>DAY(Table1[[#This Row],[Order Date]])</f>
        <v>24</v>
      </c>
    </row>
    <row r="216" spans="1:27" x14ac:dyDescent="0.35">
      <c r="A216" s="1">
        <v>215</v>
      </c>
      <c r="B216" s="1" t="s">
        <v>1090</v>
      </c>
      <c r="C216" s="1" t="s">
        <v>1091</v>
      </c>
      <c r="D216" s="1" t="s">
        <v>1092</v>
      </c>
      <c r="E216" t="s">
        <v>62</v>
      </c>
      <c r="F216" t="s">
        <v>1093</v>
      </c>
      <c r="G216" t="s">
        <v>140</v>
      </c>
      <c r="H216" t="s">
        <v>41</v>
      </c>
      <c r="I216" s="1" t="s">
        <v>28</v>
      </c>
      <c r="J216" t="s">
        <v>29</v>
      </c>
      <c r="K216" t="s">
        <v>29</v>
      </c>
      <c r="L216" s="1">
        <v>714017</v>
      </c>
      <c r="M216" s="1" t="s">
        <v>30</v>
      </c>
      <c r="N216" t="s">
        <v>1094</v>
      </c>
      <c r="O216" t="s">
        <v>46</v>
      </c>
      <c r="P216" t="s">
        <v>57</v>
      </c>
      <c r="Q216" t="s">
        <v>58</v>
      </c>
      <c r="R216">
        <v>58403.01</v>
      </c>
      <c r="S216" s="25" t="e">
        <f>IF(Table1[[#This Row],[Sales]]=MIN(Table1[Sales]), Table1[[#This Row],[Sales]], NA())</f>
        <v>#N/A</v>
      </c>
      <c r="T216" s="25">
        <f>IF(AND(Table1[[#This Row],[Sales]]&lt;&gt;MIN(Table1[Sales]),Table1[[#This Row],[Sales]]&lt;&gt;MAX(Table1[Sales])), Table1[[#This Row],[Sales]], NA())</f>
        <v>58403.01</v>
      </c>
      <c r="U216" s="25" t="e">
        <f>IF(Table1[[#This Row],[Sales]]=MAX(Table1[Sales]), Table1[[#This Row],[Sales]], NA())</f>
        <v>#N/A</v>
      </c>
      <c r="V216">
        <v>2</v>
      </c>
      <c r="W216">
        <v>0</v>
      </c>
      <c r="X216">
        <v>4672.24</v>
      </c>
      <c r="Y216" s="3">
        <f>YEAR(Table1[[#This Row],[Order Date]])</f>
        <v>2022</v>
      </c>
      <c r="Z216" s="3" t="str">
        <f>TEXT(Table1[[#This Row],[Order Date]],"MMM")</f>
        <v>May</v>
      </c>
      <c r="AA216" s="3">
        <f>DAY(Table1[[#This Row],[Order Date]])</f>
        <v>1</v>
      </c>
    </row>
    <row r="217" spans="1:27" x14ac:dyDescent="0.35">
      <c r="A217" s="1">
        <v>216</v>
      </c>
      <c r="B217" s="1" t="s">
        <v>1095</v>
      </c>
      <c r="C217" s="1" t="s">
        <v>1033</v>
      </c>
      <c r="D217" s="1" t="s">
        <v>1096</v>
      </c>
      <c r="E217" t="s">
        <v>38</v>
      </c>
      <c r="F217" t="s">
        <v>1097</v>
      </c>
      <c r="G217" t="s">
        <v>140</v>
      </c>
      <c r="H217" t="s">
        <v>94</v>
      </c>
      <c r="I217" s="1" t="s">
        <v>28</v>
      </c>
      <c r="J217" t="s">
        <v>128</v>
      </c>
      <c r="K217" t="s">
        <v>129</v>
      </c>
      <c r="L217" s="1">
        <v>594653</v>
      </c>
      <c r="M217" s="1" t="s">
        <v>66</v>
      </c>
      <c r="N217" t="s">
        <v>1098</v>
      </c>
      <c r="O217" t="s">
        <v>32</v>
      </c>
      <c r="P217" t="s">
        <v>33</v>
      </c>
      <c r="Q217" t="s">
        <v>34</v>
      </c>
      <c r="R217">
        <v>96092.79</v>
      </c>
      <c r="S217" s="25" t="e">
        <f>IF(Table1[[#This Row],[Sales]]=MIN(Table1[Sales]), Table1[[#This Row],[Sales]], NA())</f>
        <v>#N/A</v>
      </c>
      <c r="T217" s="25">
        <f>IF(AND(Table1[[#This Row],[Sales]]&lt;&gt;MIN(Table1[Sales]),Table1[[#This Row],[Sales]]&lt;&gt;MAX(Table1[Sales])), Table1[[#This Row],[Sales]], NA())</f>
        <v>96092.79</v>
      </c>
      <c r="U217" s="25" t="e">
        <f>IF(Table1[[#This Row],[Sales]]=MAX(Table1[Sales]), Table1[[#This Row],[Sales]], NA())</f>
        <v>#N/A</v>
      </c>
      <c r="V217">
        <v>9</v>
      </c>
      <c r="W217">
        <v>0.1</v>
      </c>
      <c r="X217">
        <v>5285.1</v>
      </c>
      <c r="Y217" s="3">
        <f>YEAR(Table1[[#This Row],[Order Date]])</f>
        <v>2024</v>
      </c>
      <c r="Z217" s="3" t="str">
        <f>TEXT(Table1[[#This Row],[Order Date]],"MMM")</f>
        <v>Jul</v>
      </c>
      <c r="AA217" s="3">
        <f>DAY(Table1[[#This Row],[Order Date]])</f>
        <v>25</v>
      </c>
    </row>
    <row r="218" spans="1:27" x14ac:dyDescent="0.35">
      <c r="A218" s="1">
        <v>217</v>
      </c>
      <c r="B218" s="1" t="s">
        <v>1099</v>
      </c>
      <c r="C218" s="1" t="s">
        <v>1100</v>
      </c>
      <c r="D218" s="1" t="s">
        <v>1101</v>
      </c>
      <c r="E218" t="s">
        <v>115</v>
      </c>
      <c r="F218" t="s">
        <v>1102</v>
      </c>
      <c r="G218" t="s">
        <v>122</v>
      </c>
      <c r="H218" t="s">
        <v>41</v>
      </c>
      <c r="I218" s="1" t="s">
        <v>28</v>
      </c>
      <c r="J218" t="s">
        <v>53</v>
      </c>
      <c r="K218" t="s">
        <v>54</v>
      </c>
      <c r="L218" s="1">
        <v>279711</v>
      </c>
      <c r="M218" s="1" t="s">
        <v>55</v>
      </c>
      <c r="N218" t="s">
        <v>1103</v>
      </c>
      <c r="O218" t="s">
        <v>32</v>
      </c>
      <c r="P218" t="s">
        <v>33</v>
      </c>
      <c r="Q218" t="s">
        <v>34</v>
      </c>
      <c r="R218">
        <v>40316.19</v>
      </c>
      <c r="S218" s="25" t="e">
        <f>IF(Table1[[#This Row],[Sales]]=MIN(Table1[Sales]), Table1[[#This Row],[Sales]], NA())</f>
        <v>#N/A</v>
      </c>
      <c r="T218" s="25">
        <f>IF(AND(Table1[[#This Row],[Sales]]&lt;&gt;MIN(Table1[Sales]),Table1[[#This Row],[Sales]]&lt;&gt;MAX(Table1[Sales])), Table1[[#This Row],[Sales]], NA())</f>
        <v>40316.19</v>
      </c>
      <c r="U218" s="25" t="e">
        <f>IF(Table1[[#This Row],[Sales]]=MAX(Table1[Sales]), Table1[[#This Row],[Sales]], NA())</f>
        <v>#N/A</v>
      </c>
      <c r="V218">
        <v>1</v>
      </c>
      <c r="W218">
        <v>0.2</v>
      </c>
      <c r="X218">
        <v>1209.49</v>
      </c>
      <c r="Y218" s="3">
        <f>YEAR(Table1[[#This Row],[Order Date]])</f>
        <v>2023</v>
      </c>
      <c r="Z218" s="3" t="str">
        <f>TEXT(Table1[[#This Row],[Order Date]],"MMM")</f>
        <v>Dec</v>
      </c>
      <c r="AA218" s="3">
        <f>DAY(Table1[[#This Row],[Order Date]])</f>
        <v>6</v>
      </c>
    </row>
    <row r="219" spans="1:27" x14ac:dyDescent="0.35">
      <c r="A219" s="1">
        <v>218</v>
      </c>
      <c r="B219" s="1" t="s">
        <v>1104</v>
      </c>
      <c r="C219" s="1" t="s">
        <v>1105</v>
      </c>
      <c r="D219" s="1" t="s">
        <v>1106</v>
      </c>
      <c r="E219" t="s">
        <v>24</v>
      </c>
      <c r="F219" t="s">
        <v>1107</v>
      </c>
      <c r="G219" t="s">
        <v>93</v>
      </c>
      <c r="H219" t="s">
        <v>41</v>
      </c>
      <c r="I219" s="1" t="s">
        <v>28</v>
      </c>
      <c r="J219" t="s">
        <v>128</v>
      </c>
      <c r="K219" t="s">
        <v>129</v>
      </c>
      <c r="L219" s="1">
        <v>733574</v>
      </c>
      <c r="M219" s="1" t="s">
        <v>66</v>
      </c>
      <c r="N219" t="s">
        <v>1108</v>
      </c>
      <c r="O219" t="s">
        <v>46</v>
      </c>
      <c r="P219" t="s">
        <v>47</v>
      </c>
      <c r="Q219" t="s">
        <v>48</v>
      </c>
      <c r="R219">
        <v>20075.650000000001</v>
      </c>
      <c r="S219" s="25" t="e">
        <f>IF(Table1[[#This Row],[Sales]]=MIN(Table1[Sales]), Table1[[#This Row],[Sales]], NA())</f>
        <v>#N/A</v>
      </c>
      <c r="T219" s="25">
        <f>IF(AND(Table1[[#This Row],[Sales]]&lt;&gt;MIN(Table1[Sales]),Table1[[#This Row],[Sales]]&lt;&gt;MAX(Table1[Sales])), Table1[[#This Row],[Sales]], NA())</f>
        <v>20075.650000000001</v>
      </c>
      <c r="U219" s="25" t="e">
        <f>IF(Table1[[#This Row],[Sales]]=MAX(Table1[Sales]), Table1[[#This Row],[Sales]], NA())</f>
        <v>#N/A</v>
      </c>
      <c r="V219">
        <v>2</v>
      </c>
      <c r="W219">
        <v>0.3</v>
      </c>
      <c r="X219">
        <v>100.38</v>
      </c>
      <c r="Y219" s="3">
        <f>YEAR(Table1[[#This Row],[Order Date]])</f>
        <v>2022</v>
      </c>
      <c r="Z219" s="3" t="str">
        <f>TEXT(Table1[[#This Row],[Order Date]],"MMM")</f>
        <v>Feb</v>
      </c>
      <c r="AA219" s="3">
        <f>DAY(Table1[[#This Row],[Order Date]])</f>
        <v>4</v>
      </c>
    </row>
    <row r="220" spans="1:27" x14ac:dyDescent="0.35">
      <c r="A220" s="1">
        <v>219</v>
      </c>
      <c r="B220" s="1" t="s">
        <v>1109</v>
      </c>
      <c r="C220" s="1" t="s">
        <v>181</v>
      </c>
      <c r="D220" s="1" t="s">
        <v>543</v>
      </c>
      <c r="E220" t="s">
        <v>38</v>
      </c>
      <c r="F220" t="s">
        <v>1110</v>
      </c>
      <c r="G220" t="s">
        <v>75</v>
      </c>
      <c r="H220" t="s">
        <v>94</v>
      </c>
      <c r="I220" s="1" t="s">
        <v>28</v>
      </c>
      <c r="J220" t="s">
        <v>128</v>
      </c>
      <c r="K220" t="s">
        <v>129</v>
      </c>
      <c r="L220" s="1">
        <v>693757</v>
      </c>
      <c r="M220" s="1" t="s">
        <v>66</v>
      </c>
      <c r="N220" t="s">
        <v>1111</v>
      </c>
      <c r="O220" t="s">
        <v>46</v>
      </c>
      <c r="P220" t="s">
        <v>47</v>
      </c>
      <c r="Q220" t="s">
        <v>48</v>
      </c>
      <c r="R220">
        <v>83541.97</v>
      </c>
      <c r="S220" s="25" t="e">
        <f>IF(Table1[[#This Row],[Sales]]=MIN(Table1[Sales]), Table1[[#This Row],[Sales]], NA())</f>
        <v>#N/A</v>
      </c>
      <c r="T220" s="25">
        <f>IF(AND(Table1[[#This Row],[Sales]]&lt;&gt;MIN(Table1[Sales]),Table1[[#This Row],[Sales]]&lt;&gt;MAX(Table1[Sales])), Table1[[#This Row],[Sales]], NA())</f>
        <v>83541.97</v>
      </c>
      <c r="U220" s="25" t="e">
        <f>IF(Table1[[#This Row],[Sales]]=MAX(Table1[Sales]), Table1[[#This Row],[Sales]], NA())</f>
        <v>#N/A</v>
      </c>
      <c r="V220">
        <v>10</v>
      </c>
      <c r="W220">
        <v>0</v>
      </c>
      <c r="X220">
        <v>6683.36</v>
      </c>
      <c r="Y220" s="3">
        <f>YEAR(Table1[[#This Row],[Order Date]])</f>
        <v>2022</v>
      </c>
      <c r="Z220" s="3" t="str">
        <f>TEXT(Table1[[#This Row],[Order Date]],"MMM")</f>
        <v>Apr</v>
      </c>
      <c r="AA220" s="3">
        <f>DAY(Table1[[#This Row],[Order Date]])</f>
        <v>1</v>
      </c>
    </row>
    <row r="221" spans="1:27" x14ac:dyDescent="0.35">
      <c r="A221" s="1">
        <v>220</v>
      </c>
      <c r="B221" s="1" t="s">
        <v>1112</v>
      </c>
      <c r="C221" s="1" t="s">
        <v>1113</v>
      </c>
      <c r="D221" s="1" t="s">
        <v>1114</v>
      </c>
      <c r="E221" t="s">
        <v>115</v>
      </c>
      <c r="F221" t="s">
        <v>1115</v>
      </c>
      <c r="G221" t="s">
        <v>40</v>
      </c>
      <c r="H221" t="s">
        <v>27</v>
      </c>
      <c r="I221" s="1" t="s">
        <v>28</v>
      </c>
      <c r="J221" t="s">
        <v>53</v>
      </c>
      <c r="K221" t="s">
        <v>54</v>
      </c>
      <c r="L221" s="1">
        <v>626768</v>
      </c>
      <c r="M221" s="1" t="s">
        <v>55</v>
      </c>
      <c r="N221" t="s">
        <v>1116</v>
      </c>
      <c r="O221" t="s">
        <v>46</v>
      </c>
      <c r="P221" t="s">
        <v>57</v>
      </c>
      <c r="Q221" t="s">
        <v>58</v>
      </c>
      <c r="R221">
        <v>76981.320000000007</v>
      </c>
      <c r="S221" s="25" t="e">
        <f>IF(Table1[[#This Row],[Sales]]=MIN(Table1[Sales]), Table1[[#This Row],[Sales]], NA())</f>
        <v>#N/A</v>
      </c>
      <c r="T221" s="25">
        <f>IF(AND(Table1[[#This Row],[Sales]]&lt;&gt;MIN(Table1[Sales]),Table1[[#This Row],[Sales]]&lt;&gt;MAX(Table1[Sales])), Table1[[#This Row],[Sales]], NA())</f>
        <v>76981.320000000007</v>
      </c>
      <c r="U221" s="25" t="e">
        <f>IF(Table1[[#This Row],[Sales]]=MAX(Table1[Sales]), Table1[[#This Row],[Sales]], NA())</f>
        <v>#N/A</v>
      </c>
      <c r="V221">
        <v>10</v>
      </c>
      <c r="W221">
        <v>0.3</v>
      </c>
      <c r="X221">
        <v>384.91</v>
      </c>
      <c r="Y221" s="3">
        <f>YEAR(Table1[[#This Row],[Order Date]])</f>
        <v>2025</v>
      </c>
      <c r="Z221" s="3" t="str">
        <f>TEXT(Table1[[#This Row],[Order Date]],"MMM")</f>
        <v>Feb</v>
      </c>
      <c r="AA221" s="3">
        <f>DAY(Table1[[#This Row],[Order Date]])</f>
        <v>15</v>
      </c>
    </row>
    <row r="222" spans="1:27" x14ac:dyDescent="0.35">
      <c r="A222" s="1">
        <v>221</v>
      </c>
      <c r="B222" s="1" t="s">
        <v>1117</v>
      </c>
      <c r="C222" s="1" t="s">
        <v>1118</v>
      </c>
      <c r="D222" s="1" t="s">
        <v>1119</v>
      </c>
      <c r="E222" t="s">
        <v>24</v>
      </c>
      <c r="F222" t="s">
        <v>1120</v>
      </c>
      <c r="G222" t="s">
        <v>188</v>
      </c>
      <c r="H222" t="s">
        <v>41</v>
      </c>
      <c r="I222" s="1" t="s">
        <v>28</v>
      </c>
      <c r="J222" t="s">
        <v>53</v>
      </c>
      <c r="K222" t="s">
        <v>54</v>
      </c>
      <c r="L222" s="1">
        <v>369372</v>
      </c>
      <c r="M222" s="1" t="s">
        <v>55</v>
      </c>
      <c r="N222" t="s">
        <v>1121</v>
      </c>
      <c r="O222" t="s">
        <v>46</v>
      </c>
      <c r="P222" t="s">
        <v>57</v>
      </c>
      <c r="Q222" t="s">
        <v>58</v>
      </c>
      <c r="R222">
        <v>45550.9</v>
      </c>
      <c r="S222" s="25" t="e">
        <f>IF(Table1[[#This Row],[Sales]]=MIN(Table1[Sales]), Table1[[#This Row],[Sales]], NA())</f>
        <v>#N/A</v>
      </c>
      <c r="T222" s="25">
        <f>IF(AND(Table1[[#This Row],[Sales]]&lt;&gt;MIN(Table1[Sales]),Table1[[#This Row],[Sales]]&lt;&gt;MAX(Table1[Sales])), Table1[[#This Row],[Sales]], NA())</f>
        <v>45550.9</v>
      </c>
      <c r="U222" s="25" t="e">
        <f>IF(Table1[[#This Row],[Sales]]=MAX(Table1[Sales]), Table1[[#This Row],[Sales]], NA())</f>
        <v>#N/A</v>
      </c>
      <c r="V222">
        <v>1</v>
      </c>
      <c r="W222">
        <v>0</v>
      </c>
      <c r="X222">
        <v>3644.07</v>
      </c>
      <c r="Y222" s="3">
        <f>YEAR(Table1[[#This Row],[Order Date]])</f>
        <v>2024</v>
      </c>
      <c r="Z222" s="3" t="str">
        <f>TEXT(Table1[[#This Row],[Order Date]],"MMM")</f>
        <v>Apr</v>
      </c>
      <c r="AA222" s="3">
        <f>DAY(Table1[[#This Row],[Order Date]])</f>
        <v>9</v>
      </c>
    </row>
    <row r="223" spans="1:27" x14ac:dyDescent="0.35">
      <c r="A223" s="1">
        <v>222</v>
      </c>
      <c r="B223" s="1" t="s">
        <v>1122</v>
      </c>
      <c r="C223" s="1" t="s">
        <v>1123</v>
      </c>
      <c r="D223" s="1" t="s">
        <v>1124</v>
      </c>
      <c r="E223" t="s">
        <v>115</v>
      </c>
      <c r="F223" t="s">
        <v>1125</v>
      </c>
      <c r="G223" t="s">
        <v>87</v>
      </c>
      <c r="H223" t="s">
        <v>27</v>
      </c>
      <c r="I223" s="1" t="s">
        <v>28</v>
      </c>
      <c r="J223" t="s">
        <v>53</v>
      </c>
      <c r="K223" t="s">
        <v>54</v>
      </c>
      <c r="L223" s="1">
        <v>178754</v>
      </c>
      <c r="M223" s="1" t="s">
        <v>55</v>
      </c>
      <c r="N223" t="s">
        <v>1126</v>
      </c>
      <c r="O223" t="s">
        <v>68</v>
      </c>
      <c r="P223" t="s">
        <v>69</v>
      </c>
      <c r="Q223" t="s">
        <v>70</v>
      </c>
      <c r="R223">
        <v>73749.399999999994</v>
      </c>
      <c r="S223" s="25" t="e">
        <f>IF(Table1[[#This Row],[Sales]]=MIN(Table1[Sales]), Table1[[#This Row],[Sales]], NA())</f>
        <v>#N/A</v>
      </c>
      <c r="T223" s="25">
        <f>IF(AND(Table1[[#This Row],[Sales]]&lt;&gt;MIN(Table1[Sales]),Table1[[#This Row],[Sales]]&lt;&gt;MAX(Table1[Sales])), Table1[[#This Row],[Sales]], NA())</f>
        <v>73749.399999999994</v>
      </c>
      <c r="U223" s="25" t="e">
        <f>IF(Table1[[#This Row],[Sales]]=MAX(Table1[Sales]), Table1[[#This Row],[Sales]], NA())</f>
        <v>#N/A</v>
      </c>
      <c r="V223">
        <v>1</v>
      </c>
      <c r="W223">
        <v>0</v>
      </c>
      <c r="X223">
        <v>5899.95</v>
      </c>
      <c r="Y223" s="3">
        <f>YEAR(Table1[[#This Row],[Order Date]])</f>
        <v>2024</v>
      </c>
      <c r="Z223" s="3" t="str">
        <f>TEXT(Table1[[#This Row],[Order Date]],"MMM")</f>
        <v>May</v>
      </c>
      <c r="AA223" s="3">
        <f>DAY(Table1[[#This Row],[Order Date]])</f>
        <v>20</v>
      </c>
    </row>
    <row r="224" spans="1:27" x14ac:dyDescent="0.35">
      <c r="A224" s="1">
        <v>223</v>
      </c>
      <c r="B224" s="1" t="s">
        <v>1127</v>
      </c>
      <c r="C224" s="1" t="s">
        <v>915</v>
      </c>
      <c r="D224" s="1" t="s">
        <v>1128</v>
      </c>
      <c r="E224" t="s">
        <v>24</v>
      </c>
      <c r="F224" t="s">
        <v>1129</v>
      </c>
      <c r="G224" t="s">
        <v>122</v>
      </c>
      <c r="H224" t="s">
        <v>27</v>
      </c>
      <c r="I224" s="1" t="s">
        <v>28</v>
      </c>
      <c r="J224" t="s">
        <v>42</v>
      </c>
      <c r="K224" t="s">
        <v>43</v>
      </c>
      <c r="L224" s="1">
        <v>385122</v>
      </c>
      <c r="M224" s="1" t="s">
        <v>44</v>
      </c>
      <c r="N224" t="s">
        <v>1130</v>
      </c>
      <c r="O224" t="s">
        <v>32</v>
      </c>
      <c r="P224" t="s">
        <v>33</v>
      </c>
      <c r="Q224" t="s">
        <v>34</v>
      </c>
      <c r="R224">
        <v>11168.36</v>
      </c>
      <c r="S224" s="25" t="e">
        <f>IF(Table1[[#This Row],[Sales]]=MIN(Table1[Sales]), Table1[[#This Row],[Sales]], NA())</f>
        <v>#N/A</v>
      </c>
      <c r="T224" s="25">
        <f>IF(AND(Table1[[#This Row],[Sales]]&lt;&gt;MIN(Table1[Sales]),Table1[[#This Row],[Sales]]&lt;&gt;MAX(Table1[Sales])), Table1[[#This Row],[Sales]], NA())</f>
        <v>11168.36</v>
      </c>
      <c r="U224" s="25" t="e">
        <f>IF(Table1[[#This Row],[Sales]]=MAX(Table1[Sales]), Table1[[#This Row],[Sales]], NA())</f>
        <v>#N/A</v>
      </c>
      <c r="V224">
        <v>1</v>
      </c>
      <c r="W224">
        <v>0</v>
      </c>
      <c r="X224">
        <v>893.47</v>
      </c>
      <c r="Y224" s="3">
        <f>YEAR(Table1[[#This Row],[Order Date]])</f>
        <v>2022</v>
      </c>
      <c r="Z224" s="3" t="str">
        <f>TEXT(Table1[[#This Row],[Order Date]],"MMM")</f>
        <v>Nov</v>
      </c>
      <c r="AA224" s="3">
        <f>DAY(Table1[[#This Row],[Order Date]])</f>
        <v>25</v>
      </c>
    </row>
    <row r="225" spans="1:27" x14ac:dyDescent="0.35">
      <c r="A225" s="1">
        <v>224</v>
      </c>
      <c r="B225" s="1" t="s">
        <v>1131</v>
      </c>
      <c r="C225" s="1" t="s">
        <v>1029</v>
      </c>
      <c r="D225" s="1" t="s">
        <v>761</v>
      </c>
      <c r="E225" t="s">
        <v>24</v>
      </c>
      <c r="F225" t="s">
        <v>1132</v>
      </c>
      <c r="G225" t="s">
        <v>87</v>
      </c>
      <c r="H225" t="s">
        <v>94</v>
      </c>
      <c r="I225" s="1" t="s">
        <v>28</v>
      </c>
      <c r="J225" t="s">
        <v>53</v>
      </c>
      <c r="K225" t="s">
        <v>54</v>
      </c>
      <c r="L225" s="1">
        <v>605162</v>
      </c>
      <c r="M225" s="1" t="s">
        <v>55</v>
      </c>
      <c r="N225" t="s">
        <v>1133</v>
      </c>
      <c r="O225" t="s">
        <v>32</v>
      </c>
      <c r="P225" t="s">
        <v>33</v>
      </c>
      <c r="Q225" t="s">
        <v>34</v>
      </c>
      <c r="R225">
        <v>8123.16</v>
      </c>
      <c r="S225" s="25" t="e">
        <f>IF(Table1[[#This Row],[Sales]]=MIN(Table1[Sales]), Table1[[#This Row],[Sales]], NA())</f>
        <v>#N/A</v>
      </c>
      <c r="T225" s="25">
        <f>IF(AND(Table1[[#This Row],[Sales]]&lt;&gt;MIN(Table1[Sales]),Table1[[#This Row],[Sales]]&lt;&gt;MAX(Table1[Sales])), Table1[[#This Row],[Sales]], NA())</f>
        <v>8123.16</v>
      </c>
      <c r="U225" s="25" t="e">
        <f>IF(Table1[[#This Row],[Sales]]=MAX(Table1[Sales]), Table1[[#This Row],[Sales]], NA())</f>
        <v>#N/A</v>
      </c>
      <c r="V225">
        <v>10</v>
      </c>
      <c r="W225">
        <v>0.1</v>
      </c>
      <c r="X225">
        <v>446.77</v>
      </c>
      <c r="Y225" s="3">
        <f>YEAR(Table1[[#This Row],[Order Date]])</f>
        <v>2025</v>
      </c>
      <c r="Z225" s="3" t="str">
        <f>TEXT(Table1[[#This Row],[Order Date]],"MMM")</f>
        <v>Jun</v>
      </c>
      <c r="AA225" s="3">
        <f>DAY(Table1[[#This Row],[Order Date]])</f>
        <v>23</v>
      </c>
    </row>
    <row r="226" spans="1:27" x14ac:dyDescent="0.35">
      <c r="A226" s="1">
        <v>225</v>
      </c>
      <c r="B226" s="1" t="s">
        <v>1134</v>
      </c>
      <c r="C226" s="1" t="s">
        <v>1135</v>
      </c>
      <c r="D226" s="1" t="s">
        <v>1136</v>
      </c>
      <c r="E226" t="s">
        <v>38</v>
      </c>
      <c r="F226" t="s">
        <v>1137</v>
      </c>
      <c r="G226" t="s">
        <v>26</v>
      </c>
      <c r="H226" t="s">
        <v>94</v>
      </c>
      <c r="I226" s="1" t="s">
        <v>28</v>
      </c>
      <c r="J226" t="s">
        <v>29</v>
      </c>
      <c r="K226" t="s">
        <v>29</v>
      </c>
      <c r="L226" s="1">
        <v>587895</v>
      </c>
      <c r="M226" s="1" t="s">
        <v>30</v>
      </c>
      <c r="N226" t="s">
        <v>1138</v>
      </c>
      <c r="O226" t="s">
        <v>68</v>
      </c>
      <c r="P226" t="s">
        <v>69</v>
      </c>
      <c r="Q226" t="s">
        <v>70</v>
      </c>
      <c r="R226">
        <v>89708.84</v>
      </c>
      <c r="S226" s="25" t="e">
        <f>IF(Table1[[#This Row],[Sales]]=MIN(Table1[Sales]), Table1[[#This Row],[Sales]], NA())</f>
        <v>#N/A</v>
      </c>
      <c r="T226" s="25">
        <f>IF(AND(Table1[[#This Row],[Sales]]&lt;&gt;MIN(Table1[Sales]),Table1[[#This Row],[Sales]]&lt;&gt;MAX(Table1[Sales])), Table1[[#This Row],[Sales]], NA())</f>
        <v>89708.84</v>
      </c>
      <c r="U226" s="25" t="e">
        <f>IF(Table1[[#This Row],[Sales]]=MAX(Table1[Sales]), Table1[[#This Row],[Sales]], NA())</f>
        <v>#N/A</v>
      </c>
      <c r="V226">
        <v>10</v>
      </c>
      <c r="W226">
        <v>0.1</v>
      </c>
      <c r="X226">
        <v>4933.99</v>
      </c>
      <c r="Y226" s="3">
        <f>YEAR(Table1[[#This Row],[Order Date]])</f>
        <v>2025</v>
      </c>
      <c r="Z226" s="3" t="str">
        <f>TEXT(Table1[[#This Row],[Order Date]],"MMM")</f>
        <v>May</v>
      </c>
      <c r="AA226" s="3">
        <f>DAY(Table1[[#This Row],[Order Date]])</f>
        <v>2</v>
      </c>
    </row>
    <row r="227" spans="1:27" x14ac:dyDescent="0.35">
      <c r="A227" s="1">
        <v>226</v>
      </c>
      <c r="B227" s="1" t="s">
        <v>1139</v>
      </c>
      <c r="C227" s="1" t="s">
        <v>1140</v>
      </c>
      <c r="D227" s="1" t="s">
        <v>1141</v>
      </c>
      <c r="E227" t="s">
        <v>62</v>
      </c>
      <c r="F227" t="s">
        <v>1142</v>
      </c>
      <c r="G227" t="s">
        <v>75</v>
      </c>
      <c r="H227" t="s">
        <v>41</v>
      </c>
      <c r="I227" s="1" t="s">
        <v>28</v>
      </c>
      <c r="J227" t="s">
        <v>64</v>
      </c>
      <c r="K227" t="s">
        <v>65</v>
      </c>
      <c r="L227" s="1">
        <v>582981</v>
      </c>
      <c r="M227" s="1" t="s">
        <v>66</v>
      </c>
      <c r="N227" t="s">
        <v>1143</v>
      </c>
      <c r="O227" t="s">
        <v>32</v>
      </c>
      <c r="P227" t="s">
        <v>33</v>
      </c>
      <c r="Q227" t="s">
        <v>34</v>
      </c>
      <c r="R227">
        <v>67161.919999999998</v>
      </c>
      <c r="S227" s="25" t="e">
        <f>IF(Table1[[#This Row],[Sales]]=MIN(Table1[Sales]), Table1[[#This Row],[Sales]], NA())</f>
        <v>#N/A</v>
      </c>
      <c r="T227" s="25">
        <f>IF(AND(Table1[[#This Row],[Sales]]&lt;&gt;MIN(Table1[Sales]),Table1[[#This Row],[Sales]]&lt;&gt;MAX(Table1[Sales])), Table1[[#This Row],[Sales]], NA())</f>
        <v>67161.919999999998</v>
      </c>
      <c r="U227" s="25" t="e">
        <f>IF(Table1[[#This Row],[Sales]]=MAX(Table1[Sales]), Table1[[#This Row],[Sales]], NA())</f>
        <v>#N/A</v>
      </c>
      <c r="V227">
        <v>10</v>
      </c>
      <c r="W227">
        <v>0.3</v>
      </c>
      <c r="X227">
        <v>335.81</v>
      </c>
      <c r="Y227" s="3">
        <f>YEAR(Table1[[#This Row],[Order Date]])</f>
        <v>2022</v>
      </c>
      <c r="Z227" s="3" t="str">
        <f>TEXT(Table1[[#This Row],[Order Date]],"MMM")</f>
        <v>Nov</v>
      </c>
      <c r="AA227" s="3">
        <f>DAY(Table1[[#This Row],[Order Date]])</f>
        <v>8</v>
      </c>
    </row>
    <row r="228" spans="1:27" x14ac:dyDescent="0.35">
      <c r="A228" s="1">
        <v>227</v>
      </c>
      <c r="B228" s="1" t="s">
        <v>1144</v>
      </c>
      <c r="C228" s="1" t="s">
        <v>1145</v>
      </c>
      <c r="D228" s="1" t="s">
        <v>1146</v>
      </c>
      <c r="E228" t="s">
        <v>38</v>
      </c>
      <c r="F228" t="s">
        <v>1147</v>
      </c>
      <c r="G228" t="s">
        <v>140</v>
      </c>
      <c r="H228" t="s">
        <v>27</v>
      </c>
      <c r="I228" s="1" t="s">
        <v>28</v>
      </c>
      <c r="J228" t="s">
        <v>29</v>
      </c>
      <c r="K228" t="s">
        <v>29</v>
      </c>
      <c r="L228" s="1">
        <v>874882</v>
      </c>
      <c r="M228" s="1" t="s">
        <v>30</v>
      </c>
      <c r="N228" t="s">
        <v>1148</v>
      </c>
      <c r="O228" t="s">
        <v>68</v>
      </c>
      <c r="P228" t="s">
        <v>69</v>
      </c>
      <c r="Q228" t="s">
        <v>70</v>
      </c>
      <c r="R228">
        <v>20510.13</v>
      </c>
      <c r="S228" s="25" t="e">
        <f>IF(Table1[[#This Row],[Sales]]=MIN(Table1[Sales]), Table1[[#This Row],[Sales]], NA())</f>
        <v>#N/A</v>
      </c>
      <c r="T228" s="25">
        <f>IF(AND(Table1[[#This Row],[Sales]]&lt;&gt;MIN(Table1[Sales]),Table1[[#This Row],[Sales]]&lt;&gt;MAX(Table1[Sales])), Table1[[#This Row],[Sales]], NA())</f>
        <v>20510.13</v>
      </c>
      <c r="U228" s="25" t="e">
        <f>IF(Table1[[#This Row],[Sales]]=MAX(Table1[Sales]), Table1[[#This Row],[Sales]], NA())</f>
        <v>#N/A</v>
      </c>
      <c r="V228">
        <v>7</v>
      </c>
      <c r="W228">
        <v>0.2</v>
      </c>
      <c r="X228">
        <v>615.29999999999995</v>
      </c>
      <c r="Y228" s="3">
        <f>YEAR(Table1[[#This Row],[Order Date]])</f>
        <v>2021</v>
      </c>
      <c r="Z228" s="3" t="str">
        <f>TEXT(Table1[[#This Row],[Order Date]],"MMM")</f>
        <v>Jun</v>
      </c>
      <c r="AA228" s="3">
        <f>DAY(Table1[[#This Row],[Order Date]])</f>
        <v>12</v>
      </c>
    </row>
    <row r="229" spans="1:27" x14ac:dyDescent="0.35">
      <c r="A229" s="1">
        <v>228</v>
      </c>
      <c r="B229" s="1" t="s">
        <v>1149</v>
      </c>
      <c r="C229" s="1" t="s">
        <v>1150</v>
      </c>
      <c r="D229" s="1" t="s">
        <v>1151</v>
      </c>
      <c r="E229" t="s">
        <v>24</v>
      </c>
      <c r="F229" t="s">
        <v>1152</v>
      </c>
      <c r="G229" t="s">
        <v>122</v>
      </c>
      <c r="H229" t="s">
        <v>27</v>
      </c>
      <c r="I229" s="1" t="s">
        <v>28</v>
      </c>
      <c r="J229" t="s">
        <v>42</v>
      </c>
      <c r="K229" t="s">
        <v>43</v>
      </c>
      <c r="L229" s="1">
        <v>944745</v>
      </c>
      <c r="M229" s="1" t="s">
        <v>44</v>
      </c>
      <c r="N229" t="s">
        <v>1153</v>
      </c>
      <c r="O229" t="s">
        <v>46</v>
      </c>
      <c r="P229" t="s">
        <v>47</v>
      </c>
      <c r="Q229" t="s">
        <v>48</v>
      </c>
      <c r="R229">
        <v>9961.7800000000007</v>
      </c>
      <c r="S229" s="25" t="e">
        <f>IF(Table1[[#This Row],[Sales]]=MIN(Table1[Sales]), Table1[[#This Row],[Sales]], NA())</f>
        <v>#N/A</v>
      </c>
      <c r="T229" s="25">
        <f>IF(AND(Table1[[#This Row],[Sales]]&lt;&gt;MIN(Table1[Sales]),Table1[[#This Row],[Sales]]&lt;&gt;MAX(Table1[Sales])), Table1[[#This Row],[Sales]], NA())</f>
        <v>9961.7800000000007</v>
      </c>
      <c r="U229" s="25" t="e">
        <f>IF(Table1[[#This Row],[Sales]]=MAX(Table1[Sales]), Table1[[#This Row],[Sales]], NA())</f>
        <v>#N/A</v>
      </c>
      <c r="V229">
        <v>5</v>
      </c>
      <c r="W229">
        <v>0</v>
      </c>
      <c r="X229">
        <v>796.94</v>
      </c>
      <c r="Y229" s="3">
        <f>YEAR(Table1[[#This Row],[Order Date]])</f>
        <v>2021</v>
      </c>
      <c r="Z229" s="3" t="str">
        <f>TEXT(Table1[[#This Row],[Order Date]],"MMM")</f>
        <v>Apr</v>
      </c>
      <c r="AA229" s="3">
        <f>DAY(Table1[[#This Row],[Order Date]])</f>
        <v>27</v>
      </c>
    </row>
    <row r="230" spans="1:27" x14ac:dyDescent="0.35">
      <c r="A230" s="1">
        <v>229</v>
      </c>
      <c r="B230" s="1" t="s">
        <v>1154</v>
      </c>
      <c r="C230" s="1" t="s">
        <v>1155</v>
      </c>
      <c r="D230" s="1" t="s">
        <v>1156</v>
      </c>
      <c r="E230" t="s">
        <v>24</v>
      </c>
      <c r="F230" t="s">
        <v>1157</v>
      </c>
      <c r="G230" t="s">
        <v>122</v>
      </c>
      <c r="H230" t="s">
        <v>41</v>
      </c>
      <c r="I230" s="1" t="s">
        <v>28</v>
      </c>
      <c r="J230" t="s">
        <v>53</v>
      </c>
      <c r="K230" t="s">
        <v>54</v>
      </c>
      <c r="L230" s="1">
        <v>605583</v>
      </c>
      <c r="M230" s="1" t="s">
        <v>55</v>
      </c>
      <c r="N230" t="s">
        <v>1158</v>
      </c>
      <c r="O230" t="s">
        <v>46</v>
      </c>
      <c r="P230" t="s">
        <v>47</v>
      </c>
      <c r="Q230" t="s">
        <v>48</v>
      </c>
      <c r="R230">
        <v>11623.96</v>
      </c>
      <c r="S230" s="25" t="e">
        <f>IF(Table1[[#This Row],[Sales]]=MIN(Table1[Sales]), Table1[[#This Row],[Sales]], NA())</f>
        <v>#N/A</v>
      </c>
      <c r="T230" s="25">
        <f>IF(AND(Table1[[#This Row],[Sales]]&lt;&gt;MIN(Table1[Sales]),Table1[[#This Row],[Sales]]&lt;&gt;MAX(Table1[Sales])), Table1[[#This Row],[Sales]], NA())</f>
        <v>11623.96</v>
      </c>
      <c r="U230" s="25" t="e">
        <f>IF(Table1[[#This Row],[Sales]]=MAX(Table1[Sales]), Table1[[#This Row],[Sales]], NA())</f>
        <v>#N/A</v>
      </c>
      <c r="V230">
        <v>10</v>
      </c>
      <c r="W230">
        <v>0</v>
      </c>
      <c r="X230">
        <v>929.92</v>
      </c>
      <c r="Y230" s="3">
        <f>YEAR(Table1[[#This Row],[Order Date]])</f>
        <v>2025</v>
      </c>
      <c r="Z230" s="3" t="str">
        <f>TEXT(Table1[[#This Row],[Order Date]],"MMM")</f>
        <v>May</v>
      </c>
      <c r="AA230" s="3">
        <f>DAY(Table1[[#This Row],[Order Date]])</f>
        <v>7</v>
      </c>
    </row>
    <row r="231" spans="1:27" x14ac:dyDescent="0.35">
      <c r="A231" s="1">
        <v>230</v>
      </c>
      <c r="B231" s="1" t="s">
        <v>1159</v>
      </c>
      <c r="C231" s="1" t="s">
        <v>1160</v>
      </c>
      <c r="D231" s="1" t="s">
        <v>1161</v>
      </c>
      <c r="E231" t="s">
        <v>62</v>
      </c>
      <c r="F231" t="s">
        <v>1162</v>
      </c>
      <c r="G231" t="s">
        <v>140</v>
      </c>
      <c r="H231" t="s">
        <v>41</v>
      </c>
      <c r="I231" s="1" t="s">
        <v>28</v>
      </c>
      <c r="J231" t="s">
        <v>42</v>
      </c>
      <c r="K231" t="s">
        <v>43</v>
      </c>
      <c r="L231" s="1">
        <v>737704</v>
      </c>
      <c r="M231" s="1" t="s">
        <v>44</v>
      </c>
      <c r="N231" t="s">
        <v>1163</v>
      </c>
      <c r="O231" t="s">
        <v>46</v>
      </c>
      <c r="P231" t="s">
        <v>47</v>
      </c>
      <c r="Q231" t="s">
        <v>48</v>
      </c>
      <c r="R231">
        <v>29676.720000000001</v>
      </c>
      <c r="S231" s="25" t="e">
        <f>IF(Table1[[#This Row],[Sales]]=MIN(Table1[Sales]), Table1[[#This Row],[Sales]], NA())</f>
        <v>#N/A</v>
      </c>
      <c r="T231" s="25">
        <f>IF(AND(Table1[[#This Row],[Sales]]&lt;&gt;MIN(Table1[Sales]),Table1[[#This Row],[Sales]]&lt;&gt;MAX(Table1[Sales])), Table1[[#This Row],[Sales]], NA())</f>
        <v>29676.720000000001</v>
      </c>
      <c r="U231" s="25" t="e">
        <f>IF(Table1[[#This Row],[Sales]]=MAX(Table1[Sales]), Table1[[#This Row],[Sales]], NA())</f>
        <v>#N/A</v>
      </c>
      <c r="V231">
        <v>6</v>
      </c>
      <c r="W231">
        <v>0.1</v>
      </c>
      <c r="X231">
        <v>1632.22</v>
      </c>
      <c r="Y231" s="3">
        <f>YEAR(Table1[[#This Row],[Order Date]])</f>
        <v>2022</v>
      </c>
      <c r="Z231" s="3" t="str">
        <f>TEXT(Table1[[#This Row],[Order Date]],"MMM")</f>
        <v>Sep</v>
      </c>
      <c r="AA231" s="3">
        <f>DAY(Table1[[#This Row],[Order Date]])</f>
        <v>4</v>
      </c>
    </row>
    <row r="232" spans="1:27" x14ac:dyDescent="0.35">
      <c r="A232" s="1">
        <v>231</v>
      </c>
      <c r="B232" s="1" t="s">
        <v>1164</v>
      </c>
      <c r="C232" s="1" t="s">
        <v>1165</v>
      </c>
      <c r="D232" s="1" t="s">
        <v>1166</v>
      </c>
      <c r="E232" t="s">
        <v>62</v>
      </c>
      <c r="F232" t="s">
        <v>1167</v>
      </c>
      <c r="G232" t="s">
        <v>93</v>
      </c>
      <c r="H232" t="s">
        <v>27</v>
      </c>
      <c r="I232" s="1" t="s">
        <v>28</v>
      </c>
      <c r="J232" t="s">
        <v>42</v>
      </c>
      <c r="K232" t="s">
        <v>43</v>
      </c>
      <c r="L232" s="1">
        <v>643011</v>
      </c>
      <c r="M232" s="1" t="s">
        <v>44</v>
      </c>
      <c r="N232" t="s">
        <v>1168</v>
      </c>
      <c r="O232" t="s">
        <v>46</v>
      </c>
      <c r="P232" t="s">
        <v>57</v>
      </c>
      <c r="Q232" t="s">
        <v>58</v>
      </c>
      <c r="R232">
        <v>26351.48</v>
      </c>
      <c r="S232" s="25" t="e">
        <f>IF(Table1[[#This Row],[Sales]]=MIN(Table1[Sales]), Table1[[#This Row],[Sales]], NA())</f>
        <v>#N/A</v>
      </c>
      <c r="T232" s="25">
        <f>IF(AND(Table1[[#This Row],[Sales]]&lt;&gt;MIN(Table1[Sales]),Table1[[#This Row],[Sales]]&lt;&gt;MAX(Table1[Sales])), Table1[[#This Row],[Sales]], NA())</f>
        <v>26351.48</v>
      </c>
      <c r="U232" s="25" t="e">
        <f>IF(Table1[[#This Row],[Sales]]=MAX(Table1[Sales]), Table1[[#This Row],[Sales]], NA())</f>
        <v>#N/A</v>
      </c>
      <c r="V232">
        <v>7</v>
      </c>
      <c r="W232">
        <v>0.3</v>
      </c>
      <c r="X232">
        <v>131.76</v>
      </c>
      <c r="Y232" s="3">
        <f>YEAR(Table1[[#This Row],[Order Date]])</f>
        <v>2021</v>
      </c>
      <c r="Z232" s="3" t="str">
        <f>TEXT(Table1[[#This Row],[Order Date]],"MMM")</f>
        <v>Feb</v>
      </c>
      <c r="AA232" s="3">
        <f>DAY(Table1[[#This Row],[Order Date]])</f>
        <v>17</v>
      </c>
    </row>
    <row r="233" spans="1:27" x14ac:dyDescent="0.35">
      <c r="A233" s="1">
        <v>232</v>
      </c>
      <c r="B233" s="1" t="s">
        <v>1169</v>
      </c>
      <c r="C233" s="1" t="s">
        <v>1170</v>
      </c>
      <c r="D233" s="1" t="s">
        <v>1171</v>
      </c>
      <c r="E233" t="s">
        <v>24</v>
      </c>
      <c r="F233" t="s">
        <v>1172</v>
      </c>
      <c r="G233" t="s">
        <v>75</v>
      </c>
      <c r="H233" t="s">
        <v>27</v>
      </c>
      <c r="I233" s="1" t="s">
        <v>28</v>
      </c>
      <c r="J233" t="s">
        <v>53</v>
      </c>
      <c r="K233" t="s">
        <v>54</v>
      </c>
      <c r="L233" s="1">
        <v>394698</v>
      </c>
      <c r="M233" s="1" t="s">
        <v>55</v>
      </c>
      <c r="N233" t="s">
        <v>1173</v>
      </c>
      <c r="O233" t="s">
        <v>32</v>
      </c>
      <c r="P233" t="s">
        <v>33</v>
      </c>
      <c r="Q233" t="s">
        <v>34</v>
      </c>
      <c r="R233">
        <v>13129.21</v>
      </c>
      <c r="S233" s="25" t="e">
        <f>IF(Table1[[#This Row],[Sales]]=MIN(Table1[Sales]), Table1[[#This Row],[Sales]], NA())</f>
        <v>#N/A</v>
      </c>
      <c r="T233" s="25">
        <f>IF(AND(Table1[[#This Row],[Sales]]&lt;&gt;MIN(Table1[Sales]),Table1[[#This Row],[Sales]]&lt;&gt;MAX(Table1[Sales])), Table1[[#This Row],[Sales]], NA())</f>
        <v>13129.21</v>
      </c>
      <c r="U233" s="25" t="e">
        <f>IF(Table1[[#This Row],[Sales]]=MAX(Table1[Sales]), Table1[[#This Row],[Sales]], NA())</f>
        <v>#N/A</v>
      </c>
      <c r="V233">
        <v>6</v>
      </c>
      <c r="W233">
        <v>0.1</v>
      </c>
      <c r="X233">
        <v>722.11</v>
      </c>
      <c r="Y233" s="3">
        <f>YEAR(Table1[[#This Row],[Order Date]])</f>
        <v>2024</v>
      </c>
      <c r="Z233" s="3" t="str">
        <f>TEXT(Table1[[#This Row],[Order Date]],"MMM")</f>
        <v>Mar</v>
      </c>
      <c r="AA233" s="3">
        <f>DAY(Table1[[#This Row],[Order Date]])</f>
        <v>18</v>
      </c>
    </row>
    <row r="234" spans="1:27" x14ac:dyDescent="0.35">
      <c r="A234" s="1">
        <v>233</v>
      </c>
      <c r="B234" s="1" t="s">
        <v>1174</v>
      </c>
      <c r="C234" s="1" t="s">
        <v>1175</v>
      </c>
      <c r="D234" s="1" t="s">
        <v>1176</v>
      </c>
      <c r="E234" t="s">
        <v>24</v>
      </c>
      <c r="F234" t="s">
        <v>1177</v>
      </c>
      <c r="G234" t="s">
        <v>75</v>
      </c>
      <c r="H234" t="s">
        <v>94</v>
      </c>
      <c r="I234" s="1" t="s">
        <v>28</v>
      </c>
      <c r="J234" t="s">
        <v>53</v>
      </c>
      <c r="K234" t="s">
        <v>54</v>
      </c>
      <c r="L234" s="1">
        <v>627611</v>
      </c>
      <c r="M234" s="1" t="s">
        <v>55</v>
      </c>
      <c r="N234" t="s">
        <v>1178</v>
      </c>
      <c r="O234" t="s">
        <v>68</v>
      </c>
      <c r="P234" t="s">
        <v>69</v>
      </c>
      <c r="Q234" t="s">
        <v>70</v>
      </c>
      <c r="R234">
        <v>31550.12</v>
      </c>
      <c r="S234" s="25" t="e">
        <f>IF(Table1[[#This Row],[Sales]]=MIN(Table1[Sales]), Table1[[#This Row],[Sales]], NA())</f>
        <v>#N/A</v>
      </c>
      <c r="T234" s="25">
        <f>IF(AND(Table1[[#This Row],[Sales]]&lt;&gt;MIN(Table1[Sales]),Table1[[#This Row],[Sales]]&lt;&gt;MAX(Table1[Sales])), Table1[[#This Row],[Sales]], NA())</f>
        <v>31550.12</v>
      </c>
      <c r="U234" s="25" t="e">
        <f>IF(Table1[[#This Row],[Sales]]=MAX(Table1[Sales]), Table1[[#This Row],[Sales]], NA())</f>
        <v>#N/A</v>
      </c>
      <c r="V234">
        <v>10</v>
      </c>
      <c r="W234">
        <v>0.3</v>
      </c>
      <c r="X234">
        <v>157.75</v>
      </c>
      <c r="Y234" s="3">
        <f>YEAR(Table1[[#This Row],[Order Date]])</f>
        <v>2024</v>
      </c>
      <c r="Z234" s="3" t="str">
        <f>TEXT(Table1[[#This Row],[Order Date]],"MMM")</f>
        <v>Feb</v>
      </c>
      <c r="AA234" s="3">
        <f>DAY(Table1[[#This Row],[Order Date]])</f>
        <v>14</v>
      </c>
    </row>
    <row r="235" spans="1:27" x14ac:dyDescent="0.35">
      <c r="A235" s="1">
        <v>234</v>
      </c>
      <c r="B235" s="1" t="s">
        <v>1179</v>
      </c>
      <c r="C235" s="1" t="s">
        <v>1180</v>
      </c>
      <c r="D235" s="1" t="s">
        <v>1181</v>
      </c>
      <c r="E235" t="s">
        <v>24</v>
      </c>
      <c r="F235" t="s">
        <v>1182</v>
      </c>
      <c r="G235" t="s">
        <v>81</v>
      </c>
      <c r="H235" t="s">
        <v>94</v>
      </c>
      <c r="I235" s="1" t="s">
        <v>28</v>
      </c>
      <c r="J235" t="s">
        <v>53</v>
      </c>
      <c r="K235" t="s">
        <v>54</v>
      </c>
      <c r="L235" s="1">
        <v>993312</v>
      </c>
      <c r="M235" s="1" t="s">
        <v>55</v>
      </c>
      <c r="N235" t="s">
        <v>1183</v>
      </c>
      <c r="O235" t="s">
        <v>46</v>
      </c>
      <c r="P235" t="s">
        <v>47</v>
      </c>
      <c r="Q235" t="s">
        <v>48</v>
      </c>
      <c r="R235">
        <v>61954.46</v>
      </c>
      <c r="S235" s="25" t="e">
        <f>IF(Table1[[#This Row],[Sales]]=MIN(Table1[Sales]), Table1[[#This Row],[Sales]], NA())</f>
        <v>#N/A</v>
      </c>
      <c r="T235" s="25">
        <f>IF(AND(Table1[[#This Row],[Sales]]&lt;&gt;MIN(Table1[Sales]),Table1[[#This Row],[Sales]]&lt;&gt;MAX(Table1[Sales])), Table1[[#This Row],[Sales]], NA())</f>
        <v>61954.46</v>
      </c>
      <c r="U235" s="25" t="e">
        <f>IF(Table1[[#This Row],[Sales]]=MAX(Table1[Sales]), Table1[[#This Row],[Sales]], NA())</f>
        <v>#N/A</v>
      </c>
      <c r="V235">
        <v>3</v>
      </c>
      <c r="W235">
        <v>0.2</v>
      </c>
      <c r="X235">
        <v>1858.63</v>
      </c>
      <c r="Y235" s="3">
        <f>YEAR(Table1[[#This Row],[Order Date]])</f>
        <v>2023</v>
      </c>
      <c r="Z235" s="3" t="str">
        <f>TEXT(Table1[[#This Row],[Order Date]],"MMM")</f>
        <v>Sep</v>
      </c>
      <c r="AA235" s="3">
        <f>DAY(Table1[[#This Row],[Order Date]])</f>
        <v>24</v>
      </c>
    </row>
    <row r="236" spans="1:27" x14ac:dyDescent="0.35">
      <c r="A236" s="1">
        <v>235</v>
      </c>
      <c r="B236" s="1" t="s">
        <v>1184</v>
      </c>
      <c r="C236" s="1" t="s">
        <v>1185</v>
      </c>
      <c r="D236" s="1" t="s">
        <v>558</v>
      </c>
      <c r="E236" t="s">
        <v>62</v>
      </c>
      <c r="F236" t="s">
        <v>1186</v>
      </c>
      <c r="G236" t="s">
        <v>188</v>
      </c>
      <c r="H236" t="s">
        <v>27</v>
      </c>
      <c r="I236" s="1" t="s">
        <v>28</v>
      </c>
      <c r="J236" t="s">
        <v>29</v>
      </c>
      <c r="K236" t="s">
        <v>29</v>
      </c>
      <c r="L236" s="1">
        <v>300603</v>
      </c>
      <c r="M236" s="1" t="s">
        <v>30</v>
      </c>
      <c r="N236" t="s">
        <v>1187</v>
      </c>
      <c r="O236" t="s">
        <v>46</v>
      </c>
      <c r="P236" t="s">
        <v>47</v>
      </c>
      <c r="Q236" t="s">
        <v>48</v>
      </c>
      <c r="R236">
        <v>24359.15</v>
      </c>
      <c r="S236" s="25" t="e">
        <f>IF(Table1[[#This Row],[Sales]]=MIN(Table1[Sales]), Table1[[#This Row],[Sales]], NA())</f>
        <v>#N/A</v>
      </c>
      <c r="T236" s="25">
        <f>IF(AND(Table1[[#This Row],[Sales]]&lt;&gt;MIN(Table1[Sales]),Table1[[#This Row],[Sales]]&lt;&gt;MAX(Table1[Sales])), Table1[[#This Row],[Sales]], NA())</f>
        <v>24359.15</v>
      </c>
      <c r="U236" s="25" t="e">
        <f>IF(Table1[[#This Row],[Sales]]=MAX(Table1[Sales]), Table1[[#This Row],[Sales]], NA())</f>
        <v>#N/A</v>
      </c>
      <c r="V236">
        <v>3</v>
      </c>
      <c r="W236">
        <v>0</v>
      </c>
      <c r="X236">
        <v>1948.73</v>
      </c>
      <c r="Y236" s="3">
        <f>YEAR(Table1[[#This Row],[Order Date]])</f>
        <v>2024</v>
      </c>
      <c r="Z236" s="3" t="str">
        <f>TEXT(Table1[[#This Row],[Order Date]],"MMM")</f>
        <v>Oct</v>
      </c>
      <c r="AA236" s="3">
        <f>DAY(Table1[[#This Row],[Order Date]])</f>
        <v>31</v>
      </c>
    </row>
    <row r="237" spans="1:27" x14ac:dyDescent="0.35">
      <c r="A237" s="1">
        <v>236</v>
      </c>
      <c r="B237" s="1" t="s">
        <v>1188</v>
      </c>
      <c r="C237" s="1" t="s">
        <v>1189</v>
      </c>
      <c r="D237" s="1" t="s">
        <v>841</v>
      </c>
      <c r="E237" t="s">
        <v>62</v>
      </c>
      <c r="F237" t="s">
        <v>1190</v>
      </c>
      <c r="G237" t="s">
        <v>122</v>
      </c>
      <c r="H237" t="s">
        <v>94</v>
      </c>
      <c r="I237" s="1" t="s">
        <v>28</v>
      </c>
      <c r="J237" t="s">
        <v>64</v>
      </c>
      <c r="K237" t="s">
        <v>65</v>
      </c>
      <c r="L237" s="1">
        <v>607297</v>
      </c>
      <c r="M237" s="1" t="s">
        <v>66</v>
      </c>
      <c r="N237" t="s">
        <v>1191</v>
      </c>
      <c r="O237" t="s">
        <v>46</v>
      </c>
      <c r="P237" t="s">
        <v>47</v>
      </c>
      <c r="Q237" t="s">
        <v>48</v>
      </c>
      <c r="R237">
        <v>27628.78</v>
      </c>
      <c r="S237" s="25" t="e">
        <f>IF(Table1[[#This Row],[Sales]]=MIN(Table1[Sales]), Table1[[#This Row],[Sales]], NA())</f>
        <v>#N/A</v>
      </c>
      <c r="T237" s="25">
        <f>IF(AND(Table1[[#This Row],[Sales]]&lt;&gt;MIN(Table1[Sales]),Table1[[#This Row],[Sales]]&lt;&gt;MAX(Table1[Sales])), Table1[[#This Row],[Sales]], NA())</f>
        <v>27628.78</v>
      </c>
      <c r="U237" s="25" t="e">
        <f>IF(Table1[[#This Row],[Sales]]=MAX(Table1[Sales]), Table1[[#This Row],[Sales]], NA())</f>
        <v>#N/A</v>
      </c>
      <c r="V237">
        <v>7</v>
      </c>
      <c r="W237">
        <v>0.1</v>
      </c>
      <c r="X237">
        <v>1519.58</v>
      </c>
      <c r="Y237" s="3">
        <f>YEAR(Table1[[#This Row],[Order Date]])</f>
        <v>2024</v>
      </c>
      <c r="Z237" s="3" t="str">
        <f>TEXT(Table1[[#This Row],[Order Date]],"MMM")</f>
        <v>Feb</v>
      </c>
      <c r="AA237" s="3">
        <f>DAY(Table1[[#This Row],[Order Date]])</f>
        <v>10</v>
      </c>
    </row>
    <row r="238" spans="1:27" x14ac:dyDescent="0.35">
      <c r="A238" s="1">
        <v>237</v>
      </c>
      <c r="B238" s="1" t="s">
        <v>1192</v>
      </c>
      <c r="C238" s="1" t="s">
        <v>769</v>
      </c>
      <c r="D238" s="1" t="s">
        <v>1193</v>
      </c>
      <c r="E238" t="s">
        <v>38</v>
      </c>
      <c r="F238" t="s">
        <v>1194</v>
      </c>
      <c r="G238" t="s">
        <v>87</v>
      </c>
      <c r="H238" t="s">
        <v>27</v>
      </c>
      <c r="I238" s="1" t="s">
        <v>28</v>
      </c>
      <c r="J238" t="s">
        <v>29</v>
      </c>
      <c r="K238" t="s">
        <v>29</v>
      </c>
      <c r="L238" s="1">
        <v>150523</v>
      </c>
      <c r="M238" s="1" t="s">
        <v>30</v>
      </c>
      <c r="N238" t="s">
        <v>1195</v>
      </c>
      <c r="O238" t="s">
        <v>46</v>
      </c>
      <c r="P238" t="s">
        <v>57</v>
      </c>
      <c r="Q238" t="s">
        <v>58</v>
      </c>
      <c r="R238">
        <v>39596.33</v>
      </c>
      <c r="S238" s="25" t="e">
        <f>IF(Table1[[#This Row],[Sales]]=MIN(Table1[Sales]), Table1[[#This Row],[Sales]], NA())</f>
        <v>#N/A</v>
      </c>
      <c r="T238" s="25">
        <f>IF(AND(Table1[[#This Row],[Sales]]&lt;&gt;MIN(Table1[Sales]),Table1[[#This Row],[Sales]]&lt;&gt;MAX(Table1[Sales])), Table1[[#This Row],[Sales]], NA())</f>
        <v>39596.33</v>
      </c>
      <c r="U238" s="25" t="e">
        <f>IF(Table1[[#This Row],[Sales]]=MAX(Table1[Sales]), Table1[[#This Row],[Sales]], NA())</f>
        <v>#N/A</v>
      </c>
      <c r="V238">
        <v>10</v>
      </c>
      <c r="W238">
        <v>0.2</v>
      </c>
      <c r="X238">
        <v>1187.8900000000001</v>
      </c>
      <c r="Y238" s="3">
        <f>YEAR(Table1[[#This Row],[Order Date]])</f>
        <v>2024</v>
      </c>
      <c r="Z238" s="3" t="str">
        <f>TEXT(Table1[[#This Row],[Order Date]],"MMM")</f>
        <v>Apr</v>
      </c>
      <c r="AA238" s="3">
        <f>DAY(Table1[[#This Row],[Order Date]])</f>
        <v>19</v>
      </c>
    </row>
    <row r="239" spans="1:27" x14ac:dyDescent="0.35">
      <c r="A239" s="1">
        <v>238</v>
      </c>
      <c r="B239" s="1" t="s">
        <v>1196</v>
      </c>
      <c r="C239" s="1" t="s">
        <v>418</v>
      </c>
      <c r="D239" s="1" t="s">
        <v>355</v>
      </c>
      <c r="E239" t="s">
        <v>62</v>
      </c>
      <c r="F239" t="s">
        <v>1197</v>
      </c>
      <c r="G239" t="s">
        <v>140</v>
      </c>
      <c r="H239" t="s">
        <v>41</v>
      </c>
      <c r="I239" s="1" t="s">
        <v>28</v>
      </c>
      <c r="J239" t="s">
        <v>64</v>
      </c>
      <c r="K239" t="s">
        <v>65</v>
      </c>
      <c r="L239" s="1">
        <v>987154</v>
      </c>
      <c r="M239" s="1" t="s">
        <v>66</v>
      </c>
      <c r="N239" t="s">
        <v>1198</v>
      </c>
      <c r="O239" t="s">
        <v>46</v>
      </c>
      <c r="P239" t="s">
        <v>57</v>
      </c>
      <c r="Q239" t="s">
        <v>58</v>
      </c>
      <c r="R239">
        <v>96404.79</v>
      </c>
      <c r="S239" s="25" t="e">
        <f>IF(Table1[[#This Row],[Sales]]=MIN(Table1[Sales]), Table1[[#This Row],[Sales]], NA())</f>
        <v>#N/A</v>
      </c>
      <c r="T239" s="25">
        <f>IF(AND(Table1[[#This Row],[Sales]]&lt;&gt;MIN(Table1[Sales]),Table1[[#This Row],[Sales]]&lt;&gt;MAX(Table1[Sales])), Table1[[#This Row],[Sales]], NA())</f>
        <v>96404.79</v>
      </c>
      <c r="U239" s="25" t="e">
        <f>IF(Table1[[#This Row],[Sales]]=MAX(Table1[Sales]), Table1[[#This Row],[Sales]], NA())</f>
        <v>#N/A</v>
      </c>
      <c r="V239">
        <v>10</v>
      </c>
      <c r="W239">
        <v>0.2</v>
      </c>
      <c r="X239">
        <v>2892.14</v>
      </c>
      <c r="Y239" s="3">
        <f>YEAR(Table1[[#This Row],[Order Date]])</f>
        <v>2021</v>
      </c>
      <c r="Z239" s="3" t="str">
        <f>TEXT(Table1[[#This Row],[Order Date]],"MMM")</f>
        <v>May</v>
      </c>
      <c r="AA239" s="3">
        <f>DAY(Table1[[#This Row],[Order Date]])</f>
        <v>7</v>
      </c>
    </row>
    <row r="240" spans="1:27" x14ac:dyDescent="0.35">
      <c r="A240" s="1">
        <v>239</v>
      </c>
      <c r="B240" s="1" t="s">
        <v>1199</v>
      </c>
      <c r="C240" s="1" t="s">
        <v>963</v>
      </c>
      <c r="D240" s="1" t="s">
        <v>1200</v>
      </c>
      <c r="E240" t="s">
        <v>62</v>
      </c>
      <c r="F240" t="s">
        <v>1201</v>
      </c>
      <c r="G240" t="s">
        <v>188</v>
      </c>
      <c r="H240" t="s">
        <v>94</v>
      </c>
      <c r="I240" s="1" t="s">
        <v>28</v>
      </c>
      <c r="J240" t="s">
        <v>42</v>
      </c>
      <c r="K240" t="s">
        <v>43</v>
      </c>
      <c r="L240" s="1">
        <v>113670</v>
      </c>
      <c r="M240" s="1" t="s">
        <v>44</v>
      </c>
      <c r="N240" t="s">
        <v>1202</v>
      </c>
      <c r="O240" t="s">
        <v>46</v>
      </c>
      <c r="P240" t="s">
        <v>47</v>
      </c>
      <c r="Q240" t="s">
        <v>48</v>
      </c>
      <c r="R240">
        <v>85333.9</v>
      </c>
      <c r="S240" s="25" t="e">
        <f>IF(Table1[[#This Row],[Sales]]=MIN(Table1[Sales]), Table1[[#This Row],[Sales]], NA())</f>
        <v>#N/A</v>
      </c>
      <c r="T240" s="25">
        <f>IF(AND(Table1[[#This Row],[Sales]]&lt;&gt;MIN(Table1[Sales]),Table1[[#This Row],[Sales]]&lt;&gt;MAX(Table1[Sales])), Table1[[#This Row],[Sales]], NA())</f>
        <v>85333.9</v>
      </c>
      <c r="U240" s="25" t="e">
        <f>IF(Table1[[#This Row],[Sales]]=MAX(Table1[Sales]), Table1[[#This Row],[Sales]], NA())</f>
        <v>#N/A</v>
      </c>
      <c r="V240">
        <v>3</v>
      </c>
      <c r="W240">
        <v>0</v>
      </c>
      <c r="X240">
        <v>6826.71</v>
      </c>
      <c r="Y240" s="3">
        <f>YEAR(Table1[[#This Row],[Order Date]])</f>
        <v>2023</v>
      </c>
      <c r="Z240" s="3" t="str">
        <f>TEXT(Table1[[#This Row],[Order Date]],"MMM")</f>
        <v>Jun</v>
      </c>
      <c r="AA240" s="3">
        <f>DAY(Table1[[#This Row],[Order Date]])</f>
        <v>9</v>
      </c>
    </row>
    <row r="241" spans="1:27" x14ac:dyDescent="0.35">
      <c r="A241" s="1">
        <v>240</v>
      </c>
      <c r="B241" s="1" t="s">
        <v>1203</v>
      </c>
      <c r="C241" s="1" t="s">
        <v>1204</v>
      </c>
      <c r="D241" s="1" t="s">
        <v>1205</v>
      </c>
      <c r="E241" t="s">
        <v>24</v>
      </c>
      <c r="F241" t="s">
        <v>1206</v>
      </c>
      <c r="G241" t="s">
        <v>26</v>
      </c>
      <c r="H241" t="s">
        <v>94</v>
      </c>
      <c r="I241" s="1" t="s">
        <v>28</v>
      </c>
      <c r="J241" t="s">
        <v>64</v>
      </c>
      <c r="K241" t="s">
        <v>65</v>
      </c>
      <c r="L241" s="1">
        <v>998936</v>
      </c>
      <c r="M241" s="1" t="s">
        <v>66</v>
      </c>
      <c r="N241" t="s">
        <v>1207</v>
      </c>
      <c r="O241" t="s">
        <v>32</v>
      </c>
      <c r="P241" t="s">
        <v>33</v>
      </c>
      <c r="Q241" t="s">
        <v>34</v>
      </c>
      <c r="R241">
        <v>91639.44</v>
      </c>
      <c r="S241" s="25" t="e">
        <f>IF(Table1[[#This Row],[Sales]]=MIN(Table1[Sales]), Table1[[#This Row],[Sales]], NA())</f>
        <v>#N/A</v>
      </c>
      <c r="T241" s="25">
        <f>IF(AND(Table1[[#This Row],[Sales]]&lt;&gt;MIN(Table1[Sales]),Table1[[#This Row],[Sales]]&lt;&gt;MAX(Table1[Sales])), Table1[[#This Row],[Sales]], NA())</f>
        <v>91639.44</v>
      </c>
      <c r="U241" s="25" t="e">
        <f>IF(Table1[[#This Row],[Sales]]=MAX(Table1[Sales]), Table1[[#This Row],[Sales]], NA())</f>
        <v>#N/A</v>
      </c>
      <c r="V241">
        <v>1</v>
      </c>
      <c r="W241">
        <v>0.3</v>
      </c>
      <c r="X241">
        <v>458.2</v>
      </c>
      <c r="Y241" s="3">
        <f>YEAR(Table1[[#This Row],[Order Date]])</f>
        <v>2025</v>
      </c>
      <c r="Z241" s="3" t="str">
        <f>TEXT(Table1[[#This Row],[Order Date]],"MMM")</f>
        <v>Mar</v>
      </c>
      <c r="AA241" s="3">
        <f>DAY(Table1[[#This Row],[Order Date]])</f>
        <v>6</v>
      </c>
    </row>
    <row r="242" spans="1:27" x14ac:dyDescent="0.35">
      <c r="A242" s="1">
        <v>241</v>
      </c>
      <c r="B242" s="1" t="s">
        <v>1208</v>
      </c>
      <c r="C242" s="1" t="s">
        <v>1209</v>
      </c>
      <c r="D242" s="1" t="s">
        <v>1210</v>
      </c>
      <c r="E242" t="s">
        <v>62</v>
      </c>
      <c r="F242" t="s">
        <v>1211</v>
      </c>
      <c r="G242" t="s">
        <v>122</v>
      </c>
      <c r="H242" t="s">
        <v>27</v>
      </c>
      <c r="I242" s="1" t="s">
        <v>28</v>
      </c>
      <c r="J242" t="s">
        <v>53</v>
      </c>
      <c r="K242" t="s">
        <v>54</v>
      </c>
      <c r="L242" s="1">
        <v>904160</v>
      </c>
      <c r="M242" s="1" t="s">
        <v>55</v>
      </c>
      <c r="N242" t="s">
        <v>1212</v>
      </c>
      <c r="O242" t="s">
        <v>32</v>
      </c>
      <c r="P242" t="s">
        <v>33</v>
      </c>
      <c r="Q242" t="s">
        <v>34</v>
      </c>
      <c r="R242">
        <v>684.93</v>
      </c>
      <c r="S242" s="25" t="e">
        <f>IF(Table1[[#This Row],[Sales]]=MIN(Table1[Sales]), Table1[[#This Row],[Sales]], NA())</f>
        <v>#N/A</v>
      </c>
      <c r="T242" s="25">
        <f>IF(AND(Table1[[#This Row],[Sales]]&lt;&gt;MIN(Table1[Sales]),Table1[[#This Row],[Sales]]&lt;&gt;MAX(Table1[Sales])), Table1[[#This Row],[Sales]], NA())</f>
        <v>684.93</v>
      </c>
      <c r="U242" s="25" t="e">
        <f>IF(Table1[[#This Row],[Sales]]=MAX(Table1[Sales]), Table1[[#This Row],[Sales]], NA())</f>
        <v>#N/A</v>
      </c>
      <c r="V242">
        <v>8</v>
      </c>
      <c r="W242">
        <v>0.3</v>
      </c>
      <c r="X242">
        <v>3.42</v>
      </c>
      <c r="Y242" s="3">
        <f>YEAR(Table1[[#This Row],[Order Date]])</f>
        <v>2021</v>
      </c>
      <c r="Z242" s="3" t="str">
        <f>TEXT(Table1[[#This Row],[Order Date]],"MMM")</f>
        <v>Jan</v>
      </c>
      <c r="AA242" s="3">
        <f>DAY(Table1[[#This Row],[Order Date]])</f>
        <v>17</v>
      </c>
    </row>
    <row r="243" spans="1:27" x14ac:dyDescent="0.35">
      <c r="A243" s="1">
        <v>242</v>
      </c>
      <c r="B243" s="1" t="s">
        <v>1213</v>
      </c>
      <c r="C243" s="1" t="s">
        <v>466</v>
      </c>
      <c r="D243" s="1" t="s">
        <v>1214</v>
      </c>
      <c r="E243" t="s">
        <v>62</v>
      </c>
      <c r="F243" t="s">
        <v>1215</v>
      </c>
      <c r="G243" t="s">
        <v>140</v>
      </c>
      <c r="H243" t="s">
        <v>41</v>
      </c>
      <c r="I243" s="1" t="s">
        <v>28</v>
      </c>
      <c r="J243" t="s">
        <v>128</v>
      </c>
      <c r="K243" t="s">
        <v>129</v>
      </c>
      <c r="L243" s="1">
        <v>275626</v>
      </c>
      <c r="M243" s="1" t="s">
        <v>66</v>
      </c>
      <c r="N243" t="s">
        <v>1216</v>
      </c>
      <c r="O243" t="s">
        <v>46</v>
      </c>
      <c r="P243" t="s">
        <v>57</v>
      </c>
      <c r="Q243" t="s">
        <v>58</v>
      </c>
      <c r="R243">
        <v>19484.7</v>
      </c>
      <c r="S243" s="25" t="e">
        <f>IF(Table1[[#This Row],[Sales]]=MIN(Table1[Sales]), Table1[[#This Row],[Sales]], NA())</f>
        <v>#N/A</v>
      </c>
      <c r="T243" s="25">
        <f>IF(AND(Table1[[#This Row],[Sales]]&lt;&gt;MIN(Table1[Sales]),Table1[[#This Row],[Sales]]&lt;&gt;MAX(Table1[Sales])), Table1[[#This Row],[Sales]], NA())</f>
        <v>19484.7</v>
      </c>
      <c r="U243" s="25" t="e">
        <f>IF(Table1[[#This Row],[Sales]]=MAX(Table1[Sales]), Table1[[#This Row],[Sales]], NA())</f>
        <v>#N/A</v>
      </c>
      <c r="V243">
        <v>7</v>
      </c>
      <c r="W243">
        <v>0</v>
      </c>
      <c r="X243">
        <v>1558.78</v>
      </c>
      <c r="Y243" s="3">
        <f>YEAR(Table1[[#This Row],[Order Date]])</f>
        <v>2025</v>
      </c>
      <c r="Z243" s="3" t="str">
        <f>TEXT(Table1[[#This Row],[Order Date]],"MMM")</f>
        <v>Aug</v>
      </c>
      <c r="AA243" s="3">
        <f>DAY(Table1[[#This Row],[Order Date]])</f>
        <v>14</v>
      </c>
    </row>
    <row r="244" spans="1:27" x14ac:dyDescent="0.35">
      <c r="A244" s="1">
        <v>243</v>
      </c>
      <c r="B244" s="1" t="s">
        <v>1217</v>
      </c>
      <c r="C244" s="1" t="s">
        <v>1218</v>
      </c>
      <c r="D244" s="1" t="s">
        <v>1219</v>
      </c>
      <c r="E244" t="s">
        <v>38</v>
      </c>
      <c r="F244" t="s">
        <v>1220</v>
      </c>
      <c r="G244" t="s">
        <v>122</v>
      </c>
      <c r="H244" t="s">
        <v>94</v>
      </c>
      <c r="I244" s="1" t="s">
        <v>28</v>
      </c>
      <c r="J244" t="s">
        <v>53</v>
      </c>
      <c r="K244" t="s">
        <v>54</v>
      </c>
      <c r="L244" s="1">
        <v>213052</v>
      </c>
      <c r="M244" s="1" t="s">
        <v>55</v>
      </c>
      <c r="N244" t="s">
        <v>1221</v>
      </c>
      <c r="O244" t="s">
        <v>46</v>
      </c>
      <c r="P244" t="s">
        <v>47</v>
      </c>
      <c r="Q244" t="s">
        <v>48</v>
      </c>
      <c r="R244">
        <v>73933.259999999995</v>
      </c>
      <c r="S244" s="25" t="e">
        <f>IF(Table1[[#This Row],[Sales]]=MIN(Table1[Sales]), Table1[[#This Row],[Sales]], NA())</f>
        <v>#N/A</v>
      </c>
      <c r="T244" s="25">
        <f>IF(AND(Table1[[#This Row],[Sales]]&lt;&gt;MIN(Table1[Sales]),Table1[[#This Row],[Sales]]&lt;&gt;MAX(Table1[Sales])), Table1[[#This Row],[Sales]], NA())</f>
        <v>73933.259999999995</v>
      </c>
      <c r="U244" s="25" t="e">
        <f>IF(Table1[[#This Row],[Sales]]=MAX(Table1[Sales]), Table1[[#This Row],[Sales]], NA())</f>
        <v>#N/A</v>
      </c>
      <c r="V244">
        <v>5</v>
      </c>
      <c r="W244">
        <v>0.3</v>
      </c>
      <c r="X244">
        <v>369.67</v>
      </c>
      <c r="Y244" s="3">
        <f>YEAR(Table1[[#This Row],[Order Date]])</f>
        <v>2025</v>
      </c>
      <c r="Z244" s="3" t="str">
        <f>TEXT(Table1[[#This Row],[Order Date]],"MMM")</f>
        <v>Apr</v>
      </c>
      <c r="AA244" s="3">
        <f>DAY(Table1[[#This Row],[Order Date]])</f>
        <v>4</v>
      </c>
    </row>
    <row r="245" spans="1:27" x14ac:dyDescent="0.35">
      <c r="A245" s="1">
        <v>244</v>
      </c>
      <c r="B245" s="1" t="s">
        <v>1222</v>
      </c>
      <c r="C245" s="1" t="s">
        <v>1223</v>
      </c>
      <c r="D245" s="1" t="s">
        <v>1224</v>
      </c>
      <c r="E245" t="s">
        <v>62</v>
      </c>
      <c r="F245" t="s">
        <v>1225</v>
      </c>
      <c r="G245" t="s">
        <v>188</v>
      </c>
      <c r="H245" t="s">
        <v>94</v>
      </c>
      <c r="I245" s="1" t="s">
        <v>28</v>
      </c>
      <c r="J245" t="s">
        <v>64</v>
      </c>
      <c r="K245" t="s">
        <v>65</v>
      </c>
      <c r="L245" s="1">
        <v>961112</v>
      </c>
      <c r="M245" s="1" t="s">
        <v>66</v>
      </c>
      <c r="N245" t="s">
        <v>1226</v>
      </c>
      <c r="O245" t="s">
        <v>46</v>
      </c>
      <c r="P245" t="s">
        <v>47</v>
      </c>
      <c r="Q245" t="s">
        <v>48</v>
      </c>
      <c r="R245">
        <v>70775.58</v>
      </c>
      <c r="S245" s="25" t="e">
        <f>IF(Table1[[#This Row],[Sales]]=MIN(Table1[Sales]), Table1[[#This Row],[Sales]], NA())</f>
        <v>#N/A</v>
      </c>
      <c r="T245" s="25">
        <f>IF(AND(Table1[[#This Row],[Sales]]&lt;&gt;MIN(Table1[Sales]),Table1[[#This Row],[Sales]]&lt;&gt;MAX(Table1[Sales])), Table1[[#This Row],[Sales]], NA())</f>
        <v>70775.58</v>
      </c>
      <c r="U245" s="25" t="e">
        <f>IF(Table1[[#This Row],[Sales]]=MAX(Table1[Sales]), Table1[[#This Row],[Sales]], NA())</f>
        <v>#N/A</v>
      </c>
      <c r="V245">
        <v>5</v>
      </c>
      <c r="W245">
        <v>0</v>
      </c>
      <c r="X245">
        <v>5662.05</v>
      </c>
      <c r="Y245" s="3">
        <f>YEAR(Table1[[#This Row],[Order Date]])</f>
        <v>2021</v>
      </c>
      <c r="Z245" s="3" t="str">
        <f>TEXT(Table1[[#This Row],[Order Date]],"MMM")</f>
        <v>Sep</v>
      </c>
      <c r="AA245" s="3">
        <f>DAY(Table1[[#This Row],[Order Date]])</f>
        <v>13</v>
      </c>
    </row>
    <row r="246" spans="1:27" x14ac:dyDescent="0.35">
      <c r="A246" s="1">
        <v>245</v>
      </c>
      <c r="B246" s="1" t="s">
        <v>1227</v>
      </c>
      <c r="C246" s="1" t="s">
        <v>1228</v>
      </c>
      <c r="D246" s="1" t="s">
        <v>272</v>
      </c>
      <c r="E246" t="s">
        <v>115</v>
      </c>
      <c r="F246" t="s">
        <v>1229</v>
      </c>
      <c r="G246" t="s">
        <v>40</v>
      </c>
      <c r="H246" t="s">
        <v>94</v>
      </c>
      <c r="I246" s="1" t="s">
        <v>28</v>
      </c>
      <c r="J246" t="s">
        <v>128</v>
      </c>
      <c r="K246" t="s">
        <v>129</v>
      </c>
      <c r="L246" s="1">
        <v>890887</v>
      </c>
      <c r="M246" s="1" t="s">
        <v>66</v>
      </c>
      <c r="N246" t="s">
        <v>1230</v>
      </c>
      <c r="O246" t="s">
        <v>46</v>
      </c>
      <c r="P246" t="s">
        <v>57</v>
      </c>
      <c r="Q246" t="s">
        <v>58</v>
      </c>
      <c r="R246">
        <v>81847.98</v>
      </c>
      <c r="S246" s="25" t="e">
        <f>IF(Table1[[#This Row],[Sales]]=MIN(Table1[Sales]), Table1[[#This Row],[Sales]], NA())</f>
        <v>#N/A</v>
      </c>
      <c r="T246" s="25">
        <f>IF(AND(Table1[[#This Row],[Sales]]&lt;&gt;MIN(Table1[Sales]),Table1[[#This Row],[Sales]]&lt;&gt;MAX(Table1[Sales])), Table1[[#This Row],[Sales]], NA())</f>
        <v>81847.98</v>
      </c>
      <c r="U246" s="25" t="e">
        <f>IF(Table1[[#This Row],[Sales]]=MAX(Table1[Sales]), Table1[[#This Row],[Sales]], NA())</f>
        <v>#N/A</v>
      </c>
      <c r="V246">
        <v>6</v>
      </c>
      <c r="W246">
        <v>0</v>
      </c>
      <c r="X246">
        <v>6547.84</v>
      </c>
      <c r="Y246" s="3">
        <f>YEAR(Table1[[#This Row],[Order Date]])</f>
        <v>2025</v>
      </c>
      <c r="Z246" s="3" t="str">
        <f>TEXT(Table1[[#This Row],[Order Date]],"MMM")</f>
        <v>Oct</v>
      </c>
      <c r="AA246" s="3">
        <f>DAY(Table1[[#This Row],[Order Date]])</f>
        <v>27</v>
      </c>
    </row>
    <row r="247" spans="1:27" x14ac:dyDescent="0.35">
      <c r="A247" s="1">
        <v>246</v>
      </c>
      <c r="B247" s="1" t="s">
        <v>1231</v>
      </c>
      <c r="C247" s="1" t="s">
        <v>1232</v>
      </c>
      <c r="D247" s="1" t="s">
        <v>1233</v>
      </c>
      <c r="E247" t="s">
        <v>62</v>
      </c>
      <c r="F247" t="s">
        <v>1234</v>
      </c>
      <c r="G247" t="s">
        <v>140</v>
      </c>
      <c r="H247" t="s">
        <v>27</v>
      </c>
      <c r="I247" s="1" t="s">
        <v>28</v>
      </c>
      <c r="J247" t="s">
        <v>42</v>
      </c>
      <c r="K247" t="s">
        <v>43</v>
      </c>
      <c r="L247" s="1">
        <v>894883</v>
      </c>
      <c r="M247" s="1" t="s">
        <v>44</v>
      </c>
      <c r="N247" t="s">
        <v>1235</v>
      </c>
      <c r="O247" t="s">
        <v>46</v>
      </c>
      <c r="P247" t="s">
        <v>57</v>
      </c>
      <c r="Q247" t="s">
        <v>58</v>
      </c>
      <c r="R247">
        <v>26098.43</v>
      </c>
      <c r="S247" s="25" t="e">
        <f>IF(Table1[[#This Row],[Sales]]=MIN(Table1[Sales]), Table1[[#This Row],[Sales]], NA())</f>
        <v>#N/A</v>
      </c>
      <c r="T247" s="25">
        <f>IF(AND(Table1[[#This Row],[Sales]]&lt;&gt;MIN(Table1[Sales]),Table1[[#This Row],[Sales]]&lt;&gt;MAX(Table1[Sales])), Table1[[#This Row],[Sales]], NA())</f>
        <v>26098.43</v>
      </c>
      <c r="U247" s="25" t="e">
        <f>IF(Table1[[#This Row],[Sales]]=MAX(Table1[Sales]), Table1[[#This Row],[Sales]], NA())</f>
        <v>#N/A</v>
      </c>
      <c r="V247">
        <v>5</v>
      </c>
      <c r="W247">
        <v>0.3</v>
      </c>
      <c r="X247">
        <v>130.49</v>
      </c>
      <c r="Y247" s="3">
        <f>YEAR(Table1[[#This Row],[Order Date]])</f>
        <v>2021</v>
      </c>
      <c r="Z247" s="3" t="str">
        <f>TEXT(Table1[[#This Row],[Order Date]],"MMM")</f>
        <v>Jun</v>
      </c>
      <c r="AA247" s="3">
        <f>DAY(Table1[[#This Row],[Order Date]])</f>
        <v>11</v>
      </c>
    </row>
    <row r="248" spans="1:27" x14ac:dyDescent="0.35">
      <c r="A248" s="1">
        <v>247</v>
      </c>
      <c r="B248" s="1" t="s">
        <v>1236</v>
      </c>
      <c r="C248" s="1" t="s">
        <v>1237</v>
      </c>
      <c r="D248" s="1" t="s">
        <v>1238</v>
      </c>
      <c r="E248" t="s">
        <v>38</v>
      </c>
      <c r="F248" t="s">
        <v>1239</v>
      </c>
      <c r="G248" t="s">
        <v>40</v>
      </c>
      <c r="H248" t="s">
        <v>94</v>
      </c>
      <c r="I248" s="1" t="s">
        <v>28</v>
      </c>
      <c r="J248" t="s">
        <v>128</v>
      </c>
      <c r="K248" t="s">
        <v>129</v>
      </c>
      <c r="L248" s="1">
        <v>979800</v>
      </c>
      <c r="M248" s="1" t="s">
        <v>66</v>
      </c>
      <c r="N248" t="s">
        <v>1240</v>
      </c>
      <c r="O248" t="s">
        <v>32</v>
      </c>
      <c r="P248" t="s">
        <v>33</v>
      </c>
      <c r="Q248" t="s">
        <v>34</v>
      </c>
      <c r="R248">
        <v>41377.910000000003</v>
      </c>
      <c r="S248" s="25" t="e">
        <f>IF(Table1[[#This Row],[Sales]]=MIN(Table1[Sales]), Table1[[#This Row],[Sales]], NA())</f>
        <v>#N/A</v>
      </c>
      <c r="T248" s="25">
        <f>IF(AND(Table1[[#This Row],[Sales]]&lt;&gt;MIN(Table1[Sales]),Table1[[#This Row],[Sales]]&lt;&gt;MAX(Table1[Sales])), Table1[[#This Row],[Sales]], NA())</f>
        <v>41377.910000000003</v>
      </c>
      <c r="U248" s="25" t="e">
        <f>IF(Table1[[#This Row],[Sales]]=MAX(Table1[Sales]), Table1[[#This Row],[Sales]], NA())</f>
        <v>#N/A</v>
      </c>
      <c r="V248">
        <v>4</v>
      </c>
      <c r="W248">
        <v>0.2</v>
      </c>
      <c r="X248">
        <v>1241.3399999999999</v>
      </c>
      <c r="Y248" s="3">
        <f>YEAR(Table1[[#This Row],[Order Date]])</f>
        <v>2025</v>
      </c>
      <c r="Z248" s="3" t="str">
        <f>TEXT(Table1[[#This Row],[Order Date]],"MMM")</f>
        <v>Aug</v>
      </c>
      <c r="AA248" s="3">
        <f>DAY(Table1[[#This Row],[Order Date]])</f>
        <v>2</v>
      </c>
    </row>
    <row r="249" spans="1:27" x14ac:dyDescent="0.35">
      <c r="A249" s="1">
        <v>248</v>
      </c>
      <c r="B249" s="1" t="s">
        <v>1241</v>
      </c>
      <c r="C249" s="1" t="s">
        <v>1242</v>
      </c>
      <c r="D249" s="1" t="s">
        <v>1243</v>
      </c>
      <c r="E249" t="s">
        <v>24</v>
      </c>
      <c r="F249" t="s">
        <v>1244</v>
      </c>
      <c r="G249" t="s">
        <v>188</v>
      </c>
      <c r="H249" t="s">
        <v>41</v>
      </c>
      <c r="I249" s="1" t="s">
        <v>28</v>
      </c>
      <c r="J249" t="s">
        <v>29</v>
      </c>
      <c r="K249" t="s">
        <v>29</v>
      </c>
      <c r="L249" s="1">
        <v>160997</v>
      </c>
      <c r="M249" s="1" t="s">
        <v>30</v>
      </c>
      <c r="N249" t="s">
        <v>1245</v>
      </c>
      <c r="O249" t="s">
        <v>46</v>
      </c>
      <c r="P249" t="s">
        <v>47</v>
      </c>
      <c r="Q249" t="s">
        <v>48</v>
      </c>
      <c r="R249">
        <v>13286.11</v>
      </c>
      <c r="S249" s="25" t="e">
        <f>IF(Table1[[#This Row],[Sales]]=MIN(Table1[Sales]), Table1[[#This Row],[Sales]], NA())</f>
        <v>#N/A</v>
      </c>
      <c r="T249" s="25">
        <f>IF(AND(Table1[[#This Row],[Sales]]&lt;&gt;MIN(Table1[Sales]),Table1[[#This Row],[Sales]]&lt;&gt;MAX(Table1[Sales])), Table1[[#This Row],[Sales]], NA())</f>
        <v>13286.11</v>
      </c>
      <c r="U249" s="25" t="e">
        <f>IF(Table1[[#This Row],[Sales]]=MAX(Table1[Sales]), Table1[[#This Row],[Sales]], NA())</f>
        <v>#N/A</v>
      </c>
      <c r="V249">
        <v>2</v>
      </c>
      <c r="W249">
        <v>0.1</v>
      </c>
      <c r="X249">
        <v>730.74</v>
      </c>
      <c r="Y249" s="3">
        <f>YEAR(Table1[[#This Row],[Order Date]])</f>
        <v>2024</v>
      </c>
      <c r="Z249" s="3" t="str">
        <f>TEXT(Table1[[#This Row],[Order Date]],"MMM")</f>
        <v>Sep</v>
      </c>
      <c r="AA249" s="3">
        <f>DAY(Table1[[#This Row],[Order Date]])</f>
        <v>10</v>
      </c>
    </row>
    <row r="250" spans="1:27" x14ac:dyDescent="0.35">
      <c r="A250" s="1">
        <v>249</v>
      </c>
      <c r="B250" s="1" t="s">
        <v>1246</v>
      </c>
      <c r="C250" s="1" t="s">
        <v>1247</v>
      </c>
      <c r="D250" s="1" t="s">
        <v>1248</v>
      </c>
      <c r="E250" t="s">
        <v>38</v>
      </c>
      <c r="F250" t="s">
        <v>1249</v>
      </c>
      <c r="G250" t="s">
        <v>87</v>
      </c>
      <c r="H250" t="s">
        <v>41</v>
      </c>
      <c r="I250" s="1" t="s">
        <v>28</v>
      </c>
      <c r="J250" t="s">
        <v>128</v>
      </c>
      <c r="K250" t="s">
        <v>129</v>
      </c>
      <c r="L250" s="1">
        <v>865984</v>
      </c>
      <c r="M250" s="1" t="s">
        <v>66</v>
      </c>
      <c r="N250" t="s">
        <v>1250</v>
      </c>
      <c r="O250" t="s">
        <v>32</v>
      </c>
      <c r="P250" t="s">
        <v>33</v>
      </c>
      <c r="Q250" t="s">
        <v>34</v>
      </c>
      <c r="R250">
        <v>43423.7</v>
      </c>
      <c r="S250" s="25" t="e">
        <f>IF(Table1[[#This Row],[Sales]]=MIN(Table1[Sales]), Table1[[#This Row],[Sales]], NA())</f>
        <v>#N/A</v>
      </c>
      <c r="T250" s="25">
        <f>IF(AND(Table1[[#This Row],[Sales]]&lt;&gt;MIN(Table1[Sales]),Table1[[#This Row],[Sales]]&lt;&gt;MAX(Table1[Sales])), Table1[[#This Row],[Sales]], NA())</f>
        <v>43423.7</v>
      </c>
      <c r="U250" s="25" t="e">
        <f>IF(Table1[[#This Row],[Sales]]=MAX(Table1[Sales]), Table1[[#This Row],[Sales]], NA())</f>
        <v>#N/A</v>
      </c>
      <c r="V250">
        <v>1</v>
      </c>
      <c r="W250">
        <v>0.2</v>
      </c>
      <c r="X250">
        <v>1302.71</v>
      </c>
      <c r="Y250" s="3">
        <f>YEAR(Table1[[#This Row],[Order Date]])</f>
        <v>2024</v>
      </c>
      <c r="Z250" s="3" t="str">
        <f>TEXT(Table1[[#This Row],[Order Date]],"MMM")</f>
        <v>Jun</v>
      </c>
      <c r="AA250" s="3">
        <f>DAY(Table1[[#This Row],[Order Date]])</f>
        <v>9</v>
      </c>
    </row>
    <row r="251" spans="1:27" x14ac:dyDescent="0.35">
      <c r="A251" s="1">
        <v>250</v>
      </c>
      <c r="B251" s="1" t="s">
        <v>1251</v>
      </c>
      <c r="C251" s="1" t="s">
        <v>1252</v>
      </c>
      <c r="D251" s="1" t="s">
        <v>1253</v>
      </c>
      <c r="E251" t="s">
        <v>38</v>
      </c>
      <c r="F251" t="s">
        <v>1254</v>
      </c>
      <c r="G251" t="s">
        <v>26</v>
      </c>
      <c r="H251" t="s">
        <v>41</v>
      </c>
      <c r="I251" s="1" t="s">
        <v>28</v>
      </c>
      <c r="J251" t="s">
        <v>64</v>
      </c>
      <c r="K251" t="s">
        <v>65</v>
      </c>
      <c r="L251" s="1">
        <v>140188</v>
      </c>
      <c r="M251" s="1" t="s">
        <v>66</v>
      </c>
      <c r="N251" t="s">
        <v>1255</v>
      </c>
      <c r="O251" t="s">
        <v>46</v>
      </c>
      <c r="P251" t="s">
        <v>57</v>
      </c>
      <c r="Q251" t="s">
        <v>58</v>
      </c>
      <c r="R251">
        <v>9763.9599999999991</v>
      </c>
      <c r="S251" s="25" t="e">
        <f>IF(Table1[[#This Row],[Sales]]=MIN(Table1[Sales]), Table1[[#This Row],[Sales]], NA())</f>
        <v>#N/A</v>
      </c>
      <c r="T251" s="25">
        <f>IF(AND(Table1[[#This Row],[Sales]]&lt;&gt;MIN(Table1[Sales]),Table1[[#This Row],[Sales]]&lt;&gt;MAX(Table1[Sales])), Table1[[#This Row],[Sales]], NA())</f>
        <v>9763.9599999999991</v>
      </c>
      <c r="U251" s="25" t="e">
        <f>IF(Table1[[#This Row],[Sales]]=MAX(Table1[Sales]), Table1[[#This Row],[Sales]], NA())</f>
        <v>#N/A</v>
      </c>
      <c r="V251">
        <v>6</v>
      </c>
      <c r="W251">
        <v>0</v>
      </c>
      <c r="X251">
        <v>781.12</v>
      </c>
      <c r="Y251" s="3">
        <f>YEAR(Table1[[#This Row],[Order Date]])</f>
        <v>2022</v>
      </c>
      <c r="Z251" s="3" t="str">
        <f>TEXT(Table1[[#This Row],[Order Date]],"MMM")</f>
        <v>Feb</v>
      </c>
      <c r="AA251" s="3">
        <f>DAY(Table1[[#This Row],[Order Date]])</f>
        <v>23</v>
      </c>
    </row>
    <row r="252" spans="1:27" x14ac:dyDescent="0.35">
      <c r="A252" s="1">
        <v>251</v>
      </c>
      <c r="B252" s="1" t="s">
        <v>1256</v>
      </c>
      <c r="C252" s="1" t="s">
        <v>1257</v>
      </c>
      <c r="D252" s="1" t="s">
        <v>1118</v>
      </c>
      <c r="E252" t="s">
        <v>24</v>
      </c>
      <c r="F252" t="s">
        <v>1258</v>
      </c>
      <c r="G252" t="s">
        <v>81</v>
      </c>
      <c r="H252" t="s">
        <v>41</v>
      </c>
      <c r="I252" s="1" t="s">
        <v>28</v>
      </c>
      <c r="J252" t="s">
        <v>53</v>
      </c>
      <c r="K252" t="s">
        <v>54</v>
      </c>
      <c r="L252" s="1">
        <v>182847</v>
      </c>
      <c r="M252" s="1" t="s">
        <v>55</v>
      </c>
      <c r="N252" t="s">
        <v>1259</v>
      </c>
      <c r="O252" t="s">
        <v>46</v>
      </c>
      <c r="P252" t="s">
        <v>57</v>
      </c>
      <c r="Q252" t="s">
        <v>58</v>
      </c>
      <c r="R252">
        <v>94742.73</v>
      </c>
      <c r="S252" s="25" t="e">
        <f>IF(Table1[[#This Row],[Sales]]=MIN(Table1[Sales]), Table1[[#This Row],[Sales]], NA())</f>
        <v>#N/A</v>
      </c>
      <c r="T252" s="25">
        <f>IF(AND(Table1[[#This Row],[Sales]]&lt;&gt;MIN(Table1[Sales]),Table1[[#This Row],[Sales]]&lt;&gt;MAX(Table1[Sales])), Table1[[#This Row],[Sales]], NA())</f>
        <v>94742.73</v>
      </c>
      <c r="U252" s="25" t="e">
        <f>IF(Table1[[#This Row],[Sales]]=MAX(Table1[Sales]), Table1[[#This Row],[Sales]], NA())</f>
        <v>#N/A</v>
      </c>
      <c r="V252">
        <v>8</v>
      </c>
      <c r="W252">
        <v>0</v>
      </c>
      <c r="X252">
        <v>7579.42</v>
      </c>
      <c r="Y252" s="3">
        <f>YEAR(Table1[[#This Row],[Order Date]])</f>
        <v>2024</v>
      </c>
      <c r="Z252" s="3" t="str">
        <f>TEXT(Table1[[#This Row],[Order Date]],"MMM")</f>
        <v>Apr</v>
      </c>
      <c r="AA252" s="3">
        <f>DAY(Table1[[#This Row],[Order Date]])</f>
        <v>7</v>
      </c>
    </row>
    <row r="253" spans="1:27" x14ac:dyDescent="0.35">
      <c r="A253" s="1">
        <v>252</v>
      </c>
      <c r="B253" s="1" t="s">
        <v>1260</v>
      </c>
      <c r="C253" s="1" t="s">
        <v>1261</v>
      </c>
      <c r="D253" s="1" t="s">
        <v>1262</v>
      </c>
      <c r="E253" t="s">
        <v>115</v>
      </c>
      <c r="F253" t="s">
        <v>1263</v>
      </c>
      <c r="G253" t="s">
        <v>110</v>
      </c>
      <c r="H253" t="s">
        <v>41</v>
      </c>
      <c r="I253" s="1" t="s">
        <v>28</v>
      </c>
      <c r="J253" t="s">
        <v>64</v>
      </c>
      <c r="K253" t="s">
        <v>65</v>
      </c>
      <c r="L253" s="1">
        <v>974117</v>
      </c>
      <c r="M253" s="1" t="s">
        <v>66</v>
      </c>
      <c r="N253" t="s">
        <v>1264</v>
      </c>
      <c r="O253" t="s">
        <v>32</v>
      </c>
      <c r="P253" t="s">
        <v>33</v>
      </c>
      <c r="Q253" t="s">
        <v>34</v>
      </c>
      <c r="R253">
        <v>21698.3</v>
      </c>
      <c r="S253" s="25" t="e">
        <f>IF(Table1[[#This Row],[Sales]]=MIN(Table1[Sales]), Table1[[#This Row],[Sales]], NA())</f>
        <v>#N/A</v>
      </c>
      <c r="T253" s="25">
        <f>IF(AND(Table1[[#This Row],[Sales]]&lt;&gt;MIN(Table1[Sales]),Table1[[#This Row],[Sales]]&lt;&gt;MAX(Table1[Sales])), Table1[[#This Row],[Sales]], NA())</f>
        <v>21698.3</v>
      </c>
      <c r="U253" s="25" t="e">
        <f>IF(Table1[[#This Row],[Sales]]=MAX(Table1[Sales]), Table1[[#This Row],[Sales]], NA())</f>
        <v>#N/A</v>
      </c>
      <c r="V253">
        <v>8</v>
      </c>
      <c r="W253">
        <v>0.1</v>
      </c>
      <c r="X253">
        <v>1193.4100000000001</v>
      </c>
      <c r="Y253" s="3">
        <f>YEAR(Table1[[#This Row],[Order Date]])</f>
        <v>2023</v>
      </c>
      <c r="Z253" s="3" t="str">
        <f>TEXT(Table1[[#This Row],[Order Date]],"MMM")</f>
        <v>May</v>
      </c>
      <c r="AA253" s="3">
        <f>DAY(Table1[[#This Row],[Order Date]])</f>
        <v>20</v>
      </c>
    </row>
    <row r="254" spans="1:27" x14ac:dyDescent="0.35">
      <c r="A254" s="1">
        <v>253</v>
      </c>
      <c r="B254" s="1" t="s">
        <v>1265</v>
      </c>
      <c r="C254" s="1" t="s">
        <v>1266</v>
      </c>
      <c r="D254" s="1" t="s">
        <v>1267</v>
      </c>
      <c r="E254" t="s">
        <v>62</v>
      </c>
      <c r="F254" t="s">
        <v>1268</v>
      </c>
      <c r="G254" t="s">
        <v>110</v>
      </c>
      <c r="H254" t="s">
        <v>41</v>
      </c>
      <c r="I254" s="1" t="s">
        <v>28</v>
      </c>
      <c r="J254" t="s">
        <v>29</v>
      </c>
      <c r="K254" t="s">
        <v>29</v>
      </c>
      <c r="L254" s="1">
        <v>679836</v>
      </c>
      <c r="M254" s="1" t="s">
        <v>30</v>
      </c>
      <c r="N254" t="s">
        <v>1269</v>
      </c>
      <c r="O254" t="s">
        <v>32</v>
      </c>
      <c r="P254" t="s">
        <v>33</v>
      </c>
      <c r="Q254" t="s">
        <v>34</v>
      </c>
      <c r="R254">
        <v>18033.38</v>
      </c>
      <c r="S254" s="25" t="e">
        <f>IF(Table1[[#This Row],[Sales]]=MIN(Table1[Sales]), Table1[[#This Row],[Sales]], NA())</f>
        <v>#N/A</v>
      </c>
      <c r="T254" s="25">
        <f>IF(AND(Table1[[#This Row],[Sales]]&lt;&gt;MIN(Table1[Sales]),Table1[[#This Row],[Sales]]&lt;&gt;MAX(Table1[Sales])), Table1[[#This Row],[Sales]], NA())</f>
        <v>18033.38</v>
      </c>
      <c r="U254" s="25" t="e">
        <f>IF(Table1[[#This Row],[Sales]]=MAX(Table1[Sales]), Table1[[#This Row],[Sales]], NA())</f>
        <v>#N/A</v>
      </c>
      <c r="V254">
        <v>3</v>
      </c>
      <c r="W254">
        <v>0</v>
      </c>
      <c r="X254">
        <v>1442.67</v>
      </c>
      <c r="Y254" s="3">
        <f>YEAR(Table1[[#This Row],[Order Date]])</f>
        <v>2021</v>
      </c>
      <c r="Z254" s="3" t="str">
        <f>TEXT(Table1[[#This Row],[Order Date]],"MMM")</f>
        <v>Feb</v>
      </c>
      <c r="AA254" s="3">
        <f>DAY(Table1[[#This Row],[Order Date]])</f>
        <v>9</v>
      </c>
    </row>
    <row r="255" spans="1:27" x14ac:dyDescent="0.35">
      <c r="A255" s="1">
        <v>254</v>
      </c>
      <c r="B255" s="1" t="s">
        <v>1270</v>
      </c>
      <c r="C255" s="1" t="s">
        <v>1271</v>
      </c>
      <c r="D255" s="1" t="s">
        <v>1272</v>
      </c>
      <c r="E255" t="s">
        <v>24</v>
      </c>
      <c r="F255" t="s">
        <v>1273</v>
      </c>
      <c r="G255" t="s">
        <v>188</v>
      </c>
      <c r="H255" t="s">
        <v>94</v>
      </c>
      <c r="I255" s="1" t="s">
        <v>28</v>
      </c>
      <c r="J255" t="s">
        <v>42</v>
      </c>
      <c r="K255" t="s">
        <v>43</v>
      </c>
      <c r="L255" s="1">
        <v>328620</v>
      </c>
      <c r="M255" s="1" t="s">
        <v>44</v>
      </c>
      <c r="N255" t="s">
        <v>1274</v>
      </c>
      <c r="O255" t="s">
        <v>46</v>
      </c>
      <c r="P255" t="s">
        <v>57</v>
      </c>
      <c r="Q255" t="s">
        <v>58</v>
      </c>
      <c r="R255">
        <v>4182.72</v>
      </c>
      <c r="S255" s="25" t="e">
        <f>IF(Table1[[#This Row],[Sales]]=MIN(Table1[Sales]), Table1[[#This Row],[Sales]], NA())</f>
        <v>#N/A</v>
      </c>
      <c r="T255" s="25">
        <f>IF(AND(Table1[[#This Row],[Sales]]&lt;&gt;MIN(Table1[Sales]),Table1[[#This Row],[Sales]]&lt;&gt;MAX(Table1[Sales])), Table1[[#This Row],[Sales]], NA())</f>
        <v>4182.72</v>
      </c>
      <c r="U255" s="25" t="e">
        <f>IF(Table1[[#This Row],[Sales]]=MAX(Table1[Sales]), Table1[[#This Row],[Sales]], NA())</f>
        <v>#N/A</v>
      </c>
      <c r="V255">
        <v>6</v>
      </c>
      <c r="W255">
        <v>0.1</v>
      </c>
      <c r="X255">
        <v>230.05</v>
      </c>
      <c r="Y255" s="3">
        <f>YEAR(Table1[[#This Row],[Order Date]])</f>
        <v>2023</v>
      </c>
      <c r="Z255" s="3" t="str">
        <f>TEXT(Table1[[#This Row],[Order Date]],"MMM")</f>
        <v>May</v>
      </c>
      <c r="AA255" s="3">
        <f>DAY(Table1[[#This Row],[Order Date]])</f>
        <v>1</v>
      </c>
    </row>
    <row r="256" spans="1:27" x14ac:dyDescent="0.35">
      <c r="A256" s="1">
        <v>255</v>
      </c>
      <c r="B256" s="1" t="s">
        <v>1275</v>
      </c>
      <c r="C256" s="1" t="s">
        <v>1276</v>
      </c>
      <c r="D256" s="1" t="s">
        <v>542</v>
      </c>
      <c r="E256" t="s">
        <v>24</v>
      </c>
      <c r="F256" t="s">
        <v>1277</v>
      </c>
      <c r="G256" t="s">
        <v>93</v>
      </c>
      <c r="H256" t="s">
        <v>41</v>
      </c>
      <c r="I256" s="1" t="s">
        <v>28</v>
      </c>
      <c r="J256" t="s">
        <v>29</v>
      </c>
      <c r="K256" t="s">
        <v>29</v>
      </c>
      <c r="L256" s="1">
        <v>796422</v>
      </c>
      <c r="M256" s="1" t="s">
        <v>30</v>
      </c>
      <c r="N256" t="s">
        <v>1278</v>
      </c>
      <c r="O256" t="s">
        <v>46</v>
      </c>
      <c r="P256" t="s">
        <v>47</v>
      </c>
      <c r="Q256" t="s">
        <v>48</v>
      </c>
      <c r="R256">
        <v>63409.82</v>
      </c>
      <c r="S256" s="25" t="e">
        <f>IF(Table1[[#This Row],[Sales]]=MIN(Table1[Sales]), Table1[[#This Row],[Sales]], NA())</f>
        <v>#N/A</v>
      </c>
      <c r="T256" s="25">
        <f>IF(AND(Table1[[#This Row],[Sales]]&lt;&gt;MIN(Table1[Sales]),Table1[[#This Row],[Sales]]&lt;&gt;MAX(Table1[Sales])), Table1[[#This Row],[Sales]], NA())</f>
        <v>63409.82</v>
      </c>
      <c r="U256" s="25" t="e">
        <f>IF(Table1[[#This Row],[Sales]]=MAX(Table1[Sales]), Table1[[#This Row],[Sales]], NA())</f>
        <v>#N/A</v>
      </c>
      <c r="V256">
        <v>3</v>
      </c>
      <c r="W256">
        <v>0.1</v>
      </c>
      <c r="X256">
        <v>3487.54</v>
      </c>
      <c r="Y256" s="3">
        <f>YEAR(Table1[[#This Row],[Order Date]])</f>
        <v>2022</v>
      </c>
      <c r="Z256" s="3" t="str">
        <f>TEXT(Table1[[#This Row],[Order Date]],"MMM")</f>
        <v>Mar</v>
      </c>
      <c r="AA256" s="3">
        <f>DAY(Table1[[#This Row],[Order Date]])</f>
        <v>27</v>
      </c>
    </row>
    <row r="257" spans="1:27" x14ac:dyDescent="0.35">
      <c r="A257" s="1">
        <v>256</v>
      </c>
      <c r="B257" s="1" t="s">
        <v>1279</v>
      </c>
      <c r="C257" s="1" t="s">
        <v>1280</v>
      </c>
      <c r="D257" s="1" t="s">
        <v>325</v>
      </c>
      <c r="E257" t="s">
        <v>115</v>
      </c>
      <c r="F257" t="s">
        <v>1281</v>
      </c>
      <c r="G257" t="s">
        <v>122</v>
      </c>
      <c r="H257" t="s">
        <v>27</v>
      </c>
      <c r="I257" s="1" t="s">
        <v>28</v>
      </c>
      <c r="J257" t="s">
        <v>53</v>
      </c>
      <c r="K257" t="s">
        <v>54</v>
      </c>
      <c r="L257" s="1">
        <v>431871</v>
      </c>
      <c r="M257" s="1" t="s">
        <v>55</v>
      </c>
      <c r="N257" t="s">
        <v>1282</v>
      </c>
      <c r="O257" t="s">
        <v>46</v>
      </c>
      <c r="P257" t="s">
        <v>57</v>
      </c>
      <c r="Q257" t="s">
        <v>58</v>
      </c>
      <c r="R257">
        <v>94587.83</v>
      </c>
      <c r="S257" s="25" t="e">
        <f>IF(Table1[[#This Row],[Sales]]=MIN(Table1[Sales]), Table1[[#This Row],[Sales]], NA())</f>
        <v>#N/A</v>
      </c>
      <c r="T257" s="25">
        <f>IF(AND(Table1[[#This Row],[Sales]]&lt;&gt;MIN(Table1[Sales]),Table1[[#This Row],[Sales]]&lt;&gt;MAX(Table1[Sales])), Table1[[#This Row],[Sales]], NA())</f>
        <v>94587.83</v>
      </c>
      <c r="U257" s="25" t="e">
        <f>IF(Table1[[#This Row],[Sales]]=MAX(Table1[Sales]), Table1[[#This Row],[Sales]], NA())</f>
        <v>#N/A</v>
      </c>
      <c r="V257">
        <v>2</v>
      </c>
      <c r="W257">
        <v>0.1</v>
      </c>
      <c r="X257">
        <v>5202.33</v>
      </c>
      <c r="Y257" s="3">
        <f>YEAR(Table1[[#This Row],[Order Date]])</f>
        <v>2024</v>
      </c>
      <c r="Z257" s="3" t="str">
        <f>TEXT(Table1[[#This Row],[Order Date]],"MMM")</f>
        <v>May</v>
      </c>
      <c r="AA257" s="3">
        <f>DAY(Table1[[#This Row],[Order Date]])</f>
        <v>1</v>
      </c>
    </row>
    <row r="258" spans="1:27" x14ac:dyDescent="0.35">
      <c r="A258" s="1">
        <v>257</v>
      </c>
      <c r="B258" s="1" t="s">
        <v>1283</v>
      </c>
      <c r="C258" s="1" t="s">
        <v>1284</v>
      </c>
      <c r="D258" s="1" t="s">
        <v>1285</v>
      </c>
      <c r="E258" t="s">
        <v>24</v>
      </c>
      <c r="F258" t="s">
        <v>1286</v>
      </c>
      <c r="G258" t="s">
        <v>122</v>
      </c>
      <c r="H258" t="s">
        <v>94</v>
      </c>
      <c r="I258" s="1" t="s">
        <v>28</v>
      </c>
      <c r="J258" t="s">
        <v>29</v>
      </c>
      <c r="K258" t="s">
        <v>29</v>
      </c>
      <c r="L258" s="1">
        <v>876739</v>
      </c>
      <c r="M258" s="1" t="s">
        <v>30</v>
      </c>
      <c r="N258" t="s">
        <v>1287</v>
      </c>
      <c r="O258" t="s">
        <v>46</v>
      </c>
      <c r="P258" t="s">
        <v>47</v>
      </c>
      <c r="Q258" t="s">
        <v>48</v>
      </c>
      <c r="R258">
        <v>40250.42</v>
      </c>
      <c r="S258" s="25" t="e">
        <f>IF(Table1[[#This Row],[Sales]]=MIN(Table1[Sales]), Table1[[#This Row],[Sales]], NA())</f>
        <v>#N/A</v>
      </c>
      <c r="T258" s="25">
        <f>IF(AND(Table1[[#This Row],[Sales]]&lt;&gt;MIN(Table1[Sales]),Table1[[#This Row],[Sales]]&lt;&gt;MAX(Table1[Sales])), Table1[[#This Row],[Sales]], NA())</f>
        <v>40250.42</v>
      </c>
      <c r="U258" s="25" t="e">
        <f>IF(Table1[[#This Row],[Sales]]=MAX(Table1[Sales]), Table1[[#This Row],[Sales]], NA())</f>
        <v>#N/A</v>
      </c>
      <c r="V258">
        <v>4</v>
      </c>
      <c r="W258">
        <v>0.3</v>
      </c>
      <c r="X258">
        <v>201.25</v>
      </c>
      <c r="Y258" s="3">
        <f>YEAR(Table1[[#This Row],[Order Date]])</f>
        <v>2024</v>
      </c>
      <c r="Z258" s="3" t="str">
        <f>TEXT(Table1[[#This Row],[Order Date]],"MMM")</f>
        <v>Apr</v>
      </c>
      <c r="AA258" s="3">
        <f>DAY(Table1[[#This Row],[Order Date]])</f>
        <v>8</v>
      </c>
    </row>
    <row r="259" spans="1:27" x14ac:dyDescent="0.35">
      <c r="A259" s="1">
        <v>258</v>
      </c>
      <c r="B259" s="1" t="s">
        <v>1288</v>
      </c>
      <c r="C259" s="1" t="s">
        <v>1289</v>
      </c>
      <c r="D259" s="1" t="s">
        <v>1290</v>
      </c>
      <c r="E259" t="s">
        <v>38</v>
      </c>
      <c r="F259" t="s">
        <v>1291</v>
      </c>
      <c r="G259" t="s">
        <v>75</v>
      </c>
      <c r="H259" t="s">
        <v>94</v>
      </c>
      <c r="I259" s="1" t="s">
        <v>28</v>
      </c>
      <c r="J259" t="s">
        <v>128</v>
      </c>
      <c r="K259" t="s">
        <v>129</v>
      </c>
      <c r="L259" s="1">
        <v>858721</v>
      </c>
      <c r="M259" s="1" t="s">
        <v>66</v>
      </c>
      <c r="N259" t="s">
        <v>1292</v>
      </c>
      <c r="O259" t="s">
        <v>46</v>
      </c>
      <c r="P259" t="s">
        <v>47</v>
      </c>
      <c r="Q259" t="s">
        <v>48</v>
      </c>
      <c r="R259">
        <v>94443.47</v>
      </c>
      <c r="S259" s="25" t="e">
        <f>IF(Table1[[#This Row],[Sales]]=MIN(Table1[Sales]), Table1[[#This Row],[Sales]], NA())</f>
        <v>#N/A</v>
      </c>
      <c r="T259" s="25">
        <f>IF(AND(Table1[[#This Row],[Sales]]&lt;&gt;MIN(Table1[Sales]),Table1[[#This Row],[Sales]]&lt;&gt;MAX(Table1[Sales])), Table1[[#This Row],[Sales]], NA())</f>
        <v>94443.47</v>
      </c>
      <c r="U259" s="25" t="e">
        <f>IF(Table1[[#This Row],[Sales]]=MAX(Table1[Sales]), Table1[[#This Row],[Sales]], NA())</f>
        <v>#N/A</v>
      </c>
      <c r="V259">
        <v>8</v>
      </c>
      <c r="W259">
        <v>0.1</v>
      </c>
      <c r="X259">
        <v>5194.3900000000003</v>
      </c>
      <c r="Y259" s="3">
        <f>YEAR(Table1[[#This Row],[Order Date]])</f>
        <v>2024</v>
      </c>
      <c r="Z259" s="3" t="str">
        <f>TEXT(Table1[[#This Row],[Order Date]],"MMM")</f>
        <v>Mar</v>
      </c>
      <c r="AA259" s="3">
        <f>DAY(Table1[[#This Row],[Order Date]])</f>
        <v>26</v>
      </c>
    </row>
    <row r="260" spans="1:27" x14ac:dyDescent="0.35">
      <c r="A260" s="1">
        <v>259</v>
      </c>
      <c r="B260" s="1" t="s">
        <v>1293</v>
      </c>
      <c r="C260" s="1" t="s">
        <v>1294</v>
      </c>
      <c r="D260" s="1" t="s">
        <v>1295</v>
      </c>
      <c r="E260" t="s">
        <v>115</v>
      </c>
      <c r="F260" t="s">
        <v>1296</v>
      </c>
      <c r="G260" t="s">
        <v>40</v>
      </c>
      <c r="H260" t="s">
        <v>27</v>
      </c>
      <c r="I260" s="1" t="s">
        <v>28</v>
      </c>
      <c r="J260" t="s">
        <v>29</v>
      </c>
      <c r="K260" t="s">
        <v>29</v>
      </c>
      <c r="L260" s="1">
        <v>243255</v>
      </c>
      <c r="M260" s="1" t="s">
        <v>30</v>
      </c>
      <c r="N260" t="s">
        <v>1297</v>
      </c>
      <c r="O260" t="s">
        <v>46</v>
      </c>
      <c r="P260" t="s">
        <v>47</v>
      </c>
      <c r="Q260" t="s">
        <v>48</v>
      </c>
      <c r="R260">
        <v>10430.17</v>
      </c>
      <c r="S260" s="25" t="e">
        <f>IF(Table1[[#This Row],[Sales]]=MIN(Table1[Sales]), Table1[[#This Row],[Sales]], NA())</f>
        <v>#N/A</v>
      </c>
      <c r="T260" s="25">
        <f>IF(AND(Table1[[#This Row],[Sales]]&lt;&gt;MIN(Table1[Sales]),Table1[[#This Row],[Sales]]&lt;&gt;MAX(Table1[Sales])), Table1[[#This Row],[Sales]], NA())</f>
        <v>10430.17</v>
      </c>
      <c r="U260" s="25" t="e">
        <f>IF(Table1[[#This Row],[Sales]]=MAX(Table1[Sales]), Table1[[#This Row],[Sales]], NA())</f>
        <v>#N/A</v>
      </c>
      <c r="V260">
        <v>9</v>
      </c>
      <c r="W260">
        <v>0.1</v>
      </c>
      <c r="X260">
        <v>573.66</v>
      </c>
      <c r="Y260" s="3">
        <f>YEAR(Table1[[#This Row],[Order Date]])</f>
        <v>2021</v>
      </c>
      <c r="Z260" s="3" t="str">
        <f>TEXT(Table1[[#This Row],[Order Date]],"MMM")</f>
        <v>Jul</v>
      </c>
      <c r="AA260" s="3">
        <f>DAY(Table1[[#This Row],[Order Date]])</f>
        <v>2</v>
      </c>
    </row>
    <row r="261" spans="1:27" x14ac:dyDescent="0.35">
      <c r="A261" s="1">
        <v>260</v>
      </c>
      <c r="B261" s="1" t="s">
        <v>1298</v>
      </c>
      <c r="C261" s="1" t="s">
        <v>1299</v>
      </c>
      <c r="D261" s="1" t="s">
        <v>1105</v>
      </c>
      <c r="E261" t="s">
        <v>38</v>
      </c>
      <c r="F261" t="s">
        <v>1300</v>
      </c>
      <c r="G261" t="s">
        <v>93</v>
      </c>
      <c r="H261" t="s">
        <v>94</v>
      </c>
      <c r="I261" s="1" t="s">
        <v>28</v>
      </c>
      <c r="J261" t="s">
        <v>53</v>
      </c>
      <c r="K261" t="s">
        <v>54</v>
      </c>
      <c r="L261" s="1">
        <v>977657</v>
      </c>
      <c r="M261" s="1" t="s">
        <v>55</v>
      </c>
      <c r="N261" t="s">
        <v>1301</v>
      </c>
      <c r="O261" t="s">
        <v>68</v>
      </c>
      <c r="P261" t="s">
        <v>69</v>
      </c>
      <c r="Q261" t="s">
        <v>70</v>
      </c>
      <c r="R261">
        <v>78241.600000000006</v>
      </c>
      <c r="S261" s="25" t="e">
        <f>IF(Table1[[#This Row],[Sales]]=MIN(Table1[Sales]), Table1[[#This Row],[Sales]], NA())</f>
        <v>#N/A</v>
      </c>
      <c r="T261" s="25">
        <f>IF(AND(Table1[[#This Row],[Sales]]&lt;&gt;MIN(Table1[Sales]),Table1[[#This Row],[Sales]]&lt;&gt;MAX(Table1[Sales])), Table1[[#This Row],[Sales]], NA())</f>
        <v>78241.600000000006</v>
      </c>
      <c r="U261" s="25" t="e">
        <f>IF(Table1[[#This Row],[Sales]]=MAX(Table1[Sales]), Table1[[#This Row],[Sales]], NA())</f>
        <v>#N/A</v>
      </c>
      <c r="V261">
        <v>4</v>
      </c>
      <c r="W261">
        <v>0.1</v>
      </c>
      <c r="X261">
        <v>4303.29</v>
      </c>
      <c r="Y261" s="3">
        <f>YEAR(Table1[[#This Row],[Order Date]])</f>
        <v>2022</v>
      </c>
      <c r="Z261" s="3" t="str">
        <f>TEXT(Table1[[#This Row],[Order Date]],"MMM")</f>
        <v>Feb</v>
      </c>
      <c r="AA261" s="3">
        <f>DAY(Table1[[#This Row],[Order Date]])</f>
        <v>1</v>
      </c>
    </row>
    <row r="262" spans="1:27" x14ac:dyDescent="0.35">
      <c r="A262" s="1">
        <v>261</v>
      </c>
      <c r="B262" s="1" t="s">
        <v>1302</v>
      </c>
      <c r="C262" s="1" t="s">
        <v>1303</v>
      </c>
      <c r="D262" s="1" t="s">
        <v>1304</v>
      </c>
      <c r="E262" t="s">
        <v>24</v>
      </c>
      <c r="F262" t="s">
        <v>1305</v>
      </c>
      <c r="G262" t="s">
        <v>122</v>
      </c>
      <c r="H262" t="s">
        <v>94</v>
      </c>
      <c r="I262" s="1" t="s">
        <v>28</v>
      </c>
      <c r="J262" t="s">
        <v>53</v>
      </c>
      <c r="K262" t="s">
        <v>54</v>
      </c>
      <c r="L262" s="1">
        <v>293017</v>
      </c>
      <c r="M262" s="1" t="s">
        <v>55</v>
      </c>
      <c r="N262" t="s">
        <v>1306</v>
      </c>
      <c r="O262" t="s">
        <v>32</v>
      </c>
      <c r="P262" t="s">
        <v>33</v>
      </c>
      <c r="Q262" t="s">
        <v>34</v>
      </c>
      <c r="R262">
        <v>67513.73</v>
      </c>
      <c r="S262" s="25" t="e">
        <f>IF(Table1[[#This Row],[Sales]]=MIN(Table1[Sales]), Table1[[#This Row],[Sales]], NA())</f>
        <v>#N/A</v>
      </c>
      <c r="T262" s="25">
        <f>IF(AND(Table1[[#This Row],[Sales]]&lt;&gt;MIN(Table1[Sales]),Table1[[#This Row],[Sales]]&lt;&gt;MAX(Table1[Sales])), Table1[[#This Row],[Sales]], NA())</f>
        <v>67513.73</v>
      </c>
      <c r="U262" s="25" t="e">
        <f>IF(Table1[[#This Row],[Sales]]=MAX(Table1[Sales]), Table1[[#This Row],[Sales]], NA())</f>
        <v>#N/A</v>
      </c>
      <c r="V262">
        <v>8</v>
      </c>
      <c r="W262">
        <v>0.3</v>
      </c>
      <c r="X262">
        <v>337.57</v>
      </c>
      <c r="Y262" s="3">
        <f>YEAR(Table1[[#This Row],[Order Date]])</f>
        <v>2025</v>
      </c>
      <c r="Z262" s="3" t="str">
        <f>TEXT(Table1[[#This Row],[Order Date]],"MMM")</f>
        <v>Mar</v>
      </c>
      <c r="AA262" s="3">
        <f>DAY(Table1[[#This Row],[Order Date]])</f>
        <v>2</v>
      </c>
    </row>
    <row r="263" spans="1:27" x14ac:dyDescent="0.35">
      <c r="A263" s="1">
        <v>262</v>
      </c>
      <c r="B263" s="1" t="s">
        <v>1307</v>
      </c>
      <c r="C263" s="1" t="s">
        <v>1308</v>
      </c>
      <c r="D263" s="1" t="s">
        <v>1309</v>
      </c>
      <c r="E263" t="s">
        <v>38</v>
      </c>
      <c r="F263" t="s">
        <v>1310</v>
      </c>
      <c r="G263" t="s">
        <v>75</v>
      </c>
      <c r="H263" t="s">
        <v>94</v>
      </c>
      <c r="I263" s="1" t="s">
        <v>28</v>
      </c>
      <c r="J263" t="s">
        <v>64</v>
      </c>
      <c r="K263" t="s">
        <v>65</v>
      </c>
      <c r="L263" s="1">
        <v>113229</v>
      </c>
      <c r="M263" s="1" t="s">
        <v>66</v>
      </c>
      <c r="N263" t="s">
        <v>1311</v>
      </c>
      <c r="O263" t="s">
        <v>46</v>
      </c>
      <c r="P263" t="s">
        <v>57</v>
      </c>
      <c r="Q263" t="s">
        <v>58</v>
      </c>
      <c r="R263">
        <v>21658.52</v>
      </c>
      <c r="S263" s="25" t="e">
        <f>IF(Table1[[#This Row],[Sales]]=MIN(Table1[Sales]), Table1[[#This Row],[Sales]], NA())</f>
        <v>#N/A</v>
      </c>
      <c r="T263" s="25">
        <f>IF(AND(Table1[[#This Row],[Sales]]&lt;&gt;MIN(Table1[Sales]),Table1[[#This Row],[Sales]]&lt;&gt;MAX(Table1[Sales])), Table1[[#This Row],[Sales]], NA())</f>
        <v>21658.52</v>
      </c>
      <c r="U263" s="25" t="e">
        <f>IF(Table1[[#This Row],[Sales]]=MAX(Table1[Sales]), Table1[[#This Row],[Sales]], NA())</f>
        <v>#N/A</v>
      </c>
      <c r="V263">
        <v>9</v>
      </c>
      <c r="W263">
        <v>0.3</v>
      </c>
      <c r="X263">
        <v>108.29</v>
      </c>
      <c r="Y263" s="3">
        <f>YEAR(Table1[[#This Row],[Order Date]])</f>
        <v>2022</v>
      </c>
      <c r="Z263" s="3" t="str">
        <f>TEXT(Table1[[#This Row],[Order Date]],"MMM")</f>
        <v>Nov</v>
      </c>
      <c r="AA263" s="3">
        <f>DAY(Table1[[#This Row],[Order Date]])</f>
        <v>27</v>
      </c>
    </row>
    <row r="264" spans="1:27" x14ac:dyDescent="0.35">
      <c r="A264" s="1">
        <v>263</v>
      </c>
      <c r="B264" s="1" t="s">
        <v>1312</v>
      </c>
      <c r="C264" s="1" t="s">
        <v>1313</v>
      </c>
      <c r="D264" s="1" t="s">
        <v>1314</v>
      </c>
      <c r="E264" t="s">
        <v>115</v>
      </c>
      <c r="F264" t="s">
        <v>1315</v>
      </c>
      <c r="G264" t="s">
        <v>110</v>
      </c>
      <c r="H264" t="s">
        <v>94</v>
      </c>
      <c r="I264" s="1" t="s">
        <v>28</v>
      </c>
      <c r="J264" t="s">
        <v>42</v>
      </c>
      <c r="K264" t="s">
        <v>43</v>
      </c>
      <c r="L264" s="1">
        <v>252956</v>
      </c>
      <c r="M264" s="1" t="s">
        <v>44</v>
      </c>
      <c r="N264" t="s">
        <v>1316</v>
      </c>
      <c r="O264" t="s">
        <v>32</v>
      </c>
      <c r="P264" t="s">
        <v>33</v>
      </c>
      <c r="Q264" t="s">
        <v>34</v>
      </c>
      <c r="R264">
        <v>38164.660000000003</v>
      </c>
      <c r="S264" s="25" t="e">
        <f>IF(Table1[[#This Row],[Sales]]=MIN(Table1[Sales]), Table1[[#This Row],[Sales]], NA())</f>
        <v>#N/A</v>
      </c>
      <c r="T264" s="25">
        <f>IF(AND(Table1[[#This Row],[Sales]]&lt;&gt;MIN(Table1[Sales]),Table1[[#This Row],[Sales]]&lt;&gt;MAX(Table1[Sales])), Table1[[#This Row],[Sales]], NA())</f>
        <v>38164.660000000003</v>
      </c>
      <c r="U264" s="25" t="e">
        <f>IF(Table1[[#This Row],[Sales]]=MAX(Table1[Sales]), Table1[[#This Row],[Sales]], NA())</f>
        <v>#N/A</v>
      </c>
      <c r="V264">
        <v>7</v>
      </c>
      <c r="W264">
        <v>0.2</v>
      </c>
      <c r="X264">
        <v>1144.94</v>
      </c>
      <c r="Y264" s="3">
        <f>YEAR(Table1[[#This Row],[Order Date]])</f>
        <v>2024</v>
      </c>
      <c r="Z264" s="3" t="str">
        <f>TEXT(Table1[[#This Row],[Order Date]],"MMM")</f>
        <v>Feb</v>
      </c>
      <c r="AA264" s="3">
        <f>DAY(Table1[[#This Row],[Order Date]])</f>
        <v>6</v>
      </c>
    </row>
    <row r="265" spans="1:27" x14ac:dyDescent="0.35">
      <c r="A265" s="1">
        <v>264</v>
      </c>
      <c r="B265" s="1" t="s">
        <v>1317</v>
      </c>
      <c r="C265" s="1" t="s">
        <v>1318</v>
      </c>
      <c r="D265" s="1" t="s">
        <v>1319</v>
      </c>
      <c r="E265" t="s">
        <v>38</v>
      </c>
      <c r="F265" t="s">
        <v>1320</v>
      </c>
      <c r="G265" t="s">
        <v>75</v>
      </c>
      <c r="H265" t="s">
        <v>41</v>
      </c>
      <c r="I265" s="1" t="s">
        <v>28</v>
      </c>
      <c r="J265" t="s">
        <v>42</v>
      </c>
      <c r="K265" t="s">
        <v>43</v>
      </c>
      <c r="L265" s="1">
        <v>487401</v>
      </c>
      <c r="M265" s="1" t="s">
        <v>44</v>
      </c>
      <c r="N265" t="s">
        <v>1321</v>
      </c>
      <c r="O265" t="s">
        <v>32</v>
      </c>
      <c r="P265" t="s">
        <v>33</v>
      </c>
      <c r="Q265" t="s">
        <v>34</v>
      </c>
      <c r="R265">
        <v>7231.77</v>
      </c>
      <c r="S265" s="25" t="e">
        <f>IF(Table1[[#This Row],[Sales]]=MIN(Table1[Sales]), Table1[[#This Row],[Sales]], NA())</f>
        <v>#N/A</v>
      </c>
      <c r="T265" s="25">
        <f>IF(AND(Table1[[#This Row],[Sales]]&lt;&gt;MIN(Table1[Sales]),Table1[[#This Row],[Sales]]&lt;&gt;MAX(Table1[Sales])), Table1[[#This Row],[Sales]], NA())</f>
        <v>7231.77</v>
      </c>
      <c r="U265" s="25" t="e">
        <f>IF(Table1[[#This Row],[Sales]]=MAX(Table1[Sales]), Table1[[#This Row],[Sales]], NA())</f>
        <v>#N/A</v>
      </c>
      <c r="V265">
        <v>9</v>
      </c>
      <c r="W265">
        <v>0.3</v>
      </c>
      <c r="X265">
        <v>36.159999999999997</v>
      </c>
      <c r="Y265" s="3">
        <f>YEAR(Table1[[#This Row],[Order Date]])</f>
        <v>2021</v>
      </c>
      <c r="Z265" s="3" t="str">
        <f>TEXT(Table1[[#This Row],[Order Date]],"MMM")</f>
        <v>Sep</v>
      </c>
      <c r="AA265" s="3">
        <f>DAY(Table1[[#This Row],[Order Date]])</f>
        <v>10</v>
      </c>
    </row>
    <row r="266" spans="1:27" x14ac:dyDescent="0.35">
      <c r="A266" s="1">
        <v>265</v>
      </c>
      <c r="B266" s="1" t="s">
        <v>1322</v>
      </c>
      <c r="C266" s="1" t="s">
        <v>97</v>
      </c>
      <c r="D266" s="1" t="s">
        <v>1323</v>
      </c>
      <c r="E266" t="s">
        <v>62</v>
      </c>
      <c r="F266" t="s">
        <v>1324</v>
      </c>
      <c r="G266" t="s">
        <v>40</v>
      </c>
      <c r="H266" t="s">
        <v>94</v>
      </c>
      <c r="I266" s="1" t="s">
        <v>28</v>
      </c>
      <c r="J266" t="s">
        <v>42</v>
      </c>
      <c r="K266" t="s">
        <v>43</v>
      </c>
      <c r="L266" s="1">
        <v>390075</v>
      </c>
      <c r="M266" s="1" t="s">
        <v>44</v>
      </c>
      <c r="N266" t="s">
        <v>1325</v>
      </c>
      <c r="O266" t="s">
        <v>32</v>
      </c>
      <c r="P266" t="s">
        <v>33</v>
      </c>
      <c r="Q266" t="s">
        <v>34</v>
      </c>
      <c r="R266">
        <v>67099.839999999997</v>
      </c>
      <c r="S266" s="25" t="e">
        <f>IF(Table1[[#This Row],[Sales]]=MIN(Table1[Sales]), Table1[[#This Row],[Sales]], NA())</f>
        <v>#N/A</v>
      </c>
      <c r="T266" s="25">
        <f>IF(AND(Table1[[#This Row],[Sales]]&lt;&gt;MIN(Table1[Sales]),Table1[[#This Row],[Sales]]&lt;&gt;MAX(Table1[Sales])), Table1[[#This Row],[Sales]], NA())</f>
        <v>67099.839999999997</v>
      </c>
      <c r="U266" s="25" t="e">
        <f>IF(Table1[[#This Row],[Sales]]=MAX(Table1[Sales]), Table1[[#This Row],[Sales]], NA())</f>
        <v>#N/A</v>
      </c>
      <c r="V266">
        <v>2</v>
      </c>
      <c r="W266">
        <v>0.1</v>
      </c>
      <c r="X266">
        <v>3690.49</v>
      </c>
      <c r="Y266" s="3">
        <f>YEAR(Table1[[#This Row],[Order Date]])</f>
        <v>2024</v>
      </c>
      <c r="Z266" s="3" t="str">
        <f>TEXT(Table1[[#This Row],[Order Date]],"MMM")</f>
        <v>Mar</v>
      </c>
      <c r="AA266" s="3">
        <f>DAY(Table1[[#This Row],[Order Date]])</f>
        <v>7</v>
      </c>
    </row>
    <row r="267" spans="1:27" x14ac:dyDescent="0.35">
      <c r="A267" s="1">
        <v>266</v>
      </c>
      <c r="B267" s="1" t="s">
        <v>1326</v>
      </c>
      <c r="C267" s="1" t="s">
        <v>537</v>
      </c>
      <c r="D267" s="1" t="s">
        <v>573</v>
      </c>
      <c r="E267" t="s">
        <v>24</v>
      </c>
      <c r="F267" t="s">
        <v>1327</v>
      </c>
      <c r="G267" t="s">
        <v>122</v>
      </c>
      <c r="H267" t="s">
        <v>94</v>
      </c>
      <c r="I267" s="1" t="s">
        <v>28</v>
      </c>
      <c r="J267" t="s">
        <v>64</v>
      </c>
      <c r="K267" t="s">
        <v>65</v>
      </c>
      <c r="L267" s="1">
        <v>616989</v>
      </c>
      <c r="M267" s="1" t="s">
        <v>66</v>
      </c>
      <c r="N267" t="s">
        <v>1328</v>
      </c>
      <c r="O267" t="s">
        <v>46</v>
      </c>
      <c r="P267" t="s">
        <v>47</v>
      </c>
      <c r="Q267" t="s">
        <v>48</v>
      </c>
      <c r="R267">
        <v>16979.900000000001</v>
      </c>
      <c r="S267" s="25" t="e">
        <f>IF(Table1[[#This Row],[Sales]]=MIN(Table1[Sales]), Table1[[#This Row],[Sales]], NA())</f>
        <v>#N/A</v>
      </c>
      <c r="T267" s="25">
        <f>IF(AND(Table1[[#This Row],[Sales]]&lt;&gt;MIN(Table1[Sales]),Table1[[#This Row],[Sales]]&lt;&gt;MAX(Table1[Sales])), Table1[[#This Row],[Sales]], NA())</f>
        <v>16979.900000000001</v>
      </c>
      <c r="U267" s="25" t="e">
        <f>IF(Table1[[#This Row],[Sales]]=MAX(Table1[Sales]), Table1[[#This Row],[Sales]], NA())</f>
        <v>#N/A</v>
      </c>
      <c r="V267">
        <v>7</v>
      </c>
      <c r="W267">
        <v>0.3</v>
      </c>
      <c r="X267">
        <v>84.9</v>
      </c>
      <c r="Y267" s="3">
        <f>YEAR(Table1[[#This Row],[Order Date]])</f>
        <v>2022</v>
      </c>
      <c r="Z267" s="3" t="str">
        <f>TEXT(Table1[[#This Row],[Order Date]],"MMM")</f>
        <v>Dec</v>
      </c>
      <c r="AA267" s="3">
        <f>DAY(Table1[[#This Row],[Order Date]])</f>
        <v>31</v>
      </c>
    </row>
    <row r="268" spans="1:27" x14ac:dyDescent="0.35">
      <c r="A268" s="1">
        <v>267</v>
      </c>
      <c r="B268" s="1" t="s">
        <v>1329</v>
      </c>
      <c r="C268" s="1" t="s">
        <v>1330</v>
      </c>
      <c r="D268" s="1" t="s">
        <v>1331</v>
      </c>
      <c r="E268" t="s">
        <v>115</v>
      </c>
      <c r="F268" t="s">
        <v>1332</v>
      </c>
      <c r="G268" t="s">
        <v>81</v>
      </c>
      <c r="H268" t="s">
        <v>94</v>
      </c>
      <c r="I268" s="1" t="s">
        <v>28</v>
      </c>
      <c r="J268" t="s">
        <v>42</v>
      </c>
      <c r="K268" t="s">
        <v>43</v>
      </c>
      <c r="L268" s="1">
        <v>452578</v>
      </c>
      <c r="M268" s="1" t="s">
        <v>44</v>
      </c>
      <c r="N268" t="s">
        <v>1333</v>
      </c>
      <c r="O268" t="s">
        <v>46</v>
      </c>
      <c r="P268" t="s">
        <v>47</v>
      </c>
      <c r="Q268" t="s">
        <v>48</v>
      </c>
      <c r="R268">
        <v>92809.64</v>
      </c>
      <c r="S268" s="25" t="e">
        <f>IF(Table1[[#This Row],[Sales]]=MIN(Table1[Sales]), Table1[[#This Row],[Sales]], NA())</f>
        <v>#N/A</v>
      </c>
      <c r="T268" s="25">
        <f>IF(AND(Table1[[#This Row],[Sales]]&lt;&gt;MIN(Table1[Sales]),Table1[[#This Row],[Sales]]&lt;&gt;MAX(Table1[Sales])), Table1[[#This Row],[Sales]], NA())</f>
        <v>92809.64</v>
      </c>
      <c r="U268" s="25" t="e">
        <f>IF(Table1[[#This Row],[Sales]]=MAX(Table1[Sales]), Table1[[#This Row],[Sales]], NA())</f>
        <v>#N/A</v>
      </c>
      <c r="V268">
        <v>6</v>
      </c>
      <c r="W268">
        <v>0.2</v>
      </c>
      <c r="X268">
        <v>2784.29</v>
      </c>
      <c r="Y268" s="3">
        <f>YEAR(Table1[[#This Row],[Order Date]])</f>
        <v>2025</v>
      </c>
      <c r="Z268" s="3" t="str">
        <f>TEXT(Table1[[#This Row],[Order Date]],"MMM")</f>
        <v>Jan</v>
      </c>
      <c r="AA268" s="3">
        <f>DAY(Table1[[#This Row],[Order Date]])</f>
        <v>11</v>
      </c>
    </row>
    <row r="269" spans="1:27" x14ac:dyDescent="0.35">
      <c r="A269" s="1">
        <v>268</v>
      </c>
      <c r="B269" s="1" t="s">
        <v>1334</v>
      </c>
      <c r="C269" s="1" t="s">
        <v>1335</v>
      </c>
      <c r="D269" s="1" t="s">
        <v>1336</v>
      </c>
      <c r="E269" t="s">
        <v>62</v>
      </c>
      <c r="F269" t="s">
        <v>1337</v>
      </c>
      <c r="G269" t="s">
        <v>110</v>
      </c>
      <c r="H269" t="s">
        <v>41</v>
      </c>
      <c r="I269" s="1" t="s">
        <v>28</v>
      </c>
      <c r="J269" t="s">
        <v>64</v>
      </c>
      <c r="K269" t="s">
        <v>65</v>
      </c>
      <c r="L269" s="1">
        <v>756840</v>
      </c>
      <c r="M269" s="1" t="s">
        <v>66</v>
      </c>
      <c r="N269" t="s">
        <v>1338</v>
      </c>
      <c r="O269" t="s">
        <v>46</v>
      </c>
      <c r="P269" t="s">
        <v>57</v>
      </c>
      <c r="Q269" t="s">
        <v>58</v>
      </c>
      <c r="R269">
        <v>82922.990000000005</v>
      </c>
      <c r="S269" s="25" t="e">
        <f>IF(Table1[[#This Row],[Sales]]=MIN(Table1[Sales]), Table1[[#This Row],[Sales]], NA())</f>
        <v>#N/A</v>
      </c>
      <c r="T269" s="25">
        <f>IF(AND(Table1[[#This Row],[Sales]]&lt;&gt;MIN(Table1[Sales]),Table1[[#This Row],[Sales]]&lt;&gt;MAX(Table1[Sales])), Table1[[#This Row],[Sales]], NA())</f>
        <v>82922.990000000005</v>
      </c>
      <c r="U269" s="25" t="e">
        <f>IF(Table1[[#This Row],[Sales]]=MAX(Table1[Sales]), Table1[[#This Row],[Sales]], NA())</f>
        <v>#N/A</v>
      </c>
      <c r="V269">
        <v>2</v>
      </c>
      <c r="W269">
        <v>0.3</v>
      </c>
      <c r="X269">
        <v>414.61</v>
      </c>
      <c r="Y269" s="3">
        <f>YEAR(Table1[[#This Row],[Order Date]])</f>
        <v>2021</v>
      </c>
      <c r="Z269" s="3" t="str">
        <f>TEXT(Table1[[#This Row],[Order Date]],"MMM")</f>
        <v>Apr</v>
      </c>
      <c r="AA269" s="3">
        <f>DAY(Table1[[#This Row],[Order Date]])</f>
        <v>7</v>
      </c>
    </row>
    <row r="270" spans="1:27" x14ac:dyDescent="0.35">
      <c r="A270" s="1">
        <v>269</v>
      </c>
      <c r="B270" s="1" t="s">
        <v>1339</v>
      </c>
      <c r="C270" s="1" t="s">
        <v>1340</v>
      </c>
      <c r="D270" s="1" t="s">
        <v>1341</v>
      </c>
      <c r="E270" t="s">
        <v>62</v>
      </c>
      <c r="F270" t="s">
        <v>1342</v>
      </c>
      <c r="G270" t="s">
        <v>122</v>
      </c>
      <c r="H270" t="s">
        <v>94</v>
      </c>
      <c r="I270" s="1" t="s">
        <v>28</v>
      </c>
      <c r="J270" t="s">
        <v>53</v>
      </c>
      <c r="K270" t="s">
        <v>54</v>
      </c>
      <c r="L270" s="1">
        <v>972687</v>
      </c>
      <c r="M270" s="1" t="s">
        <v>55</v>
      </c>
      <c r="N270" t="s">
        <v>1343</v>
      </c>
      <c r="O270" t="s">
        <v>46</v>
      </c>
      <c r="P270" t="s">
        <v>47</v>
      </c>
      <c r="Q270" t="s">
        <v>48</v>
      </c>
      <c r="R270">
        <v>70432.52</v>
      </c>
      <c r="S270" s="25" t="e">
        <f>IF(Table1[[#This Row],[Sales]]=MIN(Table1[Sales]), Table1[[#This Row],[Sales]], NA())</f>
        <v>#N/A</v>
      </c>
      <c r="T270" s="25">
        <f>IF(AND(Table1[[#This Row],[Sales]]&lt;&gt;MIN(Table1[Sales]),Table1[[#This Row],[Sales]]&lt;&gt;MAX(Table1[Sales])), Table1[[#This Row],[Sales]], NA())</f>
        <v>70432.52</v>
      </c>
      <c r="U270" s="25" t="e">
        <f>IF(Table1[[#This Row],[Sales]]=MAX(Table1[Sales]), Table1[[#This Row],[Sales]], NA())</f>
        <v>#N/A</v>
      </c>
      <c r="V270">
        <v>6</v>
      </c>
      <c r="W270">
        <v>0.1</v>
      </c>
      <c r="X270">
        <v>3873.79</v>
      </c>
      <c r="Y270" s="3">
        <f>YEAR(Table1[[#This Row],[Order Date]])</f>
        <v>2021</v>
      </c>
      <c r="Z270" s="3" t="str">
        <f>TEXT(Table1[[#This Row],[Order Date]],"MMM")</f>
        <v>Apr</v>
      </c>
      <c r="AA270" s="3">
        <f>DAY(Table1[[#This Row],[Order Date]])</f>
        <v>11</v>
      </c>
    </row>
    <row r="271" spans="1:27" x14ac:dyDescent="0.35">
      <c r="A271" s="1">
        <v>270</v>
      </c>
      <c r="B271" s="1" t="s">
        <v>1344</v>
      </c>
      <c r="C271" s="1" t="s">
        <v>1345</v>
      </c>
      <c r="D271" s="1" t="s">
        <v>1346</v>
      </c>
      <c r="E271" t="s">
        <v>62</v>
      </c>
      <c r="F271" t="s">
        <v>1347</v>
      </c>
      <c r="G271" t="s">
        <v>81</v>
      </c>
      <c r="H271" t="s">
        <v>94</v>
      </c>
      <c r="I271" s="1" t="s">
        <v>28</v>
      </c>
      <c r="J271" t="s">
        <v>128</v>
      </c>
      <c r="K271" t="s">
        <v>129</v>
      </c>
      <c r="L271" s="1">
        <v>156825</v>
      </c>
      <c r="M271" s="1" t="s">
        <v>66</v>
      </c>
      <c r="N271" t="s">
        <v>1348</v>
      </c>
      <c r="O271" t="s">
        <v>46</v>
      </c>
      <c r="P271" t="s">
        <v>47</v>
      </c>
      <c r="Q271" t="s">
        <v>48</v>
      </c>
      <c r="R271">
        <v>77499.570000000007</v>
      </c>
      <c r="S271" s="25" t="e">
        <f>IF(Table1[[#This Row],[Sales]]=MIN(Table1[Sales]), Table1[[#This Row],[Sales]], NA())</f>
        <v>#N/A</v>
      </c>
      <c r="T271" s="25">
        <f>IF(AND(Table1[[#This Row],[Sales]]&lt;&gt;MIN(Table1[Sales]),Table1[[#This Row],[Sales]]&lt;&gt;MAX(Table1[Sales])), Table1[[#This Row],[Sales]], NA())</f>
        <v>77499.570000000007</v>
      </c>
      <c r="U271" s="25" t="e">
        <f>IF(Table1[[#This Row],[Sales]]=MAX(Table1[Sales]), Table1[[#This Row],[Sales]], NA())</f>
        <v>#N/A</v>
      </c>
      <c r="V271">
        <v>5</v>
      </c>
      <c r="W271">
        <v>0.2</v>
      </c>
      <c r="X271">
        <v>2324.9899999999998</v>
      </c>
      <c r="Y271" s="3">
        <f>YEAR(Table1[[#This Row],[Order Date]])</f>
        <v>2021</v>
      </c>
      <c r="Z271" s="3" t="str">
        <f>TEXT(Table1[[#This Row],[Order Date]],"MMM")</f>
        <v>Jul</v>
      </c>
      <c r="AA271" s="3">
        <f>DAY(Table1[[#This Row],[Order Date]])</f>
        <v>12</v>
      </c>
    </row>
    <row r="272" spans="1:27" x14ac:dyDescent="0.35">
      <c r="A272" s="1">
        <v>271</v>
      </c>
      <c r="B272" s="1" t="s">
        <v>1349</v>
      </c>
      <c r="C272" s="1" t="s">
        <v>1077</v>
      </c>
      <c r="D272" s="1" t="s">
        <v>301</v>
      </c>
      <c r="E272" t="s">
        <v>38</v>
      </c>
      <c r="F272" t="s">
        <v>1350</v>
      </c>
      <c r="G272" t="s">
        <v>81</v>
      </c>
      <c r="H272" t="s">
        <v>27</v>
      </c>
      <c r="I272" s="1" t="s">
        <v>28</v>
      </c>
      <c r="J272" t="s">
        <v>42</v>
      </c>
      <c r="K272" t="s">
        <v>43</v>
      </c>
      <c r="L272" s="1">
        <v>292866</v>
      </c>
      <c r="M272" s="1" t="s">
        <v>44</v>
      </c>
      <c r="N272" t="s">
        <v>1351</v>
      </c>
      <c r="O272" t="s">
        <v>46</v>
      </c>
      <c r="P272" t="s">
        <v>47</v>
      </c>
      <c r="Q272" t="s">
        <v>48</v>
      </c>
      <c r="R272">
        <v>67979.58</v>
      </c>
      <c r="S272" s="25" t="e">
        <f>IF(Table1[[#This Row],[Sales]]=MIN(Table1[Sales]), Table1[[#This Row],[Sales]], NA())</f>
        <v>#N/A</v>
      </c>
      <c r="T272" s="25">
        <f>IF(AND(Table1[[#This Row],[Sales]]&lt;&gt;MIN(Table1[Sales]),Table1[[#This Row],[Sales]]&lt;&gt;MAX(Table1[Sales])), Table1[[#This Row],[Sales]], NA())</f>
        <v>67979.58</v>
      </c>
      <c r="U272" s="25" t="e">
        <f>IF(Table1[[#This Row],[Sales]]=MAX(Table1[Sales]), Table1[[#This Row],[Sales]], NA())</f>
        <v>#N/A</v>
      </c>
      <c r="V272">
        <v>8</v>
      </c>
      <c r="W272">
        <v>0.3</v>
      </c>
      <c r="X272">
        <v>339.9</v>
      </c>
      <c r="Y272" s="3">
        <f>YEAR(Table1[[#This Row],[Order Date]])</f>
        <v>2023</v>
      </c>
      <c r="Z272" s="3" t="str">
        <f>TEXT(Table1[[#This Row],[Order Date]],"MMM")</f>
        <v>Mar</v>
      </c>
      <c r="AA272" s="3">
        <f>DAY(Table1[[#This Row],[Order Date]])</f>
        <v>27</v>
      </c>
    </row>
    <row r="273" spans="1:27" x14ac:dyDescent="0.35">
      <c r="A273" s="1">
        <v>272</v>
      </c>
      <c r="B273" s="1" t="s">
        <v>1352</v>
      </c>
      <c r="C273" s="1" t="s">
        <v>1353</v>
      </c>
      <c r="D273" s="1" t="s">
        <v>1354</v>
      </c>
      <c r="E273" t="s">
        <v>24</v>
      </c>
      <c r="F273" t="s">
        <v>1355</v>
      </c>
      <c r="G273" t="s">
        <v>110</v>
      </c>
      <c r="H273" t="s">
        <v>41</v>
      </c>
      <c r="I273" s="1" t="s">
        <v>28</v>
      </c>
      <c r="J273" t="s">
        <v>53</v>
      </c>
      <c r="K273" t="s">
        <v>54</v>
      </c>
      <c r="L273" s="1">
        <v>967503</v>
      </c>
      <c r="M273" s="1" t="s">
        <v>55</v>
      </c>
      <c r="N273" t="s">
        <v>1356</v>
      </c>
      <c r="O273" t="s">
        <v>46</v>
      </c>
      <c r="P273" t="s">
        <v>47</v>
      </c>
      <c r="Q273" t="s">
        <v>48</v>
      </c>
      <c r="R273">
        <v>18685.14</v>
      </c>
      <c r="S273" s="25" t="e">
        <f>IF(Table1[[#This Row],[Sales]]=MIN(Table1[Sales]), Table1[[#This Row],[Sales]], NA())</f>
        <v>#N/A</v>
      </c>
      <c r="T273" s="25">
        <f>IF(AND(Table1[[#This Row],[Sales]]&lt;&gt;MIN(Table1[Sales]),Table1[[#This Row],[Sales]]&lt;&gt;MAX(Table1[Sales])), Table1[[#This Row],[Sales]], NA())</f>
        <v>18685.14</v>
      </c>
      <c r="U273" s="25" t="e">
        <f>IF(Table1[[#This Row],[Sales]]=MAX(Table1[Sales]), Table1[[#This Row],[Sales]], NA())</f>
        <v>#N/A</v>
      </c>
      <c r="V273">
        <v>6</v>
      </c>
      <c r="W273">
        <v>0</v>
      </c>
      <c r="X273">
        <v>1494.81</v>
      </c>
      <c r="Y273" s="3">
        <f>YEAR(Table1[[#This Row],[Order Date]])</f>
        <v>2025</v>
      </c>
      <c r="Z273" s="3" t="str">
        <f>TEXT(Table1[[#This Row],[Order Date]],"MMM")</f>
        <v>Feb</v>
      </c>
      <c r="AA273" s="3">
        <f>DAY(Table1[[#This Row],[Order Date]])</f>
        <v>12</v>
      </c>
    </row>
    <row r="274" spans="1:27" x14ac:dyDescent="0.35">
      <c r="A274" s="1">
        <v>273</v>
      </c>
      <c r="B274" s="1" t="s">
        <v>1357</v>
      </c>
      <c r="C274" s="1" t="s">
        <v>667</v>
      </c>
      <c r="D274" s="1" t="s">
        <v>668</v>
      </c>
      <c r="E274" t="s">
        <v>38</v>
      </c>
      <c r="F274" t="s">
        <v>1358</v>
      </c>
      <c r="G274" t="s">
        <v>87</v>
      </c>
      <c r="H274" t="s">
        <v>94</v>
      </c>
      <c r="I274" s="1" t="s">
        <v>28</v>
      </c>
      <c r="J274" t="s">
        <v>29</v>
      </c>
      <c r="K274" t="s">
        <v>29</v>
      </c>
      <c r="L274" s="1">
        <v>877506</v>
      </c>
      <c r="M274" s="1" t="s">
        <v>30</v>
      </c>
      <c r="N274" t="s">
        <v>1359</v>
      </c>
      <c r="O274" t="s">
        <v>46</v>
      </c>
      <c r="P274" t="s">
        <v>47</v>
      </c>
      <c r="Q274" t="s">
        <v>48</v>
      </c>
      <c r="R274">
        <v>40833.29</v>
      </c>
      <c r="S274" s="25" t="e">
        <f>IF(Table1[[#This Row],[Sales]]=MIN(Table1[Sales]), Table1[[#This Row],[Sales]], NA())</f>
        <v>#N/A</v>
      </c>
      <c r="T274" s="25">
        <f>IF(AND(Table1[[#This Row],[Sales]]&lt;&gt;MIN(Table1[Sales]),Table1[[#This Row],[Sales]]&lt;&gt;MAX(Table1[Sales])), Table1[[#This Row],[Sales]], NA())</f>
        <v>40833.29</v>
      </c>
      <c r="U274" s="25" t="e">
        <f>IF(Table1[[#This Row],[Sales]]=MAX(Table1[Sales]), Table1[[#This Row],[Sales]], NA())</f>
        <v>#N/A</v>
      </c>
      <c r="V274">
        <v>1</v>
      </c>
      <c r="W274">
        <v>0</v>
      </c>
      <c r="X274">
        <v>3266.66</v>
      </c>
      <c r="Y274" s="3">
        <f>YEAR(Table1[[#This Row],[Order Date]])</f>
        <v>2025</v>
      </c>
      <c r="Z274" s="3" t="str">
        <f>TEXT(Table1[[#This Row],[Order Date]],"MMM")</f>
        <v>Feb</v>
      </c>
      <c r="AA274" s="3">
        <f>DAY(Table1[[#This Row],[Order Date]])</f>
        <v>14</v>
      </c>
    </row>
    <row r="275" spans="1:27" x14ac:dyDescent="0.35">
      <c r="A275" s="1">
        <v>274</v>
      </c>
      <c r="B275" s="1" t="s">
        <v>1360</v>
      </c>
      <c r="C275" s="1" t="s">
        <v>1361</v>
      </c>
      <c r="D275" s="1" t="s">
        <v>1362</v>
      </c>
      <c r="E275" t="s">
        <v>38</v>
      </c>
      <c r="F275" t="s">
        <v>1363</v>
      </c>
      <c r="G275" t="s">
        <v>87</v>
      </c>
      <c r="H275" t="s">
        <v>94</v>
      </c>
      <c r="I275" s="1" t="s">
        <v>28</v>
      </c>
      <c r="J275" t="s">
        <v>53</v>
      </c>
      <c r="K275" t="s">
        <v>54</v>
      </c>
      <c r="L275" s="1">
        <v>936988</v>
      </c>
      <c r="M275" s="1" t="s">
        <v>55</v>
      </c>
      <c r="N275" t="s">
        <v>1364</v>
      </c>
      <c r="O275" t="s">
        <v>68</v>
      </c>
      <c r="P275" t="s">
        <v>69</v>
      </c>
      <c r="Q275" t="s">
        <v>70</v>
      </c>
      <c r="R275">
        <v>23830.55</v>
      </c>
      <c r="S275" s="25" t="e">
        <f>IF(Table1[[#This Row],[Sales]]=MIN(Table1[Sales]), Table1[[#This Row],[Sales]], NA())</f>
        <v>#N/A</v>
      </c>
      <c r="T275" s="25">
        <f>IF(AND(Table1[[#This Row],[Sales]]&lt;&gt;MIN(Table1[Sales]),Table1[[#This Row],[Sales]]&lt;&gt;MAX(Table1[Sales])), Table1[[#This Row],[Sales]], NA())</f>
        <v>23830.55</v>
      </c>
      <c r="U275" s="25" t="e">
        <f>IF(Table1[[#This Row],[Sales]]=MAX(Table1[Sales]), Table1[[#This Row],[Sales]], NA())</f>
        <v>#N/A</v>
      </c>
      <c r="V275">
        <v>7</v>
      </c>
      <c r="W275">
        <v>0.2</v>
      </c>
      <c r="X275">
        <v>714.92</v>
      </c>
      <c r="Y275" s="3">
        <f>YEAR(Table1[[#This Row],[Order Date]])</f>
        <v>2024</v>
      </c>
      <c r="Z275" s="3" t="str">
        <f>TEXT(Table1[[#This Row],[Order Date]],"MMM")</f>
        <v>Aug</v>
      </c>
      <c r="AA275" s="3">
        <f>DAY(Table1[[#This Row],[Order Date]])</f>
        <v>16</v>
      </c>
    </row>
    <row r="276" spans="1:27" x14ac:dyDescent="0.35">
      <c r="A276" s="1">
        <v>275</v>
      </c>
      <c r="B276" s="1" t="s">
        <v>1365</v>
      </c>
      <c r="C276" s="1" t="s">
        <v>221</v>
      </c>
      <c r="D276" s="1" t="s">
        <v>1366</v>
      </c>
      <c r="E276" t="s">
        <v>38</v>
      </c>
      <c r="F276" t="s">
        <v>1367</v>
      </c>
      <c r="G276" t="s">
        <v>140</v>
      </c>
      <c r="H276" t="s">
        <v>27</v>
      </c>
      <c r="I276" s="1" t="s">
        <v>28</v>
      </c>
      <c r="J276" t="s">
        <v>42</v>
      </c>
      <c r="K276" t="s">
        <v>43</v>
      </c>
      <c r="L276" s="1">
        <v>995210</v>
      </c>
      <c r="M276" s="1" t="s">
        <v>44</v>
      </c>
      <c r="N276" t="s">
        <v>1368</v>
      </c>
      <c r="O276" t="s">
        <v>32</v>
      </c>
      <c r="P276" t="s">
        <v>33</v>
      </c>
      <c r="Q276" t="s">
        <v>34</v>
      </c>
      <c r="R276">
        <v>60216.94</v>
      </c>
      <c r="S276" s="25" t="e">
        <f>IF(Table1[[#This Row],[Sales]]=MIN(Table1[Sales]), Table1[[#This Row],[Sales]], NA())</f>
        <v>#N/A</v>
      </c>
      <c r="T276" s="25">
        <f>IF(AND(Table1[[#This Row],[Sales]]&lt;&gt;MIN(Table1[Sales]),Table1[[#This Row],[Sales]]&lt;&gt;MAX(Table1[Sales])), Table1[[#This Row],[Sales]], NA())</f>
        <v>60216.94</v>
      </c>
      <c r="U276" s="25" t="e">
        <f>IF(Table1[[#This Row],[Sales]]=MAX(Table1[Sales]), Table1[[#This Row],[Sales]], NA())</f>
        <v>#N/A</v>
      </c>
      <c r="V276">
        <v>1</v>
      </c>
      <c r="W276">
        <v>0.1</v>
      </c>
      <c r="X276">
        <v>3311.93</v>
      </c>
      <c r="Y276" s="3">
        <f>YEAR(Table1[[#This Row],[Order Date]])</f>
        <v>2022</v>
      </c>
      <c r="Z276" s="3" t="str">
        <f>TEXT(Table1[[#This Row],[Order Date]],"MMM")</f>
        <v>May</v>
      </c>
      <c r="AA276" s="3">
        <f>DAY(Table1[[#This Row],[Order Date]])</f>
        <v>6</v>
      </c>
    </row>
    <row r="277" spans="1:27" x14ac:dyDescent="0.35">
      <c r="A277" s="1">
        <v>276</v>
      </c>
      <c r="B277" s="1" t="s">
        <v>1369</v>
      </c>
      <c r="C277" s="1" t="s">
        <v>1370</v>
      </c>
      <c r="D277" s="1" t="s">
        <v>1371</v>
      </c>
      <c r="E277" t="s">
        <v>24</v>
      </c>
      <c r="F277" t="s">
        <v>1372</v>
      </c>
      <c r="G277" t="s">
        <v>110</v>
      </c>
      <c r="H277" t="s">
        <v>94</v>
      </c>
      <c r="I277" s="1" t="s">
        <v>28</v>
      </c>
      <c r="J277" t="s">
        <v>128</v>
      </c>
      <c r="K277" t="s">
        <v>129</v>
      </c>
      <c r="L277" s="1">
        <v>988530</v>
      </c>
      <c r="M277" s="1" t="s">
        <v>66</v>
      </c>
      <c r="N277" t="s">
        <v>1373</v>
      </c>
      <c r="O277" t="s">
        <v>32</v>
      </c>
      <c r="P277" t="s">
        <v>33</v>
      </c>
      <c r="Q277" t="s">
        <v>34</v>
      </c>
      <c r="R277">
        <v>30556.45</v>
      </c>
      <c r="S277" s="25" t="e">
        <f>IF(Table1[[#This Row],[Sales]]=MIN(Table1[Sales]), Table1[[#This Row],[Sales]], NA())</f>
        <v>#N/A</v>
      </c>
      <c r="T277" s="25">
        <f>IF(AND(Table1[[#This Row],[Sales]]&lt;&gt;MIN(Table1[Sales]),Table1[[#This Row],[Sales]]&lt;&gt;MAX(Table1[Sales])), Table1[[#This Row],[Sales]], NA())</f>
        <v>30556.45</v>
      </c>
      <c r="U277" s="25" t="e">
        <f>IF(Table1[[#This Row],[Sales]]=MAX(Table1[Sales]), Table1[[#This Row],[Sales]], NA())</f>
        <v>#N/A</v>
      </c>
      <c r="V277">
        <v>3</v>
      </c>
      <c r="W277">
        <v>0.1</v>
      </c>
      <c r="X277">
        <v>1680.6</v>
      </c>
      <c r="Y277" s="3">
        <f>YEAR(Table1[[#This Row],[Order Date]])</f>
        <v>2024</v>
      </c>
      <c r="Z277" s="3" t="str">
        <f>TEXT(Table1[[#This Row],[Order Date]],"MMM")</f>
        <v>Jun</v>
      </c>
      <c r="AA277" s="3">
        <f>DAY(Table1[[#This Row],[Order Date]])</f>
        <v>6</v>
      </c>
    </row>
    <row r="278" spans="1:27" x14ac:dyDescent="0.35">
      <c r="A278" s="1">
        <v>277</v>
      </c>
      <c r="B278" s="1" t="s">
        <v>1374</v>
      </c>
      <c r="C278" s="1" t="s">
        <v>1375</v>
      </c>
      <c r="D278" s="1" t="s">
        <v>1376</v>
      </c>
      <c r="E278" t="s">
        <v>24</v>
      </c>
      <c r="F278" t="s">
        <v>1377</v>
      </c>
      <c r="G278" t="s">
        <v>81</v>
      </c>
      <c r="H278" t="s">
        <v>94</v>
      </c>
      <c r="I278" s="1" t="s">
        <v>28</v>
      </c>
      <c r="J278" t="s">
        <v>53</v>
      </c>
      <c r="K278" t="s">
        <v>54</v>
      </c>
      <c r="L278" s="1">
        <v>381279</v>
      </c>
      <c r="M278" s="1" t="s">
        <v>55</v>
      </c>
      <c r="N278" t="s">
        <v>1378</v>
      </c>
      <c r="O278" t="s">
        <v>68</v>
      </c>
      <c r="P278" t="s">
        <v>69</v>
      </c>
      <c r="Q278" t="s">
        <v>70</v>
      </c>
      <c r="R278">
        <v>49795.13</v>
      </c>
      <c r="S278" s="25" t="e">
        <f>IF(Table1[[#This Row],[Sales]]=MIN(Table1[Sales]), Table1[[#This Row],[Sales]], NA())</f>
        <v>#N/A</v>
      </c>
      <c r="T278" s="25">
        <f>IF(AND(Table1[[#This Row],[Sales]]&lt;&gt;MIN(Table1[Sales]),Table1[[#This Row],[Sales]]&lt;&gt;MAX(Table1[Sales])), Table1[[#This Row],[Sales]], NA())</f>
        <v>49795.13</v>
      </c>
      <c r="U278" s="25" t="e">
        <f>IF(Table1[[#This Row],[Sales]]=MAX(Table1[Sales]), Table1[[#This Row],[Sales]], NA())</f>
        <v>#N/A</v>
      </c>
      <c r="V278">
        <v>7</v>
      </c>
      <c r="W278">
        <v>0.3</v>
      </c>
      <c r="X278">
        <v>248.98</v>
      </c>
      <c r="Y278" s="3">
        <f>YEAR(Table1[[#This Row],[Order Date]])</f>
        <v>2021</v>
      </c>
      <c r="Z278" s="3" t="str">
        <f>TEXT(Table1[[#This Row],[Order Date]],"MMM")</f>
        <v>Jul</v>
      </c>
      <c r="AA278" s="3">
        <f>DAY(Table1[[#This Row],[Order Date]])</f>
        <v>4</v>
      </c>
    </row>
    <row r="279" spans="1:27" x14ac:dyDescent="0.35">
      <c r="A279" s="1">
        <v>278</v>
      </c>
      <c r="B279" s="1" t="s">
        <v>1379</v>
      </c>
      <c r="C279" s="1" t="s">
        <v>920</v>
      </c>
      <c r="D279" s="1" t="s">
        <v>1380</v>
      </c>
      <c r="E279" t="s">
        <v>115</v>
      </c>
      <c r="F279" t="s">
        <v>1381</v>
      </c>
      <c r="G279" t="s">
        <v>140</v>
      </c>
      <c r="H279" t="s">
        <v>94</v>
      </c>
      <c r="I279" s="1" t="s">
        <v>28</v>
      </c>
      <c r="J279" t="s">
        <v>53</v>
      </c>
      <c r="K279" t="s">
        <v>54</v>
      </c>
      <c r="L279" s="1">
        <v>393813</v>
      </c>
      <c r="M279" s="1" t="s">
        <v>55</v>
      </c>
      <c r="N279" t="s">
        <v>1382</v>
      </c>
      <c r="O279" t="s">
        <v>32</v>
      </c>
      <c r="P279" t="s">
        <v>33</v>
      </c>
      <c r="Q279" t="s">
        <v>34</v>
      </c>
      <c r="R279">
        <v>7878.82</v>
      </c>
      <c r="S279" s="25" t="e">
        <f>IF(Table1[[#This Row],[Sales]]=MIN(Table1[Sales]), Table1[[#This Row],[Sales]], NA())</f>
        <v>#N/A</v>
      </c>
      <c r="T279" s="25">
        <f>IF(AND(Table1[[#This Row],[Sales]]&lt;&gt;MIN(Table1[Sales]),Table1[[#This Row],[Sales]]&lt;&gt;MAX(Table1[Sales])), Table1[[#This Row],[Sales]], NA())</f>
        <v>7878.82</v>
      </c>
      <c r="U279" s="25" t="e">
        <f>IF(Table1[[#This Row],[Sales]]=MAX(Table1[Sales]), Table1[[#This Row],[Sales]], NA())</f>
        <v>#N/A</v>
      </c>
      <c r="V279">
        <v>7</v>
      </c>
      <c r="W279">
        <v>0</v>
      </c>
      <c r="X279">
        <v>630.30999999999995</v>
      </c>
      <c r="Y279" s="3">
        <f>YEAR(Table1[[#This Row],[Order Date]])</f>
        <v>2023</v>
      </c>
      <c r="Z279" s="3" t="str">
        <f>TEXT(Table1[[#This Row],[Order Date]],"MMM")</f>
        <v>Jul</v>
      </c>
      <c r="AA279" s="3">
        <f>DAY(Table1[[#This Row],[Order Date]])</f>
        <v>22</v>
      </c>
    </row>
    <row r="280" spans="1:27" x14ac:dyDescent="0.35">
      <c r="A280" s="1">
        <v>279</v>
      </c>
      <c r="B280" s="1" t="s">
        <v>1383</v>
      </c>
      <c r="C280" s="1" t="s">
        <v>1384</v>
      </c>
      <c r="D280" s="1" t="s">
        <v>726</v>
      </c>
      <c r="E280" t="s">
        <v>62</v>
      </c>
      <c r="F280" t="s">
        <v>1385</v>
      </c>
      <c r="G280" t="s">
        <v>122</v>
      </c>
      <c r="H280" t="s">
        <v>94</v>
      </c>
      <c r="I280" s="1" t="s">
        <v>28</v>
      </c>
      <c r="J280" t="s">
        <v>53</v>
      </c>
      <c r="K280" t="s">
        <v>54</v>
      </c>
      <c r="L280" s="1">
        <v>253452</v>
      </c>
      <c r="M280" s="1" t="s">
        <v>55</v>
      </c>
      <c r="N280" t="s">
        <v>1386</v>
      </c>
      <c r="O280" t="s">
        <v>46</v>
      </c>
      <c r="P280" t="s">
        <v>47</v>
      </c>
      <c r="Q280" t="s">
        <v>48</v>
      </c>
      <c r="R280">
        <v>58270.06</v>
      </c>
      <c r="S280" s="25" t="e">
        <f>IF(Table1[[#This Row],[Sales]]=MIN(Table1[Sales]), Table1[[#This Row],[Sales]], NA())</f>
        <v>#N/A</v>
      </c>
      <c r="T280" s="25">
        <f>IF(AND(Table1[[#This Row],[Sales]]&lt;&gt;MIN(Table1[Sales]),Table1[[#This Row],[Sales]]&lt;&gt;MAX(Table1[Sales])), Table1[[#This Row],[Sales]], NA())</f>
        <v>58270.06</v>
      </c>
      <c r="U280" s="25" t="e">
        <f>IF(Table1[[#This Row],[Sales]]=MAX(Table1[Sales]), Table1[[#This Row],[Sales]], NA())</f>
        <v>#N/A</v>
      </c>
      <c r="V280">
        <v>2</v>
      </c>
      <c r="W280">
        <v>0.2</v>
      </c>
      <c r="X280">
        <v>1748.1</v>
      </c>
      <c r="Y280" s="3">
        <f>YEAR(Table1[[#This Row],[Order Date]])</f>
        <v>2022</v>
      </c>
      <c r="Z280" s="3" t="str">
        <f>TEXT(Table1[[#This Row],[Order Date]],"MMM")</f>
        <v>Apr</v>
      </c>
      <c r="AA280" s="3">
        <f>DAY(Table1[[#This Row],[Order Date]])</f>
        <v>11</v>
      </c>
    </row>
    <row r="281" spans="1:27" x14ac:dyDescent="0.35">
      <c r="A281" s="1">
        <v>280</v>
      </c>
      <c r="B281" s="1" t="s">
        <v>1387</v>
      </c>
      <c r="C281" s="1" t="s">
        <v>1388</v>
      </c>
      <c r="D281" s="1" t="s">
        <v>1389</v>
      </c>
      <c r="E281" t="s">
        <v>62</v>
      </c>
      <c r="F281" t="s">
        <v>1390</v>
      </c>
      <c r="G281" t="s">
        <v>75</v>
      </c>
      <c r="H281" t="s">
        <v>27</v>
      </c>
      <c r="I281" s="1" t="s">
        <v>28</v>
      </c>
      <c r="J281" t="s">
        <v>128</v>
      </c>
      <c r="K281" t="s">
        <v>129</v>
      </c>
      <c r="L281" s="1">
        <v>685978</v>
      </c>
      <c r="M281" s="1" t="s">
        <v>66</v>
      </c>
      <c r="N281" t="s">
        <v>1391</v>
      </c>
      <c r="O281" t="s">
        <v>46</v>
      </c>
      <c r="P281" t="s">
        <v>57</v>
      </c>
      <c r="Q281" t="s">
        <v>58</v>
      </c>
      <c r="R281">
        <v>37941.97</v>
      </c>
      <c r="S281" s="25" t="e">
        <f>IF(Table1[[#This Row],[Sales]]=MIN(Table1[Sales]), Table1[[#This Row],[Sales]], NA())</f>
        <v>#N/A</v>
      </c>
      <c r="T281" s="25">
        <f>IF(AND(Table1[[#This Row],[Sales]]&lt;&gt;MIN(Table1[Sales]),Table1[[#This Row],[Sales]]&lt;&gt;MAX(Table1[Sales])), Table1[[#This Row],[Sales]], NA())</f>
        <v>37941.97</v>
      </c>
      <c r="U281" s="25" t="e">
        <f>IF(Table1[[#This Row],[Sales]]=MAX(Table1[Sales]), Table1[[#This Row],[Sales]], NA())</f>
        <v>#N/A</v>
      </c>
      <c r="V281">
        <v>5</v>
      </c>
      <c r="W281">
        <v>0.1</v>
      </c>
      <c r="X281">
        <v>2086.81</v>
      </c>
      <c r="Y281" s="3">
        <f>YEAR(Table1[[#This Row],[Order Date]])</f>
        <v>2024</v>
      </c>
      <c r="Z281" s="3" t="str">
        <f>TEXT(Table1[[#This Row],[Order Date]],"MMM")</f>
        <v>Mar</v>
      </c>
      <c r="AA281" s="3">
        <f>DAY(Table1[[#This Row],[Order Date]])</f>
        <v>24</v>
      </c>
    </row>
    <row r="282" spans="1:27" x14ac:dyDescent="0.35">
      <c r="A282" s="1">
        <v>281</v>
      </c>
      <c r="B282" s="1" t="s">
        <v>1392</v>
      </c>
      <c r="C282" s="1" t="s">
        <v>1393</v>
      </c>
      <c r="D282" s="1" t="s">
        <v>226</v>
      </c>
      <c r="E282" t="s">
        <v>115</v>
      </c>
      <c r="F282" t="s">
        <v>1394</v>
      </c>
      <c r="G282" t="s">
        <v>81</v>
      </c>
      <c r="H282" t="s">
        <v>41</v>
      </c>
      <c r="I282" s="1" t="s">
        <v>28</v>
      </c>
      <c r="J282" t="s">
        <v>53</v>
      </c>
      <c r="K282" t="s">
        <v>54</v>
      </c>
      <c r="L282" s="1">
        <v>820407</v>
      </c>
      <c r="M282" s="1" t="s">
        <v>55</v>
      </c>
      <c r="N282" t="s">
        <v>1395</v>
      </c>
      <c r="O282" t="s">
        <v>68</v>
      </c>
      <c r="P282" t="s">
        <v>69</v>
      </c>
      <c r="Q282" t="s">
        <v>70</v>
      </c>
      <c r="R282">
        <v>54256.71</v>
      </c>
      <c r="S282" s="25" t="e">
        <f>IF(Table1[[#This Row],[Sales]]=MIN(Table1[Sales]), Table1[[#This Row],[Sales]], NA())</f>
        <v>#N/A</v>
      </c>
      <c r="T282" s="25">
        <f>IF(AND(Table1[[#This Row],[Sales]]&lt;&gt;MIN(Table1[Sales]),Table1[[#This Row],[Sales]]&lt;&gt;MAX(Table1[Sales])), Table1[[#This Row],[Sales]], NA())</f>
        <v>54256.71</v>
      </c>
      <c r="U282" s="25" t="e">
        <f>IF(Table1[[#This Row],[Sales]]=MAX(Table1[Sales]), Table1[[#This Row],[Sales]], NA())</f>
        <v>#N/A</v>
      </c>
      <c r="V282">
        <v>10</v>
      </c>
      <c r="W282">
        <v>0.1</v>
      </c>
      <c r="X282">
        <v>2984.12</v>
      </c>
      <c r="Y282" s="3">
        <f>YEAR(Table1[[#This Row],[Order Date]])</f>
        <v>2023</v>
      </c>
      <c r="Z282" s="3" t="str">
        <f>TEXT(Table1[[#This Row],[Order Date]],"MMM")</f>
        <v>Jan</v>
      </c>
      <c r="AA282" s="3">
        <f>DAY(Table1[[#This Row],[Order Date]])</f>
        <v>29</v>
      </c>
    </row>
    <row r="283" spans="1:27" x14ac:dyDescent="0.35">
      <c r="A283" s="1">
        <v>282</v>
      </c>
      <c r="B283" s="1" t="s">
        <v>1396</v>
      </c>
      <c r="C283" s="1" t="s">
        <v>1397</v>
      </c>
      <c r="D283" s="1" t="s">
        <v>1398</v>
      </c>
      <c r="E283" t="s">
        <v>24</v>
      </c>
      <c r="F283" t="s">
        <v>1399</v>
      </c>
      <c r="G283" t="s">
        <v>40</v>
      </c>
      <c r="H283" t="s">
        <v>94</v>
      </c>
      <c r="I283" s="1" t="s">
        <v>28</v>
      </c>
      <c r="J283" t="s">
        <v>42</v>
      </c>
      <c r="K283" t="s">
        <v>43</v>
      </c>
      <c r="L283" s="1">
        <v>778236</v>
      </c>
      <c r="M283" s="1" t="s">
        <v>44</v>
      </c>
      <c r="N283" t="s">
        <v>1400</v>
      </c>
      <c r="O283" t="s">
        <v>32</v>
      </c>
      <c r="P283" t="s">
        <v>33</v>
      </c>
      <c r="Q283" t="s">
        <v>34</v>
      </c>
      <c r="R283">
        <v>37082.93</v>
      </c>
      <c r="S283" s="25" t="e">
        <f>IF(Table1[[#This Row],[Sales]]=MIN(Table1[Sales]), Table1[[#This Row],[Sales]], NA())</f>
        <v>#N/A</v>
      </c>
      <c r="T283" s="25">
        <f>IF(AND(Table1[[#This Row],[Sales]]&lt;&gt;MIN(Table1[Sales]),Table1[[#This Row],[Sales]]&lt;&gt;MAX(Table1[Sales])), Table1[[#This Row],[Sales]], NA())</f>
        <v>37082.93</v>
      </c>
      <c r="U283" s="25" t="e">
        <f>IF(Table1[[#This Row],[Sales]]=MAX(Table1[Sales]), Table1[[#This Row],[Sales]], NA())</f>
        <v>#N/A</v>
      </c>
      <c r="V283">
        <v>9</v>
      </c>
      <c r="W283">
        <v>0.1</v>
      </c>
      <c r="X283">
        <v>2039.56</v>
      </c>
      <c r="Y283" s="3">
        <f>YEAR(Table1[[#This Row],[Order Date]])</f>
        <v>2021</v>
      </c>
      <c r="Z283" s="3" t="str">
        <f>TEXT(Table1[[#This Row],[Order Date]],"MMM")</f>
        <v>Dec</v>
      </c>
      <c r="AA283" s="3">
        <f>DAY(Table1[[#This Row],[Order Date]])</f>
        <v>2</v>
      </c>
    </row>
    <row r="284" spans="1:27" x14ac:dyDescent="0.35">
      <c r="A284" s="1">
        <v>283</v>
      </c>
      <c r="B284" s="1" t="s">
        <v>1401</v>
      </c>
      <c r="C284" s="1" t="s">
        <v>1402</v>
      </c>
      <c r="D284" s="1" t="s">
        <v>1403</v>
      </c>
      <c r="E284" t="s">
        <v>38</v>
      </c>
      <c r="F284" t="s">
        <v>1404</v>
      </c>
      <c r="G284" t="s">
        <v>40</v>
      </c>
      <c r="H284" t="s">
        <v>94</v>
      </c>
      <c r="I284" s="1" t="s">
        <v>28</v>
      </c>
      <c r="J284" t="s">
        <v>42</v>
      </c>
      <c r="K284" t="s">
        <v>43</v>
      </c>
      <c r="L284" s="1">
        <v>118931</v>
      </c>
      <c r="M284" s="1" t="s">
        <v>44</v>
      </c>
      <c r="N284" t="s">
        <v>1405</v>
      </c>
      <c r="O284" t="s">
        <v>46</v>
      </c>
      <c r="P284" t="s">
        <v>57</v>
      </c>
      <c r="Q284" t="s">
        <v>58</v>
      </c>
      <c r="R284">
        <v>4363.16</v>
      </c>
      <c r="S284" s="25" t="e">
        <f>IF(Table1[[#This Row],[Sales]]=MIN(Table1[Sales]), Table1[[#This Row],[Sales]], NA())</f>
        <v>#N/A</v>
      </c>
      <c r="T284" s="25">
        <f>IF(AND(Table1[[#This Row],[Sales]]&lt;&gt;MIN(Table1[Sales]),Table1[[#This Row],[Sales]]&lt;&gt;MAX(Table1[Sales])), Table1[[#This Row],[Sales]], NA())</f>
        <v>4363.16</v>
      </c>
      <c r="U284" s="25" t="e">
        <f>IF(Table1[[#This Row],[Sales]]=MAX(Table1[Sales]), Table1[[#This Row],[Sales]], NA())</f>
        <v>#N/A</v>
      </c>
      <c r="V284">
        <v>4</v>
      </c>
      <c r="W284">
        <v>0.1</v>
      </c>
      <c r="X284">
        <v>239.97</v>
      </c>
      <c r="Y284" s="3">
        <f>YEAR(Table1[[#This Row],[Order Date]])</f>
        <v>2023</v>
      </c>
      <c r="Z284" s="3" t="str">
        <f>TEXT(Table1[[#This Row],[Order Date]],"MMM")</f>
        <v>Feb</v>
      </c>
      <c r="AA284" s="3">
        <f>DAY(Table1[[#This Row],[Order Date]])</f>
        <v>16</v>
      </c>
    </row>
    <row r="285" spans="1:27" x14ac:dyDescent="0.35">
      <c r="A285" s="1">
        <v>284</v>
      </c>
      <c r="B285" s="1" t="s">
        <v>1406</v>
      </c>
      <c r="C285" s="1" t="s">
        <v>633</v>
      </c>
      <c r="D285" s="1" t="s">
        <v>211</v>
      </c>
      <c r="E285" t="s">
        <v>24</v>
      </c>
      <c r="F285" t="s">
        <v>1407</v>
      </c>
      <c r="G285" t="s">
        <v>110</v>
      </c>
      <c r="H285" t="s">
        <v>27</v>
      </c>
      <c r="I285" s="1" t="s">
        <v>28</v>
      </c>
      <c r="J285" t="s">
        <v>64</v>
      </c>
      <c r="K285" t="s">
        <v>65</v>
      </c>
      <c r="L285" s="1">
        <v>981436</v>
      </c>
      <c r="M285" s="1" t="s">
        <v>66</v>
      </c>
      <c r="N285" t="s">
        <v>1408</v>
      </c>
      <c r="O285" t="s">
        <v>32</v>
      </c>
      <c r="P285" t="s">
        <v>33</v>
      </c>
      <c r="Q285" t="s">
        <v>34</v>
      </c>
      <c r="R285">
        <v>4553.55</v>
      </c>
      <c r="S285" s="25" t="e">
        <f>IF(Table1[[#This Row],[Sales]]=MIN(Table1[Sales]), Table1[[#This Row],[Sales]], NA())</f>
        <v>#N/A</v>
      </c>
      <c r="T285" s="25">
        <f>IF(AND(Table1[[#This Row],[Sales]]&lt;&gt;MIN(Table1[Sales]),Table1[[#This Row],[Sales]]&lt;&gt;MAX(Table1[Sales])), Table1[[#This Row],[Sales]], NA())</f>
        <v>4553.55</v>
      </c>
      <c r="U285" s="25" t="e">
        <f>IF(Table1[[#This Row],[Sales]]=MAX(Table1[Sales]), Table1[[#This Row],[Sales]], NA())</f>
        <v>#N/A</v>
      </c>
      <c r="V285">
        <v>8</v>
      </c>
      <c r="W285">
        <v>0.3</v>
      </c>
      <c r="X285">
        <v>22.77</v>
      </c>
      <c r="Y285" s="3">
        <f>YEAR(Table1[[#This Row],[Order Date]])</f>
        <v>2022</v>
      </c>
      <c r="Z285" s="3" t="str">
        <f>TEXT(Table1[[#This Row],[Order Date]],"MMM")</f>
        <v>Jun</v>
      </c>
      <c r="AA285" s="3">
        <f>DAY(Table1[[#This Row],[Order Date]])</f>
        <v>17</v>
      </c>
    </row>
    <row r="286" spans="1:27" x14ac:dyDescent="0.35">
      <c r="A286" s="1">
        <v>285</v>
      </c>
      <c r="B286" s="1" t="s">
        <v>1409</v>
      </c>
      <c r="C286" s="1" t="s">
        <v>305</v>
      </c>
      <c r="D286" s="1" t="s">
        <v>60</v>
      </c>
      <c r="E286" t="s">
        <v>62</v>
      </c>
      <c r="F286" t="s">
        <v>1410</v>
      </c>
      <c r="G286" t="s">
        <v>81</v>
      </c>
      <c r="H286" t="s">
        <v>94</v>
      </c>
      <c r="I286" s="1" t="s">
        <v>28</v>
      </c>
      <c r="J286" t="s">
        <v>53</v>
      </c>
      <c r="K286" t="s">
        <v>54</v>
      </c>
      <c r="L286" s="1">
        <v>328225</v>
      </c>
      <c r="M286" s="1" t="s">
        <v>55</v>
      </c>
      <c r="N286" t="s">
        <v>1411</v>
      </c>
      <c r="O286" t="s">
        <v>46</v>
      </c>
      <c r="P286" t="s">
        <v>47</v>
      </c>
      <c r="Q286" t="s">
        <v>48</v>
      </c>
      <c r="R286">
        <v>93322.37</v>
      </c>
      <c r="S286" s="25" t="e">
        <f>IF(Table1[[#This Row],[Sales]]=MIN(Table1[Sales]), Table1[[#This Row],[Sales]], NA())</f>
        <v>#N/A</v>
      </c>
      <c r="T286" s="25">
        <f>IF(AND(Table1[[#This Row],[Sales]]&lt;&gt;MIN(Table1[Sales]),Table1[[#This Row],[Sales]]&lt;&gt;MAX(Table1[Sales])), Table1[[#This Row],[Sales]], NA())</f>
        <v>93322.37</v>
      </c>
      <c r="U286" s="25" t="e">
        <f>IF(Table1[[#This Row],[Sales]]=MAX(Table1[Sales]), Table1[[#This Row],[Sales]], NA())</f>
        <v>#N/A</v>
      </c>
      <c r="V286">
        <v>3</v>
      </c>
      <c r="W286">
        <v>0.3</v>
      </c>
      <c r="X286">
        <v>466.61</v>
      </c>
      <c r="Y286" s="3">
        <f>YEAR(Table1[[#This Row],[Order Date]])</f>
        <v>2024</v>
      </c>
      <c r="Z286" s="3" t="str">
        <f>TEXT(Table1[[#This Row],[Order Date]],"MMM")</f>
        <v>Dec</v>
      </c>
      <c r="AA286" s="3">
        <f>DAY(Table1[[#This Row],[Order Date]])</f>
        <v>2</v>
      </c>
    </row>
    <row r="287" spans="1:27" x14ac:dyDescent="0.35">
      <c r="A287" s="1">
        <v>286</v>
      </c>
      <c r="B287" s="1" t="s">
        <v>1412</v>
      </c>
      <c r="C287" s="1" t="s">
        <v>305</v>
      </c>
      <c r="D287" s="1" t="s">
        <v>306</v>
      </c>
      <c r="E287" t="s">
        <v>115</v>
      </c>
      <c r="F287" t="s">
        <v>1413</v>
      </c>
      <c r="G287" t="s">
        <v>93</v>
      </c>
      <c r="H287" t="s">
        <v>41</v>
      </c>
      <c r="I287" s="1" t="s">
        <v>28</v>
      </c>
      <c r="J287" t="s">
        <v>64</v>
      </c>
      <c r="K287" t="s">
        <v>65</v>
      </c>
      <c r="L287" s="1">
        <v>114959</v>
      </c>
      <c r="M287" s="1" t="s">
        <v>66</v>
      </c>
      <c r="N287" t="s">
        <v>1414</v>
      </c>
      <c r="O287" t="s">
        <v>46</v>
      </c>
      <c r="P287" t="s">
        <v>47</v>
      </c>
      <c r="Q287" t="s">
        <v>48</v>
      </c>
      <c r="R287">
        <v>86444.9</v>
      </c>
      <c r="S287" s="25" t="e">
        <f>IF(Table1[[#This Row],[Sales]]=MIN(Table1[Sales]), Table1[[#This Row],[Sales]], NA())</f>
        <v>#N/A</v>
      </c>
      <c r="T287" s="25">
        <f>IF(AND(Table1[[#This Row],[Sales]]&lt;&gt;MIN(Table1[Sales]),Table1[[#This Row],[Sales]]&lt;&gt;MAX(Table1[Sales])), Table1[[#This Row],[Sales]], NA())</f>
        <v>86444.9</v>
      </c>
      <c r="U287" s="25" t="e">
        <f>IF(Table1[[#This Row],[Sales]]=MAX(Table1[Sales]), Table1[[#This Row],[Sales]], NA())</f>
        <v>#N/A</v>
      </c>
      <c r="V287">
        <v>7</v>
      </c>
      <c r="W287">
        <v>0.1</v>
      </c>
      <c r="X287">
        <v>4754.47</v>
      </c>
      <c r="Y287" s="3">
        <f>YEAR(Table1[[#This Row],[Order Date]])</f>
        <v>2024</v>
      </c>
      <c r="Z287" s="3" t="str">
        <f>TEXT(Table1[[#This Row],[Order Date]],"MMM")</f>
        <v>Dec</v>
      </c>
      <c r="AA287" s="3">
        <f>DAY(Table1[[#This Row],[Order Date]])</f>
        <v>2</v>
      </c>
    </row>
    <row r="288" spans="1:27" x14ac:dyDescent="0.35">
      <c r="A288" s="1">
        <v>287</v>
      </c>
      <c r="B288" s="1" t="s">
        <v>1415</v>
      </c>
      <c r="C288" s="1" t="s">
        <v>1416</v>
      </c>
      <c r="D288" s="1" t="s">
        <v>1417</v>
      </c>
      <c r="E288" t="s">
        <v>115</v>
      </c>
      <c r="F288" t="s">
        <v>1418</v>
      </c>
      <c r="G288" t="s">
        <v>188</v>
      </c>
      <c r="H288" t="s">
        <v>41</v>
      </c>
      <c r="I288" s="1" t="s">
        <v>28</v>
      </c>
      <c r="J288" t="s">
        <v>128</v>
      </c>
      <c r="K288" t="s">
        <v>129</v>
      </c>
      <c r="L288" s="1">
        <v>459998</v>
      </c>
      <c r="M288" s="1" t="s">
        <v>66</v>
      </c>
      <c r="N288" t="s">
        <v>1419</v>
      </c>
      <c r="O288" t="s">
        <v>32</v>
      </c>
      <c r="P288" t="s">
        <v>33</v>
      </c>
      <c r="Q288" t="s">
        <v>34</v>
      </c>
      <c r="R288">
        <v>56191.7</v>
      </c>
      <c r="S288" s="25" t="e">
        <f>IF(Table1[[#This Row],[Sales]]=MIN(Table1[Sales]), Table1[[#This Row],[Sales]], NA())</f>
        <v>#N/A</v>
      </c>
      <c r="T288" s="25">
        <f>IF(AND(Table1[[#This Row],[Sales]]&lt;&gt;MIN(Table1[Sales]),Table1[[#This Row],[Sales]]&lt;&gt;MAX(Table1[Sales])), Table1[[#This Row],[Sales]], NA())</f>
        <v>56191.7</v>
      </c>
      <c r="U288" s="25" t="e">
        <f>IF(Table1[[#This Row],[Sales]]=MAX(Table1[Sales]), Table1[[#This Row],[Sales]], NA())</f>
        <v>#N/A</v>
      </c>
      <c r="V288">
        <v>10</v>
      </c>
      <c r="W288">
        <v>0</v>
      </c>
      <c r="X288">
        <v>4495.34</v>
      </c>
      <c r="Y288" s="3">
        <f>YEAR(Table1[[#This Row],[Order Date]])</f>
        <v>2021</v>
      </c>
      <c r="Z288" s="3" t="str">
        <f>TEXT(Table1[[#This Row],[Order Date]],"MMM")</f>
        <v>Jul</v>
      </c>
      <c r="AA288" s="3">
        <f>DAY(Table1[[#This Row],[Order Date]])</f>
        <v>10</v>
      </c>
    </row>
    <row r="289" spans="1:27" x14ac:dyDescent="0.35">
      <c r="A289" s="1">
        <v>288</v>
      </c>
      <c r="B289" s="1" t="s">
        <v>1420</v>
      </c>
      <c r="C289" s="1" t="s">
        <v>1421</v>
      </c>
      <c r="D289" s="1" t="s">
        <v>1422</v>
      </c>
      <c r="E289" t="s">
        <v>24</v>
      </c>
      <c r="F289" t="s">
        <v>1423</v>
      </c>
      <c r="G289" t="s">
        <v>110</v>
      </c>
      <c r="H289" t="s">
        <v>27</v>
      </c>
      <c r="I289" s="1" t="s">
        <v>28</v>
      </c>
      <c r="J289" t="s">
        <v>29</v>
      </c>
      <c r="K289" t="s">
        <v>29</v>
      </c>
      <c r="L289" s="1">
        <v>912938</v>
      </c>
      <c r="M289" s="1" t="s">
        <v>30</v>
      </c>
      <c r="N289" t="s">
        <v>1424</v>
      </c>
      <c r="O289" t="s">
        <v>68</v>
      </c>
      <c r="P289" t="s">
        <v>69</v>
      </c>
      <c r="Q289" t="s">
        <v>70</v>
      </c>
      <c r="R289">
        <v>26849.77</v>
      </c>
      <c r="S289" s="25" t="e">
        <f>IF(Table1[[#This Row],[Sales]]=MIN(Table1[Sales]), Table1[[#This Row],[Sales]], NA())</f>
        <v>#N/A</v>
      </c>
      <c r="T289" s="25">
        <f>IF(AND(Table1[[#This Row],[Sales]]&lt;&gt;MIN(Table1[Sales]),Table1[[#This Row],[Sales]]&lt;&gt;MAX(Table1[Sales])), Table1[[#This Row],[Sales]], NA())</f>
        <v>26849.77</v>
      </c>
      <c r="U289" s="25" t="e">
        <f>IF(Table1[[#This Row],[Sales]]=MAX(Table1[Sales]), Table1[[#This Row],[Sales]], NA())</f>
        <v>#N/A</v>
      </c>
      <c r="V289">
        <v>7</v>
      </c>
      <c r="W289">
        <v>0.3</v>
      </c>
      <c r="X289">
        <v>134.25</v>
      </c>
      <c r="Y289" s="3">
        <f>YEAR(Table1[[#This Row],[Order Date]])</f>
        <v>2021</v>
      </c>
      <c r="Z289" s="3" t="str">
        <f>TEXT(Table1[[#This Row],[Order Date]],"MMM")</f>
        <v>Jul</v>
      </c>
      <c r="AA289" s="3">
        <f>DAY(Table1[[#This Row],[Order Date]])</f>
        <v>13</v>
      </c>
    </row>
    <row r="290" spans="1:27" x14ac:dyDescent="0.35">
      <c r="A290" s="1">
        <v>289</v>
      </c>
      <c r="B290" s="1" t="s">
        <v>1425</v>
      </c>
      <c r="C290" s="1" t="s">
        <v>1426</v>
      </c>
      <c r="D290" s="1" t="s">
        <v>1427</v>
      </c>
      <c r="E290" t="s">
        <v>38</v>
      </c>
      <c r="F290" t="s">
        <v>1428</v>
      </c>
      <c r="G290" t="s">
        <v>188</v>
      </c>
      <c r="H290" t="s">
        <v>41</v>
      </c>
      <c r="I290" s="1" t="s">
        <v>28</v>
      </c>
      <c r="J290" t="s">
        <v>29</v>
      </c>
      <c r="K290" t="s">
        <v>29</v>
      </c>
      <c r="L290" s="1">
        <v>327013</v>
      </c>
      <c r="M290" s="1" t="s">
        <v>30</v>
      </c>
      <c r="N290" t="s">
        <v>1429</v>
      </c>
      <c r="O290" t="s">
        <v>32</v>
      </c>
      <c r="P290" t="s">
        <v>33</v>
      </c>
      <c r="Q290" t="s">
        <v>34</v>
      </c>
      <c r="R290">
        <v>98088.71</v>
      </c>
      <c r="S290" s="25" t="e">
        <f>IF(Table1[[#This Row],[Sales]]=MIN(Table1[Sales]), Table1[[#This Row],[Sales]], NA())</f>
        <v>#N/A</v>
      </c>
      <c r="T290" s="25">
        <f>IF(AND(Table1[[#This Row],[Sales]]&lt;&gt;MIN(Table1[Sales]),Table1[[#This Row],[Sales]]&lt;&gt;MAX(Table1[Sales])), Table1[[#This Row],[Sales]], NA())</f>
        <v>98088.71</v>
      </c>
      <c r="U290" s="25" t="e">
        <f>IF(Table1[[#This Row],[Sales]]=MAX(Table1[Sales]), Table1[[#This Row],[Sales]], NA())</f>
        <v>#N/A</v>
      </c>
      <c r="V290">
        <v>2</v>
      </c>
      <c r="W290">
        <v>0.1</v>
      </c>
      <c r="X290">
        <v>5394.88</v>
      </c>
      <c r="Y290" s="3">
        <f>YEAR(Table1[[#This Row],[Order Date]])</f>
        <v>2024</v>
      </c>
      <c r="Z290" s="3" t="str">
        <f>TEXT(Table1[[#This Row],[Order Date]],"MMM")</f>
        <v>Aug</v>
      </c>
      <c r="AA290" s="3">
        <f>DAY(Table1[[#This Row],[Order Date]])</f>
        <v>23</v>
      </c>
    </row>
    <row r="291" spans="1:27" x14ac:dyDescent="0.35">
      <c r="A291" s="1">
        <v>290</v>
      </c>
      <c r="B291" s="1" t="s">
        <v>1430</v>
      </c>
      <c r="C291" s="1" t="s">
        <v>751</v>
      </c>
      <c r="D291" s="1" t="s">
        <v>1431</v>
      </c>
      <c r="E291" t="s">
        <v>115</v>
      </c>
      <c r="F291" t="s">
        <v>1432</v>
      </c>
      <c r="G291" t="s">
        <v>40</v>
      </c>
      <c r="H291" t="s">
        <v>41</v>
      </c>
      <c r="I291" s="1" t="s">
        <v>28</v>
      </c>
      <c r="J291" t="s">
        <v>42</v>
      </c>
      <c r="K291" t="s">
        <v>43</v>
      </c>
      <c r="L291" s="1">
        <v>788926</v>
      </c>
      <c r="M291" s="1" t="s">
        <v>44</v>
      </c>
      <c r="N291" t="s">
        <v>1433</v>
      </c>
      <c r="O291" t="s">
        <v>68</v>
      </c>
      <c r="P291" t="s">
        <v>69</v>
      </c>
      <c r="Q291" t="s">
        <v>70</v>
      </c>
      <c r="R291">
        <v>63568.86</v>
      </c>
      <c r="S291" s="25" t="e">
        <f>IF(Table1[[#This Row],[Sales]]=MIN(Table1[Sales]), Table1[[#This Row],[Sales]], NA())</f>
        <v>#N/A</v>
      </c>
      <c r="T291" s="25">
        <f>IF(AND(Table1[[#This Row],[Sales]]&lt;&gt;MIN(Table1[Sales]),Table1[[#This Row],[Sales]]&lt;&gt;MAX(Table1[Sales])), Table1[[#This Row],[Sales]], NA())</f>
        <v>63568.86</v>
      </c>
      <c r="U291" s="25" t="e">
        <f>IF(Table1[[#This Row],[Sales]]=MAX(Table1[Sales]), Table1[[#This Row],[Sales]], NA())</f>
        <v>#N/A</v>
      </c>
      <c r="V291">
        <v>4</v>
      </c>
      <c r="W291">
        <v>0.2</v>
      </c>
      <c r="X291">
        <v>1907.07</v>
      </c>
      <c r="Y291" s="3">
        <f>YEAR(Table1[[#This Row],[Order Date]])</f>
        <v>2021</v>
      </c>
      <c r="Z291" s="3" t="str">
        <f>TEXT(Table1[[#This Row],[Order Date]],"MMM")</f>
        <v>Jun</v>
      </c>
      <c r="AA291" s="3">
        <f>DAY(Table1[[#This Row],[Order Date]])</f>
        <v>21</v>
      </c>
    </row>
    <row r="292" spans="1:27" x14ac:dyDescent="0.35">
      <c r="A292" s="1">
        <v>291</v>
      </c>
      <c r="B292" s="1" t="s">
        <v>1434</v>
      </c>
      <c r="C292" s="1" t="s">
        <v>1435</v>
      </c>
      <c r="D292" s="1" t="s">
        <v>1436</v>
      </c>
      <c r="E292" t="s">
        <v>24</v>
      </c>
      <c r="F292" t="s">
        <v>1437</v>
      </c>
      <c r="G292" t="s">
        <v>26</v>
      </c>
      <c r="H292" t="s">
        <v>27</v>
      </c>
      <c r="I292" s="1" t="s">
        <v>28</v>
      </c>
      <c r="J292" t="s">
        <v>128</v>
      </c>
      <c r="K292" t="s">
        <v>129</v>
      </c>
      <c r="L292" s="1">
        <v>325439</v>
      </c>
      <c r="M292" s="1" t="s">
        <v>66</v>
      </c>
      <c r="N292" t="s">
        <v>1438</v>
      </c>
      <c r="O292" t="s">
        <v>46</v>
      </c>
      <c r="P292" t="s">
        <v>47</v>
      </c>
      <c r="Q292" t="s">
        <v>48</v>
      </c>
      <c r="R292">
        <v>11829.07</v>
      </c>
      <c r="S292" s="25" t="e">
        <f>IF(Table1[[#This Row],[Sales]]=MIN(Table1[Sales]), Table1[[#This Row],[Sales]], NA())</f>
        <v>#N/A</v>
      </c>
      <c r="T292" s="25">
        <f>IF(AND(Table1[[#This Row],[Sales]]&lt;&gt;MIN(Table1[Sales]),Table1[[#This Row],[Sales]]&lt;&gt;MAX(Table1[Sales])), Table1[[#This Row],[Sales]], NA())</f>
        <v>11829.07</v>
      </c>
      <c r="U292" s="25" t="e">
        <f>IF(Table1[[#This Row],[Sales]]=MAX(Table1[Sales]), Table1[[#This Row],[Sales]], NA())</f>
        <v>#N/A</v>
      </c>
      <c r="V292">
        <v>9</v>
      </c>
      <c r="W292">
        <v>0.3</v>
      </c>
      <c r="X292">
        <v>59.15</v>
      </c>
      <c r="Y292" s="3">
        <f>YEAR(Table1[[#This Row],[Order Date]])</f>
        <v>2021</v>
      </c>
      <c r="Z292" s="3" t="str">
        <f>TEXT(Table1[[#This Row],[Order Date]],"MMM")</f>
        <v>Aug</v>
      </c>
      <c r="AA292" s="3">
        <f>DAY(Table1[[#This Row],[Order Date]])</f>
        <v>2</v>
      </c>
    </row>
    <row r="293" spans="1:27" x14ac:dyDescent="0.35">
      <c r="A293" s="1">
        <v>292</v>
      </c>
      <c r="B293" s="1" t="s">
        <v>1439</v>
      </c>
      <c r="C293" s="1" t="s">
        <v>1440</v>
      </c>
      <c r="D293" s="1" t="s">
        <v>1441</v>
      </c>
      <c r="E293" t="s">
        <v>62</v>
      </c>
      <c r="F293" t="s">
        <v>1442</v>
      </c>
      <c r="G293" t="s">
        <v>75</v>
      </c>
      <c r="H293" t="s">
        <v>94</v>
      </c>
      <c r="I293" s="1" t="s">
        <v>28</v>
      </c>
      <c r="J293" t="s">
        <v>53</v>
      </c>
      <c r="K293" t="s">
        <v>54</v>
      </c>
      <c r="L293" s="1">
        <v>110605</v>
      </c>
      <c r="M293" s="1" t="s">
        <v>55</v>
      </c>
      <c r="N293" t="s">
        <v>1443</v>
      </c>
      <c r="O293" t="s">
        <v>46</v>
      </c>
      <c r="P293" t="s">
        <v>57</v>
      </c>
      <c r="Q293" t="s">
        <v>58</v>
      </c>
      <c r="R293">
        <v>36245.07</v>
      </c>
      <c r="S293" s="25" t="e">
        <f>IF(Table1[[#This Row],[Sales]]=MIN(Table1[Sales]), Table1[[#This Row],[Sales]], NA())</f>
        <v>#N/A</v>
      </c>
      <c r="T293" s="25">
        <f>IF(AND(Table1[[#This Row],[Sales]]&lt;&gt;MIN(Table1[Sales]),Table1[[#This Row],[Sales]]&lt;&gt;MAX(Table1[Sales])), Table1[[#This Row],[Sales]], NA())</f>
        <v>36245.07</v>
      </c>
      <c r="U293" s="25" t="e">
        <f>IF(Table1[[#This Row],[Sales]]=MAX(Table1[Sales]), Table1[[#This Row],[Sales]], NA())</f>
        <v>#N/A</v>
      </c>
      <c r="V293">
        <v>7</v>
      </c>
      <c r="W293">
        <v>0.2</v>
      </c>
      <c r="X293">
        <v>1087.3499999999999</v>
      </c>
      <c r="Y293" s="3">
        <f>YEAR(Table1[[#This Row],[Order Date]])</f>
        <v>2023</v>
      </c>
      <c r="Z293" s="3" t="str">
        <f>TEXT(Table1[[#This Row],[Order Date]],"MMM")</f>
        <v>Jun</v>
      </c>
      <c r="AA293" s="3">
        <f>DAY(Table1[[#This Row],[Order Date]])</f>
        <v>8</v>
      </c>
    </row>
    <row r="294" spans="1:27" x14ac:dyDescent="0.35">
      <c r="A294" s="1">
        <v>293</v>
      </c>
      <c r="B294" s="1" t="s">
        <v>1444</v>
      </c>
      <c r="C294" s="1" t="s">
        <v>1445</v>
      </c>
      <c r="D294" s="1" t="s">
        <v>1446</v>
      </c>
      <c r="E294" t="s">
        <v>38</v>
      </c>
      <c r="F294" t="s">
        <v>1447</v>
      </c>
      <c r="G294" t="s">
        <v>26</v>
      </c>
      <c r="H294" t="s">
        <v>41</v>
      </c>
      <c r="I294" s="1" t="s">
        <v>28</v>
      </c>
      <c r="J294" t="s">
        <v>128</v>
      </c>
      <c r="K294" t="s">
        <v>129</v>
      </c>
      <c r="L294" s="1">
        <v>427858</v>
      </c>
      <c r="M294" s="1" t="s">
        <v>66</v>
      </c>
      <c r="N294" t="s">
        <v>1448</v>
      </c>
      <c r="O294" t="s">
        <v>46</v>
      </c>
      <c r="P294" t="s">
        <v>57</v>
      </c>
      <c r="Q294" t="s">
        <v>58</v>
      </c>
      <c r="R294">
        <v>93323.12</v>
      </c>
      <c r="S294" s="25" t="e">
        <f>IF(Table1[[#This Row],[Sales]]=MIN(Table1[Sales]), Table1[[#This Row],[Sales]], NA())</f>
        <v>#N/A</v>
      </c>
      <c r="T294" s="25">
        <f>IF(AND(Table1[[#This Row],[Sales]]&lt;&gt;MIN(Table1[Sales]),Table1[[#This Row],[Sales]]&lt;&gt;MAX(Table1[Sales])), Table1[[#This Row],[Sales]], NA())</f>
        <v>93323.12</v>
      </c>
      <c r="U294" s="25" t="e">
        <f>IF(Table1[[#This Row],[Sales]]=MAX(Table1[Sales]), Table1[[#This Row],[Sales]], NA())</f>
        <v>#N/A</v>
      </c>
      <c r="V294">
        <v>4</v>
      </c>
      <c r="W294">
        <v>0.1</v>
      </c>
      <c r="X294">
        <v>5132.7700000000004</v>
      </c>
      <c r="Y294" s="3">
        <f>YEAR(Table1[[#This Row],[Order Date]])</f>
        <v>2025</v>
      </c>
      <c r="Z294" s="3" t="str">
        <f>TEXT(Table1[[#This Row],[Order Date]],"MMM")</f>
        <v>Oct</v>
      </c>
      <c r="AA294" s="3">
        <f>DAY(Table1[[#This Row],[Order Date]])</f>
        <v>28</v>
      </c>
    </row>
    <row r="295" spans="1:27" x14ac:dyDescent="0.35">
      <c r="A295" s="1">
        <v>294</v>
      </c>
      <c r="B295" s="1" t="s">
        <v>1449</v>
      </c>
      <c r="C295" s="1" t="s">
        <v>1450</v>
      </c>
      <c r="D295" s="1" t="s">
        <v>1451</v>
      </c>
      <c r="E295" t="s">
        <v>38</v>
      </c>
      <c r="F295" t="s">
        <v>1452</v>
      </c>
      <c r="G295" t="s">
        <v>81</v>
      </c>
      <c r="H295" t="s">
        <v>41</v>
      </c>
      <c r="I295" s="1" t="s">
        <v>28</v>
      </c>
      <c r="J295" t="s">
        <v>128</v>
      </c>
      <c r="K295" t="s">
        <v>129</v>
      </c>
      <c r="L295" s="1">
        <v>107540</v>
      </c>
      <c r="M295" s="1" t="s">
        <v>66</v>
      </c>
      <c r="N295" t="s">
        <v>1453</v>
      </c>
      <c r="O295" t="s">
        <v>46</v>
      </c>
      <c r="P295" t="s">
        <v>47</v>
      </c>
      <c r="Q295" t="s">
        <v>48</v>
      </c>
      <c r="R295">
        <v>48537.1</v>
      </c>
      <c r="S295" s="25" t="e">
        <f>IF(Table1[[#This Row],[Sales]]=MIN(Table1[Sales]), Table1[[#This Row],[Sales]], NA())</f>
        <v>#N/A</v>
      </c>
      <c r="T295" s="25">
        <f>IF(AND(Table1[[#This Row],[Sales]]&lt;&gt;MIN(Table1[Sales]),Table1[[#This Row],[Sales]]&lt;&gt;MAX(Table1[Sales])), Table1[[#This Row],[Sales]], NA())</f>
        <v>48537.1</v>
      </c>
      <c r="U295" s="25" t="e">
        <f>IF(Table1[[#This Row],[Sales]]=MAX(Table1[Sales]), Table1[[#This Row],[Sales]], NA())</f>
        <v>#N/A</v>
      </c>
      <c r="V295">
        <v>6</v>
      </c>
      <c r="W295">
        <v>0.1</v>
      </c>
      <c r="X295">
        <v>2669.54</v>
      </c>
      <c r="Y295" s="3">
        <f>YEAR(Table1[[#This Row],[Order Date]])</f>
        <v>2025</v>
      </c>
      <c r="Z295" s="3" t="str">
        <f>TEXT(Table1[[#This Row],[Order Date]],"MMM")</f>
        <v>Jul</v>
      </c>
      <c r="AA295" s="3">
        <f>DAY(Table1[[#This Row],[Order Date]])</f>
        <v>27</v>
      </c>
    </row>
    <row r="296" spans="1:27" x14ac:dyDescent="0.35">
      <c r="A296" s="1">
        <v>295</v>
      </c>
      <c r="B296" s="1" t="s">
        <v>1454</v>
      </c>
      <c r="C296" s="1" t="s">
        <v>1455</v>
      </c>
      <c r="D296" s="1" t="s">
        <v>1456</v>
      </c>
      <c r="E296" t="s">
        <v>24</v>
      </c>
      <c r="F296" t="s">
        <v>1457</v>
      </c>
      <c r="G296" t="s">
        <v>188</v>
      </c>
      <c r="H296" t="s">
        <v>94</v>
      </c>
      <c r="I296" s="1" t="s">
        <v>28</v>
      </c>
      <c r="J296" t="s">
        <v>53</v>
      </c>
      <c r="K296" t="s">
        <v>54</v>
      </c>
      <c r="L296" s="1">
        <v>510997</v>
      </c>
      <c r="M296" s="1" t="s">
        <v>55</v>
      </c>
      <c r="N296" t="s">
        <v>1458</v>
      </c>
      <c r="O296" t="s">
        <v>46</v>
      </c>
      <c r="P296" t="s">
        <v>47</v>
      </c>
      <c r="Q296" t="s">
        <v>48</v>
      </c>
      <c r="R296">
        <v>63316.19</v>
      </c>
      <c r="S296" s="25" t="e">
        <f>IF(Table1[[#This Row],[Sales]]=MIN(Table1[Sales]), Table1[[#This Row],[Sales]], NA())</f>
        <v>#N/A</v>
      </c>
      <c r="T296" s="25">
        <f>IF(AND(Table1[[#This Row],[Sales]]&lt;&gt;MIN(Table1[Sales]),Table1[[#This Row],[Sales]]&lt;&gt;MAX(Table1[Sales])), Table1[[#This Row],[Sales]], NA())</f>
        <v>63316.19</v>
      </c>
      <c r="U296" s="25" t="e">
        <f>IF(Table1[[#This Row],[Sales]]=MAX(Table1[Sales]), Table1[[#This Row],[Sales]], NA())</f>
        <v>#N/A</v>
      </c>
      <c r="V296">
        <v>1</v>
      </c>
      <c r="W296">
        <v>0</v>
      </c>
      <c r="X296">
        <v>5065.3</v>
      </c>
      <c r="Y296" s="3">
        <f>YEAR(Table1[[#This Row],[Order Date]])</f>
        <v>2023</v>
      </c>
      <c r="Z296" s="3" t="str">
        <f>TEXT(Table1[[#This Row],[Order Date]],"MMM")</f>
        <v>May</v>
      </c>
      <c r="AA296" s="3">
        <f>DAY(Table1[[#This Row],[Order Date]])</f>
        <v>25</v>
      </c>
    </row>
    <row r="297" spans="1:27" x14ac:dyDescent="0.35">
      <c r="A297" s="1">
        <v>296</v>
      </c>
      <c r="B297" s="1" t="s">
        <v>1459</v>
      </c>
      <c r="C297" s="1" t="s">
        <v>510</v>
      </c>
      <c r="D297" s="1" t="s">
        <v>1082</v>
      </c>
      <c r="E297" t="s">
        <v>38</v>
      </c>
      <c r="F297" t="s">
        <v>1460</v>
      </c>
      <c r="G297" t="s">
        <v>81</v>
      </c>
      <c r="H297" t="s">
        <v>94</v>
      </c>
      <c r="I297" s="1" t="s">
        <v>28</v>
      </c>
      <c r="J297" t="s">
        <v>53</v>
      </c>
      <c r="K297" t="s">
        <v>54</v>
      </c>
      <c r="L297" s="1">
        <v>588535</v>
      </c>
      <c r="M297" s="1" t="s">
        <v>55</v>
      </c>
      <c r="N297" t="s">
        <v>1461</v>
      </c>
      <c r="O297" t="s">
        <v>46</v>
      </c>
      <c r="P297" t="s">
        <v>57</v>
      </c>
      <c r="Q297" t="s">
        <v>58</v>
      </c>
      <c r="R297">
        <v>14802.12</v>
      </c>
      <c r="S297" s="25" t="e">
        <f>IF(Table1[[#This Row],[Sales]]=MIN(Table1[Sales]), Table1[[#This Row],[Sales]], NA())</f>
        <v>#N/A</v>
      </c>
      <c r="T297" s="25">
        <f>IF(AND(Table1[[#This Row],[Sales]]&lt;&gt;MIN(Table1[Sales]),Table1[[#This Row],[Sales]]&lt;&gt;MAX(Table1[Sales])), Table1[[#This Row],[Sales]], NA())</f>
        <v>14802.12</v>
      </c>
      <c r="U297" s="25" t="e">
        <f>IF(Table1[[#This Row],[Sales]]=MAX(Table1[Sales]), Table1[[#This Row],[Sales]], NA())</f>
        <v>#N/A</v>
      </c>
      <c r="V297">
        <v>6</v>
      </c>
      <c r="W297">
        <v>0.1</v>
      </c>
      <c r="X297">
        <v>814.12</v>
      </c>
      <c r="Y297" s="3">
        <f>YEAR(Table1[[#This Row],[Order Date]])</f>
        <v>2024</v>
      </c>
      <c r="Z297" s="3" t="str">
        <f>TEXT(Table1[[#This Row],[Order Date]],"MMM")</f>
        <v>Apr</v>
      </c>
      <c r="AA297" s="3">
        <f>DAY(Table1[[#This Row],[Order Date]])</f>
        <v>3</v>
      </c>
    </row>
    <row r="298" spans="1:27" x14ac:dyDescent="0.35">
      <c r="A298" s="1">
        <v>297</v>
      </c>
      <c r="B298" s="1" t="s">
        <v>1462</v>
      </c>
      <c r="C298" s="1" t="s">
        <v>1463</v>
      </c>
      <c r="D298" s="1" t="s">
        <v>1059</v>
      </c>
      <c r="E298" t="s">
        <v>38</v>
      </c>
      <c r="F298" t="s">
        <v>1464</v>
      </c>
      <c r="G298" t="s">
        <v>122</v>
      </c>
      <c r="H298" t="s">
        <v>41</v>
      </c>
      <c r="I298" s="1" t="s">
        <v>28</v>
      </c>
      <c r="J298" t="s">
        <v>29</v>
      </c>
      <c r="K298" t="s">
        <v>29</v>
      </c>
      <c r="L298" s="1">
        <v>549337</v>
      </c>
      <c r="M298" s="1" t="s">
        <v>30</v>
      </c>
      <c r="N298" t="s">
        <v>1465</v>
      </c>
      <c r="O298" t="s">
        <v>46</v>
      </c>
      <c r="P298" t="s">
        <v>47</v>
      </c>
      <c r="Q298" t="s">
        <v>48</v>
      </c>
      <c r="R298">
        <v>19095.16</v>
      </c>
      <c r="S298" s="25" t="e">
        <f>IF(Table1[[#This Row],[Sales]]=MIN(Table1[Sales]), Table1[[#This Row],[Sales]], NA())</f>
        <v>#N/A</v>
      </c>
      <c r="T298" s="25">
        <f>IF(AND(Table1[[#This Row],[Sales]]&lt;&gt;MIN(Table1[Sales]),Table1[[#This Row],[Sales]]&lt;&gt;MAX(Table1[Sales])), Table1[[#This Row],[Sales]], NA())</f>
        <v>19095.16</v>
      </c>
      <c r="U298" s="25" t="e">
        <f>IF(Table1[[#This Row],[Sales]]=MAX(Table1[Sales]), Table1[[#This Row],[Sales]], NA())</f>
        <v>#N/A</v>
      </c>
      <c r="V298">
        <v>4</v>
      </c>
      <c r="W298">
        <v>0.1</v>
      </c>
      <c r="X298">
        <v>1050.23</v>
      </c>
      <c r="Y298" s="3">
        <f>YEAR(Table1[[#This Row],[Order Date]])</f>
        <v>2021</v>
      </c>
      <c r="Z298" s="3" t="str">
        <f>TEXT(Table1[[#This Row],[Order Date]],"MMM")</f>
        <v>May</v>
      </c>
      <c r="AA298" s="3">
        <f>DAY(Table1[[#This Row],[Order Date]])</f>
        <v>11</v>
      </c>
    </row>
    <row r="299" spans="1:27" x14ac:dyDescent="0.35">
      <c r="A299" s="1">
        <v>298</v>
      </c>
      <c r="B299" s="1" t="s">
        <v>1466</v>
      </c>
      <c r="C299" s="1" t="s">
        <v>673</v>
      </c>
      <c r="D299" s="1" t="s">
        <v>1467</v>
      </c>
      <c r="E299" t="s">
        <v>24</v>
      </c>
      <c r="F299" t="s">
        <v>1468</v>
      </c>
      <c r="G299" t="s">
        <v>122</v>
      </c>
      <c r="H299" t="s">
        <v>94</v>
      </c>
      <c r="I299" s="1" t="s">
        <v>28</v>
      </c>
      <c r="J299" t="s">
        <v>29</v>
      </c>
      <c r="K299" t="s">
        <v>29</v>
      </c>
      <c r="L299" s="1">
        <v>923057</v>
      </c>
      <c r="M299" s="1" t="s">
        <v>30</v>
      </c>
      <c r="N299" t="s">
        <v>1469</v>
      </c>
      <c r="O299" t="s">
        <v>32</v>
      </c>
      <c r="P299" t="s">
        <v>33</v>
      </c>
      <c r="Q299" t="s">
        <v>34</v>
      </c>
      <c r="R299">
        <v>18305.810000000001</v>
      </c>
      <c r="S299" s="25" t="e">
        <f>IF(Table1[[#This Row],[Sales]]=MIN(Table1[Sales]), Table1[[#This Row],[Sales]], NA())</f>
        <v>#N/A</v>
      </c>
      <c r="T299" s="25">
        <f>IF(AND(Table1[[#This Row],[Sales]]&lt;&gt;MIN(Table1[Sales]),Table1[[#This Row],[Sales]]&lt;&gt;MAX(Table1[Sales])), Table1[[#This Row],[Sales]], NA())</f>
        <v>18305.810000000001</v>
      </c>
      <c r="U299" s="25" t="e">
        <f>IF(Table1[[#This Row],[Sales]]=MAX(Table1[Sales]), Table1[[#This Row],[Sales]], NA())</f>
        <v>#N/A</v>
      </c>
      <c r="V299">
        <v>9</v>
      </c>
      <c r="W299">
        <v>0.2</v>
      </c>
      <c r="X299">
        <v>549.16999999999996</v>
      </c>
      <c r="Y299" s="3">
        <f>YEAR(Table1[[#This Row],[Order Date]])</f>
        <v>2021</v>
      </c>
      <c r="Z299" s="3" t="str">
        <f>TEXT(Table1[[#This Row],[Order Date]],"MMM")</f>
        <v>Jun</v>
      </c>
      <c r="AA299" s="3">
        <f>DAY(Table1[[#This Row],[Order Date]])</f>
        <v>2</v>
      </c>
    </row>
    <row r="300" spans="1:27" x14ac:dyDescent="0.35">
      <c r="A300" s="1">
        <v>299</v>
      </c>
      <c r="B300" s="1" t="s">
        <v>1470</v>
      </c>
      <c r="C300" s="1" t="s">
        <v>1033</v>
      </c>
      <c r="D300" s="1" t="s">
        <v>943</v>
      </c>
      <c r="E300" t="s">
        <v>24</v>
      </c>
      <c r="F300" t="s">
        <v>1471</v>
      </c>
      <c r="G300" t="s">
        <v>188</v>
      </c>
      <c r="H300" t="s">
        <v>94</v>
      </c>
      <c r="I300" s="1" t="s">
        <v>28</v>
      </c>
      <c r="J300" t="s">
        <v>53</v>
      </c>
      <c r="K300" t="s">
        <v>54</v>
      </c>
      <c r="L300" s="1">
        <v>833849</v>
      </c>
      <c r="M300" s="1" t="s">
        <v>55</v>
      </c>
      <c r="N300" t="s">
        <v>1472</v>
      </c>
      <c r="O300" t="s">
        <v>46</v>
      </c>
      <c r="P300" t="s">
        <v>47</v>
      </c>
      <c r="Q300" t="s">
        <v>48</v>
      </c>
      <c r="R300">
        <v>76583.91</v>
      </c>
      <c r="S300" s="25" t="e">
        <f>IF(Table1[[#This Row],[Sales]]=MIN(Table1[Sales]), Table1[[#This Row],[Sales]], NA())</f>
        <v>#N/A</v>
      </c>
      <c r="T300" s="25">
        <f>IF(AND(Table1[[#This Row],[Sales]]&lt;&gt;MIN(Table1[Sales]),Table1[[#This Row],[Sales]]&lt;&gt;MAX(Table1[Sales])), Table1[[#This Row],[Sales]], NA())</f>
        <v>76583.91</v>
      </c>
      <c r="U300" s="25" t="e">
        <f>IF(Table1[[#This Row],[Sales]]=MAX(Table1[Sales]), Table1[[#This Row],[Sales]], NA())</f>
        <v>#N/A</v>
      </c>
      <c r="V300">
        <v>6</v>
      </c>
      <c r="W300">
        <v>0.3</v>
      </c>
      <c r="X300">
        <v>382.92</v>
      </c>
      <c r="Y300" s="3">
        <f>YEAR(Table1[[#This Row],[Order Date]])</f>
        <v>2024</v>
      </c>
      <c r="Z300" s="3" t="str">
        <f>TEXT(Table1[[#This Row],[Order Date]],"MMM")</f>
        <v>Jul</v>
      </c>
      <c r="AA300" s="3">
        <f>DAY(Table1[[#This Row],[Order Date]])</f>
        <v>25</v>
      </c>
    </row>
    <row r="301" spans="1:27" x14ac:dyDescent="0.35">
      <c r="A301" s="1">
        <v>300</v>
      </c>
      <c r="B301" s="1" t="s">
        <v>1473</v>
      </c>
      <c r="C301" s="1" t="s">
        <v>1474</v>
      </c>
      <c r="D301" s="1" t="s">
        <v>1475</v>
      </c>
      <c r="E301" t="s">
        <v>115</v>
      </c>
      <c r="F301" t="s">
        <v>1476</v>
      </c>
      <c r="G301" t="s">
        <v>75</v>
      </c>
      <c r="H301" t="s">
        <v>27</v>
      </c>
      <c r="I301" s="1" t="s">
        <v>28</v>
      </c>
      <c r="J301" t="s">
        <v>53</v>
      </c>
      <c r="K301" t="s">
        <v>54</v>
      </c>
      <c r="L301" s="1">
        <v>660248</v>
      </c>
      <c r="M301" s="1" t="s">
        <v>55</v>
      </c>
      <c r="N301" t="s">
        <v>1477</v>
      </c>
      <c r="O301" t="s">
        <v>32</v>
      </c>
      <c r="P301" t="s">
        <v>33</v>
      </c>
      <c r="Q301" t="s">
        <v>34</v>
      </c>
      <c r="R301">
        <v>614.05999999999995</v>
      </c>
      <c r="S301" s="25" t="e">
        <f>IF(Table1[[#This Row],[Sales]]=MIN(Table1[Sales]), Table1[[#This Row],[Sales]], NA())</f>
        <v>#N/A</v>
      </c>
      <c r="T301" s="25">
        <f>IF(AND(Table1[[#This Row],[Sales]]&lt;&gt;MIN(Table1[Sales]),Table1[[#This Row],[Sales]]&lt;&gt;MAX(Table1[Sales])), Table1[[#This Row],[Sales]], NA())</f>
        <v>614.05999999999995</v>
      </c>
      <c r="U301" s="25" t="e">
        <f>IF(Table1[[#This Row],[Sales]]=MAX(Table1[Sales]), Table1[[#This Row],[Sales]], NA())</f>
        <v>#N/A</v>
      </c>
      <c r="V301">
        <v>4</v>
      </c>
      <c r="W301">
        <v>0.2</v>
      </c>
      <c r="X301">
        <v>18.420000000000002</v>
      </c>
      <c r="Y301" s="3">
        <f>YEAR(Table1[[#This Row],[Order Date]])</f>
        <v>2024</v>
      </c>
      <c r="Z301" s="3" t="str">
        <f>TEXT(Table1[[#This Row],[Order Date]],"MMM")</f>
        <v>Dec</v>
      </c>
      <c r="AA301" s="3">
        <f>DAY(Table1[[#This Row],[Order Date]])</f>
        <v>10</v>
      </c>
    </row>
    <row r="302" spans="1:27" x14ac:dyDescent="0.35">
      <c r="A302" s="1">
        <v>301</v>
      </c>
      <c r="B302" s="1" t="s">
        <v>1478</v>
      </c>
      <c r="C302" s="1" t="s">
        <v>1479</v>
      </c>
      <c r="D302" s="1" t="s">
        <v>1480</v>
      </c>
      <c r="E302" t="s">
        <v>115</v>
      </c>
      <c r="F302" t="s">
        <v>1481</v>
      </c>
      <c r="G302" t="s">
        <v>81</v>
      </c>
      <c r="H302" t="s">
        <v>94</v>
      </c>
      <c r="I302" s="1" t="s">
        <v>28</v>
      </c>
      <c r="J302" t="s">
        <v>64</v>
      </c>
      <c r="K302" t="s">
        <v>65</v>
      </c>
      <c r="L302" s="1">
        <v>903588</v>
      </c>
      <c r="M302" s="1" t="s">
        <v>66</v>
      </c>
      <c r="N302" t="s">
        <v>1482</v>
      </c>
      <c r="O302" t="s">
        <v>32</v>
      </c>
      <c r="P302" t="s">
        <v>33</v>
      </c>
      <c r="Q302" t="s">
        <v>34</v>
      </c>
      <c r="R302">
        <v>98158.36</v>
      </c>
      <c r="S302" s="25" t="e">
        <f>IF(Table1[[#This Row],[Sales]]=MIN(Table1[Sales]), Table1[[#This Row],[Sales]], NA())</f>
        <v>#N/A</v>
      </c>
      <c r="T302" s="25">
        <f>IF(AND(Table1[[#This Row],[Sales]]&lt;&gt;MIN(Table1[Sales]),Table1[[#This Row],[Sales]]&lt;&gt;MAX(Table1[Sales])), Table1[[#This Row],[Sales]], NA())</f>
        <v>98158.36</v>
      </c>
      <c r="U302" s="25" t="e">
        <f>IF(Table1[[#This Row],[Sales]]=MAX(Table1[Sales]), Table1[[#This Row],[Sales]], NA())</f>
        <v>#N/A</v>
      </c>
      <c r="V302">
        <v>2</v>
      </c>
      <c r="W302">
        <v>0.1</v>
      </c>
      <c r="X302">
        <v>5398.71</v>
      </c>
      <c r="Y302" s="3">
        <f>YEAR(Table1[[#This Row],[Order Date]])</f>
        <v>2022</v>
      </c>
      <c r="Z302" s="3" t="str">
        <f>TEXT(Table1[[#This Row],[Order Date]],"MMM")</f>
        <v>Aug</v>
      </c>
      <c r="AA302" s="3">
        <f>DAY(Table1[[#This Row],[Order Date]])</f>
        <v>16</v>
      </c>
    </row>
    <row r="303" spans="1:27" x14ac:dyDescent="0.35">
      <c r="A303" s="1">
        <v>302</v>
      </c>
      <c r="B303" s="1" t="s">
        <v>1483</v>
      </c>
      <c r="C303" s="1" t="s">
        <v>1484</v>
      </c>
      <c r="D303" s="1" t="s">
        <v>1485</v>
      </c>
      <c r="E303" t="s">
        <v>24</v>
      </c>
      <c r="F303" t="s">
        <v>1486</v>
      </c>
      <c r="G303" t="s">
        <v>87</v>
      </c>
      <c r="H303" t="s">
        <v>94</v>
      </c>
      <c r="I303" s="1" t="s">
        <v>28</v>
      </c>
      <c r="J303" t="s">
        <v>64</v>
      </c>
      <c r="K303" t="s">
        <v>65</v>
      </c>
      <c r="L303" s="1">
        <v>738630</v>
      </c>
      <c r="M303" s="1" t="s">
        <v>66</v>
      </c>
      <c r="N303" t="s">
        <v>1487</v>
      </c>
      <c r="O303" t="s">
        <v>32</v>
      </c>
      <c r="P303" t="s">
        <v>33</v>
      </c>
      <c r="Q303" t="s">
        <v>34</v>
      </c>
      <c r="R303">
        <v>2295.02</v>
      </c>
      <c r="S303" s="25" t="e">
        <f>IF(Table1[[#This Row],[Sales]]=MIN(Table1[Sales]), Table1[[#This Row],[Sales]], NA())</f>
        <v>#N/A</v>
      </c>
      <c r="T303" s="25">
        <f>IF(AND(Table1[[#This Row],[Sales]]&lt;&gt;MIN(Table1[Sales]),Table1[[#This Row],[Sales]]&lt;&gt;MAX(Table1[Sales])), Table1[[#This Row],[Sales]], NA())</f>
        <v>2295.02</v>
      </c>
      <c r="U303" s="25" t="e">
        <f>IF(Table1[[#This Row],[Sales]]=MAX(Table1[Sales]), Table1[[#This Row],[Sales]], NA())</f>
        <v>#N/A</v>
      </c>
      <c r="V303">
        <v>3</v>
      </c>
      <c r="W303">
        <v>0</v>
      </c>
      <c r="X303">
        <v>183.6</v>
      </c>
      <c r="Y303" s="3">
        <f>YEAR(Table1[[#This Row],[Order Date]])</f>
        <v>2024</v>
      </c>
      <c r="Z303" s="3" t="str">
        <f>TEXT(Table1[[#This Row],[Order Date]],"MMM")</f>
        <v>Jun</v>
      </c>
      <c r="AA303" s="3">
        <f>DAY(Table1[[#This Row],[Order Date]])</f>
        <v>30</v>
      </c>
    </row>
    <row r="304" spans="1:27" x14ac:dyDescent="0.35">
      <c r="A304" s="1">
        <v>303</v>
      </c>
      <c r="B304" s="1" t="s">
        <v>1488</v>
      </c>
      <c r="C304" s="1" t="s">
        <v>1489</v>
      </c>
      <c r="D304" s="1" t="s">
        <v>1490</v>
      </c>
      <c r="E304" t="s">
        <v>38</v>
      </c>
      <c r="F304" t="s">
        <v>1491</v>
      </c>
      <c r="G304" t="s">
        <v>188</v>
      </c>
      <c r="H304" t="s">
        <v>41</v>
      </c>
      <c r="I304" s="1" t="s">
        <v>28</v>
      </c>
      <c r="J304" t="s">
        <v>53</v>
      </c>
      <c r="K304" t="s">
        <v>54</v>
      </c>
      <c r="L304" s="1">
        <v>310671</v>
      </c>
      <c r="M304" s="1" t="s">
        <v>55</v>
      </c>
      <c r="N304" t="s">
        <v>1492</v>
      </c>
      <c r="O304" t="s">
        <v>32</v>
      </c>
      <c r="P304" t="s">
        <v>33</v>
      </c>
      <c r="Q304" t="s">
        <v>34</v>
      </c>
      <c r="R304">
        <v>65871.070000000007</v>
      </c>
      <c r="S304" s="25" t="e">
        <f>IF(Table1[[#This Row],[Sales]]=MIN(Table1[Sales]), Table1[[#This Row],[Sales]], NA())</f>
        <v>#N/A</v>
      </c>
      <c r="T304" s="25">
        <f>IF(AND(Table1[[#This Row],[Sales]]&lt;&gt;MIN(Table1[Sales]),Table1[[#This Row],[Sales]]&lt;&gt;MAX(Table1[Sales])), Table1[[#This Row],[Sales]], NA())</f>
        <v>65871.070000000007</v>
      </c>
      <c r="U304" s="25" t="e">
        <f>IF(Table1[[#This Row],[Sales]]=MAX(Table1[Sales]), Table1[[#This Row],[Sales]], NA())</f>
        <v>#N/A</v>
      </c>
      <c r="V304">
        <v>3</v>
      </c>
      <c r="W304">
        <v>0.2</v>
      </c>
      <c r="X304">
        <v>1976.13</v>
      </c>
      <c r="Y304" s="3">
        <f>YEAR(Table1[[#This Row],[Order Date]])</f>
        <v>2024</v>
      </c>
      <c r="Z304" s="3" t="str">
        <f>TEXT(Table1[[#This Row],[Order Date]],"MMM")</f>
        <v>Sep</v>
      </c>
      <c r="AA304" s="3">
        <f>DAY(Table1[[#This Row],[Order Date]])</f>
        <v>26</v>
      </c>
    </row>
    <row r="305" spans="1:27" x14ac:dyDescent="0.35">
      <c r="A305" s="1">
        <v>304</v>
      </c>
      <c r="B305" s="1" t="s">
        <v>1493</v>
      </c>
      <c r="C305" s="1" t="s">
        <v>784</v>
      </c>
      <c r="D305" s="1" t="s">
        <v>1494</v>
      </c>
      <c r="E305" t="s">
        <v>62</v>
      </c>
      <c r="F305" t="s">
        <v>1495</v>
      </c>
      <c r="G305" t="s">
        <v>40</v>
      </c>
      <c r="H305" t="s">
        <v>27</v>
      </c>
      <c r="I305" s="1" t="s">
        <v>28</v>
      </c>
      <c r="J305" t="s">
        <v>53</v>
      </c>
      <c r="K305" t="s">
        <v>54</v>
      </c>
      <c r="L305" s="1">
        <v>920824</v>
      </c>
      <c r="M305" s="1" t="s">
        <v>55</v>
      </c>
      <c r="N305" t="s">
        <v>1496</v>
      </c>
      <c r="O305" t="s">
        <v>46</v>
      </c>
      <c r="P305" t="s">
        <v>47</v>
      </c>
      <c r="Q305" t="s">
        <v>48</v>
      </c>
      <c r="R305">
        <v>50984.47</v>
      </c>
      <c r="S305" s="25" t="e">
        <f>IF(Table1[[#This Row],[Sales]]=MIN(Table1[Sales]), Table1[[#This Row],[Sales]], NA())</f>
        <v>#N/A</v>
      </c>
      <c r="T305" s="25">
        <f>IF(AND(Table1[[#This Row],[Sales]]&lt;&gt;MIN(Table1[Sales]),Table1[[#This Row],[Sales]]&lt;&gt;MAX(Table1[Sales])), Table1[[#This Row],[Sales]], NA())</f>
        <v>50984.47</v>
      </c>
      <c r="U305" s="25" t="e">
        <f>IF(Table1[[#This Row],[Sales]]=MAX(Table1[Sales]), Table1[[#This Row],[Sales]], NA())</f>
        <v>#N/A</v>
      </c>
      <c r="V305">
        <v>7</v>
      </c>
      <c r="W305">
        <v>0</v>
      </c>
      <c r="X305">
        <v>4078.76</v>
      </c>
      <c r="Y305" s="3">
        <f>YEAR(Table1[[#This Row],[Order Date]])</f>
        <v>2021</v>
      </c>
      <c r="Z305" s="3" t="str">
        <f>TEXT(Table1[[#This Row],[Order Date]],"MMM")</f>
        <v>Nov</v>
      </c>
      <c r="AA305" s="3">
        <f>DAY(Table1[[#This Row],[Order Date]])</f>
        <v>8</v>
      </c>
    </row>
    <row r="306" spans="1:27" x14ac:dyDescent="0.35">
      <c r="A306" s="1">
        <v>305</v>
      </c>
      <c r="B306" s="1" t="s">
        <v>1497</v>
      </c>
      <c r="C306" s="1" t="s">
        <v>1498</v>
      </c>
      <c r="D306" s="1" t="s">
        <v>1499</v>
      </c>
      <c r="E306" t="s">
        <v>38</v>
      </c>
      <c r="F306" t="s">
        <v>1500</v>
      </c>
      <c r="G306" t="s">
        <v>40</v>
      </c>
      <c r="H306" t="s">
        <v>94</v>
      </c>
      <c r="I306" s="1" t="s">
        <v>28</v>
      </c>
      <c r="J306" t="s">
        <v>64</v>
      </c>
      <c r="K306" t="s">
        <v>65</v>
      </c>
      <c r="L306" s="1">
        <v>701429</v>
      </c>
      <c r="M306" s="1" t="s">
        <v>66</v>
      </c>
      <c r="N306" t="s">
        <v>1501</v>
      </c>
      <c r="O306" t="s">
        <v>32</v>
      </c>
      <c r="P306" t="s">
        <v>33</v>
      </c>
      <c r="Q306" t="s">
        <v>34</v>
      </c>
      <c r="R306">
        <v>13749.88</v>
      </c>
      <c r="S306" s="25" t="e">
        <f>IF(Table1[[#This Row],[Sales]]=MIN(Table1[Sales]), Table1[[#This Row],[Sales]], NA())</f>
        <v>#N/A</v>
      </c>
      <c r="T306" s="25">
        <f>IF(AND(Table1[[#This Row],[Sales]]&lt;&gt;MIN(Table1[Sales]),Table1[[#This Row],[Sales]]&lt;&gt;MAX(Table1[Sales])), Table1[[#This Row],[Sales]], NA())</f>
        <v>13749.88</v>
      </c>
      <c r="U306" s="25" t="e">
        <f>IF(Table1[[#This Row],[Sales]]=MAX(Table1[Sales]), Table1[[#This Row],[Sales]], NA())</f>
        <v>#N/A</v>
      </c>
      <c r="V306">
        <v>9</v>
      </c>
      <c r="W306">
        <v>0.2</v>
      </c>
      <c r="X306">
        <v>412.5</v>
      </c>
      <c r="Y306" s="3">
        <f>YEAR(Table1[[#This Row],[Order Date]])</f>
        <v>2023</v>
      </c>
      <c r="Z306" s="3" t="str">
        <f>TEXT(Table1[[#This Row],[Order Date]],"MMM")</f>
        <v>Oct</v>
      </c>
      <c r="AA306" s="3">
        <f>DAY(Table1[[#This Row],[Order Date]])</f>
        <v>16</v>
      </c>
    </row>
    <row r="307" spans="1:27" x14ac:dyDescent="0.35">
      <c r="A307" s="1">
        <v>306</v>
      </c>
      <c r="B307" s="1" t="s">
        <v>1502</v>
      </c>
      <c r="C307" s="1" t="s">
        <v>1503</v>
      </c>
      <c r="D307" s="1" t="s">
        <v>1504</v>
      </c>
      <c r="E307" t="s">
        <v>62</v>
      </c>
      <c r="F307" t="s">
        <v>1505</v>
      </c>
      <c r="G307" t="s">
        <v>93</v>
      </c>
      <c r="H307" t="s">
        <v>94</v>
      </c>
      <c r="I307" s="1" t="s">
        <v>28</v>
      </c>
      <c r="J307" t="s">
        <v>53</v>
      </c>
      <c r="K307" t="s">
        <v>54</v>
      </c>
      <c r="L307" s="1">
        <v>697096</v>
      </c>
      <c r="M307" s="1" t="s">
        <v>55</v>
      </c>
      <c r="N307" t="s">
        <v>1506</v>
      </c>
      <c r="O307" t="s">
        <v>46</v>
      </c>
      <c r="P307" t="s">
        <v>57</v>
      </c>
      <c r="Q307" t="s">
        <v>58</v>
      </c>
      <c r="R307">
        <v>99579.99</v>
      </c>
      <c r="S307" s="25" t="e">
        <f>IF(Table1[[#This Row],[Sales]]=MIN(Table1[Sales]), Table1[[#This Row],[Sales]], NA())</f>
        <v>#N/A</v>
      </c>
      <c r="T307" s="25">
        <f>IF(AND(Table1[[#This Row],[Sales]]&lt;&gt;MIN(Table1[Sales]),Table1[[#This Row],[Sales]]&lt;&gt;MAX(Table1[Sales])), Table1[[#This Row],[Sales]], NA())</f>
        <v>99579.99</v>
      </c>
      <c r="U307" s="25" t="e">
        <f>IF(Table1[[#This Row],[Sales]]=MAX(Table1[Sales]), Table1[[#This Row],[Sales]], NA())</f>
        <v>#N/A</v>
      </c>
      <c r="V307">
        <v>2</v>
      </c>
      <c r="W307">
        <v>0.1</v>
      </c>
      <c r="X307">
        <v>5476.9</v>
      </c>
      <c r="Y307" s="3">
        <f>YEAR(Table1[[#This Row],[Order Date]])</f>
        <v>2022</v>
      </c>
      <c r="Z307" s="3" t="str">
        <f>TEXT(Table1[[#This Row],[Order Date]],"MMM")</f>
        <v>Aug</v>
      </c>
      <c r="AA307" s="3">
        <f>DAY(Table1[[#This Row],[Order Date]])</f>
        <v>27</v>
      </c>
    </row>
    <row r="308" spans="1:27" x14ac:dyDescent="0.35">
      <c r="A308" s="1">
        <v>307</v>
      </c>
      <c r="B308" s="1" t="s">
        <v>1507</v>
      </c>
      <c r="C308" s="1" t="s">
        <v>1508</v>
      </c>
      <c r="D308" s="1" t="s">
        <v>231</v>
      </c>
      <c r="E308" t="s">
        <v>62</v>
      </c>
      <c r="F308" t="s">
        <v>1509</v>
      </c>
      <c r="G308" t="s">
        <v>140</v>
      </c>
      <c r="H308" t="s">
        <v>27</v>
      </c>
      <c r="I308" s="1" t="s">
        <v>28</v>
      </c>
      <c r="J308" t="s">
        <v>128</v>
      </c>
      <c r="K308" t="s">
        <v>129</v>
      </c>
      <c r="L308" s="1">
        <v>331522</v>
      </c>
      <c r="M308" s="1" t="s">
        <v>66</v>
      </c>
      <c r="N308" t="s">
        <v>1510</v>
      </c>
      <c r="O308" t="s">
        <v>46</v>
      </c>
      <c r="P308" t="s">
        <v>47</v>
      </c>
      <c r="Q308" t="s">
        <v>48</v>
      </c>
      <c r="R308">
        <v>701.36</v>
      </c>
      <c r="S308" s="25" t="e">
        <f>IF(Table1[[#This Row],[Sales]]=MIN(Table1[Sales]), Table1[[#This Row],[Sales]], NA())</f>
        <v>#N/A</v>
      </c>
      <c r="T308" s="25">
        <f>IF(AND(Table1[[#This Row],[Sales]]&lt;&gt;MIN(Table1[Sales]),Table1[[#This Row],[Sales]]&lt;&gt;MAX(Table1[Sales])), Table1[[#This Row],[Sales]], NA())</f>
        <v>701.36</v>
      </c>
      <c r="U308" s="25" t="e">
        <f>IF(Table1[[#This Row],[Sales]]=MAX(Table1[Sales]), Table1[[#This Row],[Sales]], NA())</f>
        <v>#N/A</v>
      </c>
      <c r="V308">
        <v>3</v>
      </c>
      <c r="W308">
        <v>0.1</v>
      </c>
      <c r="X308">
        <v>38.57</v>
      </c>
      <c r="Y308" s="3">
        <f>YEAR(Table1[[#This Row],[Order Date]])</f>
        <v>2021</v>
      </c>
      <c r="Z308" s="3" t="str">
        <f>TEXT(Table1[[#This Row],[Order Date]],"MMM")</f>
        <v>Oct</v>
      </c>
      <c r="AA308" s="3">
        <f>DAY(Table1[[#This Row],[Order Date]])</f>
        <v>9</v>
      </c>
    </row>
    <row r="309" spans="1:27" x14ac:dyDescent="0.35">
      <c r="A309" s="1">
        <v>308</v>
      </c>
      <c r="B309" s="1" t="s">
        <v>1511</v>
      </c>
      <c r="C309" s="1" t="s">
        <v>1508</v>
      </c>
      <c r="D309" s="1" t="s">
        <v>1512</v>
      </c>
      <c r="E309" t="s">
        <v>38</v>
      </c>
      <c r="F309" t="s">
        <v>1513</v>
      </c>
      <c r="G309" t="s">
        <v>40</v>
      </c>
      <c r="H309" t="s">
        <v>27</v>
      </c>
      <c r="I309" s="1" t="s">
        <v>28</v>
      </c>
      <c r="J309" t="s">
        <v>128</v>
      </c>
      <c r="K309" t="s">
        <v>129</v>
      </c>
      <c r="L309" s="1">
        <v>617437</v>
      </c>
      <c r="M309" s="1" t="s">
        <v>66</v>
      </c>
      <c r="N309" t="s">
        <v>1514</v>
      </c>
      <c r="O309" t="s">
        <v>32</v>
      </c>
      <c r="P309" t="s">
        <v>33</v>
      </c>
      <c r="Q309" t="s">
        <v>34</v>
      </c>
      <c r="R309">
        <v>8390.73</v>
      </c>
      <c r="S309" s="25" t="e">
        <f>IF(Table1[[#This Row],[Sales]]=MIN(Table1[Sales]), Table1[[#This Row],[Sales]], NA())</f>
        <v>#N/A</v>
      </c>
      <c r="T309" s="25">
        <f>IF(AND(Table1[[#This Row],[Sales]]&lt;&gt;MIN(Table1[Sales]),Table1[[#This Row],[Sales]]&lt;&gt;MAX(Table1[Sales])), Table1[[#This Row],[Sales]], NA())</f>
        <v>8390.73</v>
      </c>
      <c r="U309" s="25" t="e">
        <f>IF(Table1[[#This Row],[Sales]]=MAX(Table1[Sales]), Table1[[#This Row],[Sales]], NA())</f>
        <v>#N/A</v>
      </c>
      <c r="V309">
        <v>7</v>
      </c>
      <c r="W309">
        <v>0.1</v>
      </c>
      <c r="X309">
        <v>461.49</v>
      </c>
      <c r="Y309" s="3">
        <f>YEAR(Table1[[#This Row],[Order Date]])</f>
        <v>2021</v>
      </c>
      <c r="Z309" s="3" t="str">
        <f>TEXT(Table1[[#This Row],[Order Date]],"MMM")</f>
        <v>Oct</v>
      </c>
      <c r="AA309" s="3">
        <f>DAY(Table1[[#This Row],[Order Date]])</f>
        <v>9</v>
      </c>
    </row>
    <row r="310" spans="1:27" x14ac:dyDescent="0.35">
      <c r="A310" s="1">
        <v>309</v>
      </c>
      <c r="B310" s="1" t="s">
        <v>1515</v>
      </c>
      <c r="C310" s="1" t="s">
        <v>866</v>
      </c>
      <c r="D310" s="1" t="s">
        <v>1516</v>
      </c>
      <c r="E310" t="s">
        <v>115</v>
      </c>
      <c r="F310" t="s">
        <v>1517</v>
      </c>
      <c r="G310" t="s">
        <v>140</v>
      </c>
      <c r="H310" t="s">
        <v>27</v>
      </c>
      <c r="I310" s="1" t="s">
        <v>28</v>
      </c>
      <c r="J310" t="s">
        <v>128</v>
      </c>
      <c r="K310" t="s">
        <v>129</v>
      </c>
      <c r="L310" s="1">
        <v>714378</v>
      </c>
      <c r="M310" s="1" t="s">
        <v>66</v>
      </c>
      <c r="N310" t="s">
        <v>1518</v>
      </c>
      <c r="O310" t="s">
        <v>68</v>
      </c>
      <c r="P310" t="s">
        <v>69</v>
      </c>
      <c r="Q310" t="s">
        <v>70</v>
      </c>
      <c r="R310">
        <v>19614.46</v>
      </c>
      <c r="S310" s="25" t="e">
        <f>IF(Table1[[#This Row],[Sales]]=MIN(Table1[Sales]), Table1[[#This Row],[Sales]], NA())</f>
        <v>#N/A</v>
      </c>
      <c r="T310" s="25">
        <f>IF(AND(Table1[[#This Row],[Sales]]&lt;&gt;MIN(Table1[Sales]),Table1[[#This Row],[Sales]]&lt;&gt;MAX(Table1[Sales])), Table1[[#This Row],[Sales]], NA())</f>
        <v>19614.46</v>
      </c>
      <c r="U310" s="25" t="e">
        <f>IF(Table1[[#This Row],[Sales]]=MAX(Table1[Sales]), Table1[[#This Row],[Sales]], NA())</f>
        <v>#N/A</v>
      </c>
      <c r="V310">
        <v>1</v>
      </c>
      <c r="W310">
        <v>0.1</v>
      </c>
      <c r="X310">
        <v>1078.8</v>
      </c>
      <c r="Y310" s="3">
        <f>YEAR(Table1[[#This Row],[Order Date]])</f>
        <v>2024</v>
      </c>
      <c r="Z310" s="3" t="str">
        <f>TEXT(Table1[[#This Row],[Order Date]],"MMM")</f>
        <v>Feb</v>
      </c>
      <c r="AA310" s="3">
        <f>DAY(Table1[[#This Row],[Order Date]])</f>
        <v>9</v>
      </c>
    </row>
    <row r="311" spans="1:27" x14ac:dyDescent="0.35">
      <c r="A311" s="1">
        <v>310</v>
      </c>
      <c r="B311" s="1" t="s">
        <v>1519</v>
      </c>
      <c r="C311" s="1" t="s">
        <v>1520</v>
      </c>
      <c r="D311" s="1" t="s">
        <v>1521</v>
      </c>
      <c r="E311" t="s">
        <v>38</v>
      </c>
      <c r="F311" t="s">
        <v>1522</v>
      </c>
      <c r="G311" t="s">
        <v>110</v>
      </c>
      <c r="H311" t="s">
        <v>27</v>
      </c>
      <c r="I311" s="1" t="s">
        <v>28</v>
      </c>
      <c r="J311" t="s">
        <v>64</v>
      </c>
      <c r="K311" t="s">
        <v>65</v>
      </c>
      <c r="L311" s="1">
        <v>203861</v>
      </c>
      <c r="M311" s="1" t="s">
        <v>66</v>
      </c>
      <c r="N311" t="s">
        <v>1523</v>
      </c>
      <c r="O311" t="s">
        <v>46</v>
      </c>
      <c r="P311" t="s">
        <v>57</v>
      </c>
      <c r="Q311" t="s">
        <v>58</v>
      </c>
      <c r="R311">
        <v>409.32</v>
      </c>
      <c r="S311" s="25" t="e">
        <f>IF(Table1[[#This Row],[Sales]]=MIN(Table1[Sales]), Table1[[#This Row],[Sales]], NA())</f>
        <v>#N/A</v>
      </c>
      <c r="T311" s="25">
        <f>IF(AND(Table1[[#This Row],[Sales]]&lt;&gt;MIN(Table1[Sales]),Table1[[#This Row],[Sales]]&lt;&gt;MAX(Table1[Sales])), Table1[[#This Row],[Sales]], NA())</f>
        <v>409.32</v>
      </c>
      <c r="U311" s="25" t="e">
        <f>IF(Table1[[#This Row],[Sales]]=MAX(Table1[Sales]), Table1[[#This Row],[Sales]], NA())</f>
        <v>#N/A</v>
      </c>
      <c r="V311">
        <v>10</v>
      </c>
      <c r="W311">
        <v>0.2</v>
      </c>
      <c r="X311">
        <v>12.28</v>
      </c>
      <c r="Y311" s="3">
        <f>YEAR(Table1[[#This Row],[Order Date]])</f>
        <v>2023</v>
      </c>
      <c r="Z311" s="3" t="str">
        <f>TEXT(Table1[[#This Row],[Order Date]],"MMM")</f>
        <v>Aug</v>
      </c>
      <c r="AA311" s="3">
        <f>DAY(Table1[[#This Row],[Order Date]])</f>
        <v>5</v>
      </c>
    </row>
    <row r="312" spans="1:27" x14ac:dyDescent="0.35">
      <c r="A312" s="1">
        <v>311</v>
      </c>
      <c r="B312" s="1" t="s">
        <v>1524</v>
      </c>
      <c r="C312" s="1" t="s">
        <v>1046</v>
      </c>
      <c r="D312" s="1" t="s">
        <v>1525</v>
      </c>
      <c r="E312" t="s">
        <v>62</v>
      </c>
      <c r="F312" t="s">
        <v>1526</v>
      </c>
      <c r="G312" t="s">
        <v>110</v>
      </c>
      <c r="H312" t="s">
        <v>27</v>
      </c>
      <c r="I312" s="1" t="s">
        <v>28</v>
      </c>
      <c r="J312" t="s">
        <v>53</v>
      </c>
      <c r="K312" t="s">
        <v>54</v>
      </c>
      <c r="L312" s="1">
        <v>233458</v>
      </c>
      <c r="M312" s="1" t="s">
        <v>55</v>
      </c>
      <c r="N312" t="s">
        <v>1527</v>
      </c>
      <c r="O312" t="s">
        <v>68</v>
      </c>
      <c r="P312" t="s">
        <v>69</v>
      </c>
      <c r="Q312" t="s">
        <v>70</v>
      </c>
      <c r="R312">
        <v>41452.78</v>
      </c>
      <c r="S312" s="25" t="e">
        <f>IF(Table1[[#This Row],[Sales]]=MIN(Table1[Sales]), Table1[[#This Row],[Sales]], NA())</f>
        <v>#N/A</v>
      </c>
      <c r="T312" s="25">
        <f>IF(AND(Table1[[#This Row],[Sales]]&lt;&gt;MIN(Table1[Sales]),Table1[[#This Row],[Sales]]&lt;&gt;MAX(Table1[Sales])), Table1[[#This Row],[Sales]], NA())</f>
        <v>41452.78</v>
      </c>
      <c r="U312" s="25" t="e">
        <f>IF(Table1[[#This Row],[Sales]]=MAX(Table1[Sales]), Table1[[#This Row],[Sales]], NA())</f>
        <v>#N/A</v>
      </c>
      <c r="V312">
        <v>1</v>
      </c>
      <c r="W312">
        <v>0.3</v>
      </c>
      <c r="X312">
        <v>207.26</v>
      </c>
      <c r="Y312" s="3">
        <f>YEAR(Table1[[#This Row],[Order Date]])</f>
        <v>2022</v>
      </c>
      <c r="Z312" s="3" t="str">
        <f>TEXT(Table1[[#This Row],[Order Date]],"MMM")</f>
        <v>May</v>
      </c>
      <c r="AA312" s="3">
        <f>DAY(Table1[[#This Row],[Order Date]])</f>
        <v>3</v>
      </c>
    </row>
    <row r="313" spans="1:27" x14ac:dyDescent="0.35">
      <c r="A313" s="1">
        <v>312</v>
      </c>
      <c r="B313" s="1" t="s">
        <v>1528</v>
      </c>
      <c r="C313" s="1" t="s">
        <v>1529</v>
      </c>
      <c r="D313" s="1" t="s">
        <v>1530</v>
      </c>
      <c r="E313" t="s">
        <v>115</v>
      </c>
      <c r="F313" t="s">
        <v>1531</v>
      </c>
      <c r="G313" t="s">
        <v>110</v>
      </c>
      <c r="H313" t="s">
        <v>41</v>
      </c>
      <c r="I313" s="1" t="s">
        <v>28</v>
      </c>
      <c r="J313" t="s">
        <v>29</v>
      </c>
      <c r="K313" t="s">
        <v>29</v>
      </c>
      <c r="L313" s="1">
        <v>740561</v>
      </c>
      <c r="M313" s="1" t="s">
        <v>30</v>
      </c>
      <c r="N313" t="s">
        <v>1532</v>
      </c>
      <c r="O313" t="s">
        <v>32</v>
      </c>
      <c r="P313" t="s">
        <v>33</v>
      </c>
      <c r="Q313" t="s">
        <v>34</v>
      </c>
      <c r="R313">
        <v>83056.52</v>
      </c>
      <c r="S313" s="25" t="e">
        <f>IF(Table1[[#This Row],[Sales]]=MIN(Table1[Sales]), Table1[[#This Row],[Sales]], NA())</f>
        <v>#N/A</v>
      </c>
      <c r="T313" s="25">
        <f>IF(AND(Table1[[#This Row],[Sales]]&lt;&gt;MIN(Table1[Sales]),Table1[[#This Row],[Sales]]&lt;&gt;MAX(Table1[Sales])), Table1[[#This Row],[Sales]], NA())</f>
        <v>83056.52</v>
      </c>
      <c r="U313" s="25" t="e">
        <f>IF(Table1[[#This Row],[Sales]]=MAX(Table1[Sales]), Table1[[#This Row],[Sales]], NA())</f>
        <v>#N/A</v>
      </c>
      <c r="V313">
        <v>9</v>
      </c>
      <c r="W313">
        <v>0.2</v>
      </c>
      <c r="X313">
        <v>2491.6999999999998</v>
      </c>
      <c r="Y313" s="3">
        <f>YEAR(Table1[[#This Row],[Order Date]])</f>
        <v>2024</v>
      </c>
      <c r="Z313" s="3" t="str">
        <f>TEXT(Table1[[#This Row],[Order Date]],"MMM")</f>
        <v>Oct</v>
      </c>
      <c r="AA313" s="3">
        <f>DAY(Table1[[#This Row],[Order Date]])</f>
        <v>14</v>
      </c>
    </row>
    <row r="314" spans="1:27" x14ac:dyDescent="0.35">
      <c r="A314" s="1">
        <v>313</v>
      </c>
      <c r="B314" s="1" t="s">
        <v>1533</v>
      </c>
      <c r="C314" s="1" t="s">
        <v>1534</v>
      </c>
      <c r="D314" s="1" t="s">
        <v>1535</v>
      </c>
      <c r="E314" t="s">
        <v>38</v>
      </c>
      <c r="F314" t="s">
        <v>1536</v>
      </c>
      <c r="G314" t="s">
        <v>93</v>
      </c>
      <c r="H314" t="s">
        <v>94</v>
      </c>
      <c r="I314" s="1" t="s">
        <v>28</v>
      </c>
      <c r="J314" t="s">
        <v>53</v>
      </c>
      <c r="K314" t="s">
        <v>54</v>
      </c>
      <c r="L314" s="1">
        <v>357895</v>
      </c>
      <c r="M314" s="1" t="s">
        <v>55</v>
      </c>
      <c r="N314" t="s">
        <v>1537</v>
      </c>
      <c r="O314" t="s">
        <v>46</v>
      </c>
      <c r="P314" t="s">
        <v>57</v>
      </c>
      <c r="Q314" t="s">
        <v>58</v>
      </c>
      <c r="R314">
        <v>56680.27</v>
      </c>
      <c r="S314" s="25" t="e">
        <f>IF(Table1[[#This Row],[Sales]]=MIN(Table1[Sales]), Table1[[#This Row],[Sales]], NA())</f>
        <v>#N/A</v>
      </c>
      <c r="T314" s="25">
        <f>IF(AND(Table1[[#This Row],[Sales]]&lt;&gt;MIN(Table1[Sales]),Table1[[#This Row],[Sales]]&lt;&gt;MAX(Table1[Sales])), Table1[[#This Row],[Sales]], NA())</f>
        <v>56680.27</v>
      </c>
      <c r="U314" s="25" t="e">
        <f>IF(Table1[[#This Row],[Sales]]=MAX(Table1[Sales]), Table1[[#This Row],[Sales]], NA())</f>
        <v>#N/A</v>
      </c>
      <c r="V314">
        <v>9</v>
      </c>
      <c r="W314">
        <v>0.3</v>
      </c>
      <c r="X314">
        <v>283.39999999999998</v>
      </c>
      <c r="Y314" s="3">
        <f>YEAR(Table1[[#This Row],[Order Date]])</f>
        <v>2021</v>
      </c>
      <c r="Z314" s="3" t="str">
        <f>TEXT(Table1[[#This Row],[Order Date]],"MMM")</f>
        <v>Jan</v>
      </c>
      <c r="AA314" s="3">
        <f>DAY(Table1[[#This Row],[Order Date]])</f>
        <v>21</v>
      </c>
    </row>
    <row r="315" spans="1:27" x14ac:dyDescent="0.35">
      <c r="A315" s="1">
        <v>314</v>
      </c>
      <c r="B315" s="1" t="s">
        <v>1538</v>
      </c>
      <c r="C315" s="1" t="s">
        <v>1037</v>
      </c>
      <c r="D315" s="1" t="s">
        <v>1539</v>
      </c>
      <c r="E315" t="s">
        <v>62</v>
      </c>
      <c r="F315" t="s">
        <v>1540</v>
      </c>
      <c r="G315" t="s">
        <v>122</v>
      </c>
      <c r="H315" t="s">
        <v>94</v>
      </c>
      <c r="I315" s="1" t="s">
        <v>28</v>
      </c>
      <c r="J315" t="s">
        <v>128</v>
      </c>
      <c r="K315" t="s">
        <v>129</v>
      </c>
      <c r="L315" s="1">
        <v>634799</v>
      </c>
      <c r="M315" s="1" t="s">
        <v>66</v>
      </c>
      <c r="N315" t="s">
        <v>1541</v>
      </c>
      <c r="O315" t="s">
        <v>46</v>
      </c>
      <c r="P315" t="s">
        <v>47</v>
      </c>
      <c r="Q315" t="s">
        <v>48</v>
      </c>
      <c r="R315">
        <v>5910</v>
      </c>
      <c r="S315" s="25" t="e">
        <f>IF(Table1[[#This Row],[Sales]]=MIN(Table1[Sales]), Table1[[#This Row],[Sales]], NA())</f>
        <v>#N/A</v>
      </c>
      <c r="T315" s="25">
        <f>IF(AND(Table1[[#This Row],[Sales]]&lt;&gt;MIN(Table1[Sales]),Table1[[#This Row],[Sales]]&lt;&gt;MAX(Table1[Sales])), Table1[[#This Row],[Sales]], NA())</f>
        <v>5910</v>
      </c>
      <c r="U315" s="25" t="e">
        <f>IF(Table1[[#This Row],[Sales]]=MAX(Table1[Sales]), Table1[[#This Row],[Sales]], NA())</f>
        <v>#N/A</v>
      </c>
      <c r="V315">
        <v>7</v>
      </c>
      <c r="W315">
        <v>0.3</v>
      </c>
      <c r="X315">
        <v>29.55</v>
      </c>
      <c r="Y315" s="3">
        <f>YEAR(Table1[[#This Row],[Order Date]])</f>
        <v>2022</v>
      </c>
      <c r="Z315" s="3" t="str">
        <f>TEXT(Table1[[#This Row],[Order Date]],"MMM")</f>
        <v>Apr</v>
      </c>
      <c r="AA315" s="3">
        <f>DAY(Table1[[#This Row],[Order Date]])</f>
        <v>5</v>
      </c>
    </row>
    <row r="316" spans="1:27" x14ac:dyDescent="0.35">
      <c r="A316" s="1">
        <v>315</v>
      </c>
      <c r="B316" s="1" t="s">
        <v>1542</v>
      </c>
      <c r="C316" s="1" t="s">
        <v>1543</v>
      </c>
      <c r="D316" s="1" t="s">
        <v>1544</v>
      </c>
      <c r="E316" t="s">
        <v>24</v>
      </c>
      <c r="F316" t="s">
        <v>1545</v>
      </c>
      <c r="G316" t="s">
        <v>81</v>
      </c>
      <c r="H316" t="s">
        <v>41</v>
      </c>
      <c r="I316" s="1" t="s">
        <v>28</v>
      </c>
      <c r="J316" t="s">
        <v>42</v>
      </c>
      <c r="K316" t="s">
        <v>43</v>
      </c>
      <c r="L316" s="1">
        <v>706377</v>
      </c>
      <c r="M316" s="1" t="s">
        <v>44</v>
      </c>
      <c r="N316" t="s">
        <v>1546</v>
      </c>
      <c r="O316" t="s">
        <v>46</v>
      </c>
      <c r="P316" t="s">
        <v>57</v>
      </c>
      <c r="Q316" t="s">
        <v>58</v>
      </c>
      <c r="R316">
        <v>69239.8</v>
      </c>
      <c r="S316" s="25" t="e">
        <f>IF(Table1[[#This Row],[Sales]]=MIN(Table1[Sales]), Table1[[#This Row],[Sales]], NA())</f>
        <v>#N/A</v>
      </c>
      <c r="T316" s="25">
        <f>IF(AND(Table1[[#This Row],[Sales]]&lt;&gt;MIN(Table1[Sales]),Table1[[#This Row],[Sales]]&lt;&gt;MAX(Table1[Sales])), Table1[[#This Row],[Sales]], NA())</f>
        <v>69239.8</v>
      </c>
      <c r="U316" s="25" t="e">
        <f>IF(Table1[[#This Row],[Sales]]=MAX(Table1[Sales]), Table1[[#This Row],[Sales]], NA())</f>
        <v>#N/A</v>
      </c>
      <c r="V316">
        <v>6</v>
      </c>
      <c r="W316">
        <v>0</v>
      </c>
      <c r="X316">
        <v>5539.18</v>
      </c>
      <c r="Y316" s="3">
        <f>YEAR(Table1[[#This Row],[Order Date]])</f>
        <v>2021</v>
      </c>
      <c r="Z316" s="3" t="str">
        <f>TEXT(Table1[[#This Row],[Order Date]],"MMM")</f>
        <v>Dec</v>
      </c>
      <c r="AA316" s="3">
        <f>DAY(Table1[[#This Row],[Order Date]])</f>
        <v>5</v>
      </c>
    </row>
    <row r="317" spans="1:27" x14ac:dyDescent="0.35">
      <c r="A317" s="1">
        <v>316</v>
      </c>
      <c r="B317" s="1" t="s">
        <v>1547</v>
      </c>
      <c r="C317" s="1" t="s">
        <v>707</v>
      </c>
      <c r="D317" s="1" t="s">
        <v>1009</v>
      </c>
      <c r="E317" t="s">
        <v>24</v>
      </c>
      <c r="F317" t="s">
        <v>1548</v>
      </c>
      <c r="G317" t="s">
        <v>75</v>
      </c>
      <c r="H317" t="s">
        <v>41</v>
      </c>
      <c r="I317" s="1" t="s">
        <v>28</v>
      </c>
      <c r="J317" t="s">
        <v>64</v>
      </c>
      <c r="K317" t="s">
        <v>65</v>
      </c>
      <c r="L317" s="1">
        <v>683993</v>
      </c>
      <c r="M317" s="1" t="s">
        <v>66</v>
      </c>
      <c r="N317" t="s">
        <v>1549</v>
      </c>
      <c r="O317" t="s">
        <v>32</v>
      </c>
      <c r="P317" t="s">
        <v>33</v>
      </c>
      <c r="Q317" t="s">
        <v>34</v>
      </c>
      <c r="R317">
        <v>4935.59</v>
      </c>
      <c r="S317" s="25" t="e">
        <f>IF(Table1[[#This Row],[Sales]]=MIN(Table1[Sales]), Table1[[#This Row],[Sales]], NA())</f>
        <v>#N/A</v>
      </c>
      <c r="T317" s="25">
        <f>IF(AND(Table1[[#This Row],[Sales]]&lt;&gt;MIN(Table1[Sales]),Table1[[#This Row],[Sales]]&lt;&gt;MAX(Table1[Sales])), Table1[[#This Row],[Sales]], NA())</f>
        <v>4935.59</v>
      </c>
      <c r="U317" s="25" t="e">
        <f>IF(Table1[[#This Row],[Sales]]=MAX(Table1[Sales]), Table1[[#This Row],[Sales]], NA())</f>
        <v>#N/A</v>
      </c>
      <c r="V317">
        <v>4</v>
      </c>
      <c r="W317">
        <v>0.1</v>
      </c>
      <c r="X317">
        <v>271.45999999999998</v>
      </c>
      <c r="Y317" s="3">
        <f>YEAR(Table1[[#This Row],[Order Date]])</f>
        <v>2025</v>
      </c>
      <c r="Z317" s="3" t="str">
        <f>TEXT(Table1[[#This Row],[Order Date]],"MMM")</f>
        <v>Aug</v>
      </c>
      <c r="AA317" s="3">
        <f>DAY(Table1[[#This Row],[Order Date]])</f>
        <v>21</v>
      </c>
    </row>
    <row r="318" spans="1:27" x14ac:dyDescent="0.35">
      <c r="A318" s="1">
        <v>317</v>
      </c>
      <c r="B318" s="1" t="s">
        <v>1550</v>
      </c>
      <c r="C318" s="1" t="s">
        <v>1551</v>
      </c>
      <c r="D318" s="1" t="s">
        <v>1552</v>
      </c>
      <c r="E318" t="s">
        <v>38</v>
      </c>
      <c r="F318" t="s">
        <v>1553</v>
      </c>
      <c r="G318" t="s">
        <v>188</v>
      </c>
      <c r="H318" t="s">
        <v>94</v>
      </c>
      <c r="I318" s="1" t="s">
        <v>28</v>
      </c>
      <c r="J318" t="s">
        <v>29</v>
      </c>
      <c r="K318" t="s">
        <v>29</v>
      </c>
      <c r="L318" s="1">
        <v>621571</v>
      </c>
      <c r="M318" s="1" t="s">
        <v>30</v>
      </c>
      <c r="N318" t="s">
        <v>1554</v>
      </c>
      <c r="O318" t="s">
        <v>46</v>
      </c>
      <c r="P318" t="s">
        <v>57</v>
      </c>
      <c r="Q318" t="s">
        <v>58</v>
      </c>
      <c r="R318">
        <v>69621.820000000007</v>
      </c>
      <c r="S318" s="25" t="e">
        <f>IF(Table1[[#This Row],[Sales]]=MIN(Table1[Sales]), Table1[[#This Row],[Sales]], NA())</f>
        <v>#N/A</v>
      </c>
      <c r="T318" s="25">
        <f>IF(AND(Table1[[#This Row],[Sales]]&lt;&gt;MIN(Table1[Sales]),Table1[[#This Row],[Sales]]&lt;&gt;MAX(Table1[Sales])), Table1[[#This Row],[Sales]], NA())</f>
        <v>69621.820000000007</v>
      </c>
      <c r="U318" s="25" t="e">
        <f>IF(Table1[[#This Row],[Sales]]=MAX(Table1[Sales]), Table1[[#This Row],[Sales]], NA())</f>
        <v>#N/A</v>
      </c>
      <c r="V318">
        <v>3</v>
      </c>
      <c r="W318">
        <v>0</v>
      </c>
      <c r="X318">
        <v>5569.75</v>
      </c>
      <c r="Y318" s="3">
        <f>YEAR(Table1[[#This Row],[Order Date]])</f>
        <v>2023</v>
      </c>
      <c r="Z318" s="3" t="str">
        <f>TEXT(Table1[[#This Row],[Order Date]],"MMM")</f>
        <v>Jan</v>
      </c>
      <c r="AA318" s="3">
        <f>DAY(Table1[[#This Row],[Order Date]])</f>
        <v>23</v>
      </c>
    </row>
    <row r="319" spans="1:27" x14ac:dyDescent="0.35">
      <c r="A319" s="1">
        <v>318</v>
      </c>
      <c r="B319" s="1" t="s">
        <v>1555</v>
      </c>
      <c r="C319" s="1" t="s">
        <v>1210</v>
      </c>
      <c r="D319" s="1" t="s">
        <v>1556</v>
      </c>
      <c r="E319" t="s">
        <v>115</v>
      </c>
      <c r="F319" t="s">
        <v>1557</v>
      </c>
      <c r="G319" t="s">
        <v>188</v>
      </c>
      <c r="H319" t="s">
        <v>27</v>
      </c>
      <c r="I319" s="1" t="s">
        <v>28</v>
      </c>
      <c r="J319" t="s">
        <v>128</v>
      </c>
      <c r="K319" t="s">
        <v>129</v>
      </c>
      <c r="L319" s="1">
        <v>771280</v>
      </c>
      <c r="M319" s="1" t="s">
        <v>66</v>
      </c>
      <c r="N319" t="s">
        <v>1558</v>
      </c>
      <c r="O319" t="s">
        <v>68</v>
      </c>
      <c r="P319" t="s">
        <v>69</v>
      </c>
      <c r="Q319" t="s">
        <v>70</v>
      </c>
      <c r="R319">
        <v>92114.63</v>
      </c>
      <c r="S319" s="25" t="e">
        <f>IF(Table1[[#This Row],[Sales]]=MIN(Table1[Sales]), Table1[[#This Row],[Sales]], NA())</f>
        <v>#N/A</v>
      </c>
      <c r="T319" s="25">
        <f>IF(AND(Table1[[#This Row],[Sales]]&lt;&gt;MIN(Table1[Sales]),Table1[[#This Row],[Sales]]&lt;&gt;MAX(Table1[Sales])), Table1[[#This Row],[Sales]], NA())</f>
        <v>92114.63</v>
      </c>
      <c r="U319" s="25" t="e">
        <f>IF(Table1[[#This Row],[Sales]]=MAX(Table1[Sales]), Table1[[#This Row],[Sales]], NA())</f>
        <v>#N/A</v>
      </c>
      <c r="V319">
        <v>5</v>
      </c>
      <c r="W319">
        <v>0.3</v>
      </c>
      <c r="X319">
        <v>460.57</v>
      </c>
      <c r="Y319" s="3">
        <f>YEAR(Table1[[#This Row],[Order Date]])</f>
        <v>2021</v>
      </c>
      <c r="Z319" s="3" t="str">
        <f>TEXT(Table1[[#This Row],[Order Date]],"MMM")</f>
        <v>Jan</v>
      </c>
      <c r="AA319" s="3">
        <f>DAY(Table1[[#This Row],[Order Date]])</f>
        <v>18</v>
      </c>
    </row>
    <row r="320" spans="1:27" x14ac:dyDescent="0.35">
      <c r="A320" s="1">
        <v>319</v>
      </c>
      <c r="B320" s="1" t="s">
        <v>1559</v>
      </c>
      <c r="C320" s="1" t="s">
        <v>1560</v>
      </c>
      <c r="D320" s="1" t="s">
        <v>1561</v>
      </c>
      <c r="E320" t="s">
        <v>62</v>
      </c>
      <c r="F320" t="s">
        <v>1562</v>
      </c>
      <c r="G320" t="s">
        <v>110</v>
      </c>
      <c r="H320" t="s">
        <v>27</v>
      </c>
      <c r="I320" s="1" t="s">
        <v>28</v>
      </c>
      <c r="J320" t="s">
        <v>53</v>
      </c>
      <c r="K320" t="s">
        <v>54</v>
      </c>
      <c r="L320" s="1">
        <v>641781</v>
      </c>
      <c r="M320" s="1" t="s">
        <v>55</v>
      </c>
      <c r="N320" t="s">
        <v>1563</v>
      </c>
      <c r="O320" t="s">
        <v>46</v>
      </c>
      <c r="P320" t="s">
        <v>47</v>
      </c>
      <c r="Q320" t="s">
        <v>48</v>
      </c>
      <c r="R320">
        <v>71209.22</v>
      </c>
      <c r="S320" s="25" t="e">
        <f>IF(Table1[[#This Row],[Sales]]=MIN(Table1[Sales]), Table1[[#This Row],[Sales]], NA())</f>
        <v>#N/A</v>
      </c>
      <c r="T320" s="25">
        <f>IF(AND(Table1[[#This Row],[Sales]]&lt;&gt;MIN(Table1[Sales]),Table1[[#This Row],[Sales]]&lt;&gt;MAX(Table1[Sales])), Table1[[#This Row],[Sales]], NA())</f>
        <v>71209.22</v>
      </c>
      <c r="U320" s="25" t="e">
        <f>IF(Table1[[#This Row],[Sales]]=MAX(Table1[Sales]), Table1[[#This Row],[Sales]], NA())</f>
        <v>#N/A</v>
      </c>
      <c r="V320">
        <v>8</v>
      </c>
      <c r="W320">
        <v>0.3</v>
      </c>
      <c r="X320">
        <v>356.05</v>
      </c>
      <c r="Y320" s="3">
        <f>YEAR(Table1[[#This Row],[Order Date]])</f>
        <v>2024</v>
      </c>
      <c r="Z320" s="3" t="str">
        <f>TEXT(Table1[[#This Row],[Order Date]],"MMM")</f>
        <v>Jul</v>
      </c>
      <c r="AA320" s="3">
        <f>DAY(Table1[[#This Row],[Order Date]])</f>
        <v>27</v>
      </c>
    </row>
    <row r="321" spans="1:27" x14ac:dyDescent="0.35">
      <c r="A321" s="1">
        <v>320</v>
      </c>
      <c r="B321" s="1" t="s">
        <v>1564</v>
      </c>
      <c r="C321" s="1" t="s">
        <v>1565</v>
      </c>
      <c r="D321" s="1" t="s">
        <v>1504</v>
      </c>
      <c r="E321" t="s">
        <v>38</v>
      </c>
      <c r="F321" t="s">
        <v>1566</v>
      </c>
      <c r="G321" t="s">
        <v>26</v>
      </c>
      <c r="H321" t="s">
        <v>94</v>
      </c>
      <c r="I321" s="1" t="s">
        <v>28</v>
      </c>
      <c r="J321" t="s">
        <v>64</v>
      </c>
      <c r="K321" t="s">
        <v>65</v>
      </c>
      <c r="L321" s="1">
        <v>910019</v>
      </c>
      <c r="M321" s="1" t="s">
        <v>66</v>
      </c>
      <c r="N321" t="s">
        <v>1567</v>
      </c>
      <c r="O321" t="s">
        <v>68</v>
      </c>
      <c r="P321" t="s">
        <v>69</v>
      </c>
      <c r="Q321" t="s">
        <v>70</v>
      </c>
      <c r="R321">
        <v>59778.26</v>
      </c>
      <c r="S321" s="25" t="e">
        <f>IF(Table1[[#This Row],[Sales]]=MIN(Table1[Sales]), Table1[[#This Row],[Sales]], NA())</f>
        <v>#N/A</v>
      </c>
      <c r="T321" s="25">
        <f>IF(AND(Table1[[#This Row],[Sales]]&lt;&gt;MIN(Table1[Sales]),Table1[[#This Row],[Sales]]&lt;&gt;MAX(Table1[Sales])), Table1[[#This Row],[Sales]], NA())</f>
        <v>59778.26</v>
      </c>
      <c r="U321" s="25" t="e">
        <f>IF(Table1[[#This Row],[Sales]]=MAX(Table1[Sales]), Table1[[#This Row],[Sales]], NA())</f>
        <v>#N/A</v>
      </c>
      <c r="V321">
        <v>9</v>
      </c>
      <c r="W321">
        <v>0.2</v>
      </c>
      <c r="X321">
        <v>1793.35</v>
      </c>
      <c r="Y321" s="3">
        <f>YEAR(Table1[[#This Row],[Order Date]])</f>
        <v>2022</v>
      </c>
      <c r="Z321" s="3" t="str">
        <f>TEXT(Table1[[#This Row],[Order Date]],"MMM")</f>
        <v>Aug</v>
      </c>
      <c r="AA321" s="3">
        <f>DAY(Table1[[#This Row],[Order Date]])</f>
        <v>28</v>
      </c>
    </row>
    <row r="322" spans="1:27" x14ac:dyDescent="0.35">
      <c r="A322" s="1">
        <v>321</v>
      </c>
      <c r="B322" s="1" t="s">
        <v>1568</v>
      </c>
      <c r="C322" s="1" t="s">
        <v>1569</v>
      </c>
      <c r="D322" s="1" t="s">
        <v>1570</v>
      </c>
      <c r="E322" t="s">
        <v>24</v>
      </c>
      <c r="F322" t="s">
        <v>1571</v>
      </c>
      <c r="G322" t="s">
        <v>122</v>
      </c>
      <c r="H322" t="s">
        <v>41</v>
      </c>
      <c r="I322" s="1" t="s">
        <v>28</v>
      </c>
      <c r="J322" t="s">
        <v>53</v>
      </c>
      <c r="K322" t="s">
        <v>54</v>
      </c>
      <c r="L322" s="1">
        <v>240795</v>
      </c>
      <c r="M322" s="1" t="s">
        <v>55</v>
      </c>
      <c r="N322" t="s">
        <v>1572</v>
      </c>
      <c r="O322" t="s">
        <v>46</v>
      </c>
      <c r="P322" t="s">
        <v>57</v>
      </c>
      <c r="Q322" t="s">
        <v>58</v>
      </c>
      <c r="R322">
        <v>14667.34</v>
      </c>
      <c r="S322" s="25" t="e">
        <f>IF(Table1[[#This Row],[Sales]]=MIN(Table1[Sales]), Table1[[#This Row],[Sales]], NA())</f>
        <v>#N/A</v>
      </c>
      <c r="T322" s="25">
        <f>IF(AND(Table1[[#This Row],[Sales]]&lt;&gt;MIN(Table1[Sales]),Table1[[#This Row],[Sales]]&lt;&gt;MAX(Table1[Sales])), Table1[[#This Row],[Sales]], NA())</f>
        <v>14667.34</v>
      </c>
      <c r="U322" s="25" t="e">
        <f>IF(Table1[[#This Row],[Sales]]=MAX(Table1[Sales]), Table1[[#This Row],[Sales]], NA())</f>
        <v>#N/A</v>
      </c>
      <c r="V322">
        <v>4</v>
      </c>
      <c r="W322">
        <v>0</v>
      </c>
      <c r="X322">
        <v>1173.3900000000001</v>
      </c>
      <c r="Y322" s="3">
        <f>YEAR(Table1[[#This Row],[Order Date]])</f>
        <v>2021</v>
      </c>
      <c r="Z322" s="3" t="str">
        <f>TEXT(Table1[[#This Row],[Order Date]],"MMM")</f>
        <v>Jan</v>
      </c>
      <c r="AA322" s="3">
        <f>DAY(Table1[[#This Row],[Order Date]])</f>
        <v>15</v>
      </c>
    </row>
    <row r="323" spans="1:27" x14ac:dyDescent="0.35">
      <c r="A323" s="1">
        <v>322</v>
      </c>
      <c r="B323" s="1" t="s">
        <v>1573</v>
      </c>
      <c r="C323" s="1" t="s">
        <v>1574</v>
      </c>
      <c r="D323" s="1" t="s">
        <v>1575</v>
      </c>
      <c r="E323" t="s">
        <v>115</v>
      </c>
      <c r="F323" t="s">
        <v>1576</v>
      </c>
      <c r="G323" t="s">
        <v>188</v>
      </c>
      <c r="H323" t="s">
        <v>41</v>
      </c>
      <c r="I323" s="1" t="s">
        <v>28</v>
      </c>
      <c r="J323" t="s">
        <v>29</v>
      </c>
      <c r="K323" t="s">
        <v>29</v>
      </c>
      <c r="L323" s="1">
        <v>434509</v>
      </c>
      <c r="M323" s="1" t="s">
        <v>30</v>
      </c>
      <c r="N323" t="s">
        <v>1577</v>
      </c>
      <c r="O323" t="s">
        <v>68</v>
      </c>
      <c r="P323" t="s">
        <v>69</v>
      </c>
      <c r="Q323" t="s">
        <v>70</v>
      </c>
      <c r="R323">
        <v>12794.24</v>
      </c>
      <c r="S323" s="25" t="e">
        <f>IF(Table1[[#This Row],[Sales]]=MIN(Table1[Sales]), Table1[[#This Row],[Sales]], NA())</f>
        <v>#N/A</v>
      </c>
      <c r="T323" s="25">
        <f>IF(AND(Table1[[#This Row],[Sales]]&lt;&gt;MIN(Table1[Sales]),Table1[[#This Row],[Sales]]&lt;&gt;MAX(Table1[Sales])), Table1[[#This Row],[Sales]], NA())</f>
        <v>12794.24</v>
      </c>
      <c r="U323" s="25" t="e">
        <f>IF(Table1[[#This Row],[Sales]]=MAX(Table1[Sales]), Table1[[#This Row],[Sales]], NA())</f>
        <v>#N/A</v>
      </c>
      <c r="V323">
        <v>6</v>
      </c>
      <c r="W323">
        <v>0.3</v>
      </c>
      <c r="X323">
        <v>63.97</v>
      </c>
      <c r="Y323" s="3">
        <f>YEAR(Table1[[#This Row],[Order Date]])</f>
        <v>2021</v>
      </c>
      <c r="Z323" s="3" t="str">
        <f>TEXT(Table1[[#This Row],[Order Date]],"MMM")</f>
        <v>Jan</v>
      </c>
      <c r="AA323" s="3">
        <f>DAY(Table1[[#This Row],[Order Date]])</f>
        <v>7</v>
      </c>
    </row>
    <row r="324" spans="1:27" x14ac:dyDescent="0.35">
      <c r="A324" s="1">
        <v>323</v>
      </c>
      <c r="B324" s="1" t="s">
        <v>1578</v>
      </c>
      <c r="C324" s="1" t="s">
        <v>1579</v>
      </c>
      <c r="D324" s="1" t="s">
        <v>779</v>
      </c>
      <c r="E324" t="s">
        <v>62</v>
      </c>
      <c r="F324" t="s">
        <v>1580</v>
      </c>
      <c r="G324" t="s">
        <v>93</v>
      </c>
      <c r="H324" t="s">
        <v>41</v>
      </c>
      <c r="I324" s="1" t="s">
        <v>28</v>
      </c>
      <c r="J324" t="s">
        <v>29</v>
      </c>
      <c r="K324" t="s">
        <v>29</v>
      </c>
      <c r="L324" s="1">
        <v>939125</v>
      </c>
      <c r="M324" s="1" t="s">
        <v>30</v>
      </c>
      <c r="N324" t="s">
        <v>1581</v>
      </c>
      <c r="O324" t="s">
        <v>68</v>
      </c>
      <c r="P324" t="s">
        <v>69</v>
      </c>
      <c r="Q324" t="s">
        <v>70</v>
      </c>
      <c r="R324">
        <v>72423.05</v>
      </c>
      <c r="S324" s="25" t="e">
        <f>IF(Table1[[#This Row],[Sales]]=MIN(Table1[Sales]), Table1[[#This Row],[Sales]], NA())</f>
        <v>#N/A</v>
      </c>
      <c r="T324" s="25">
        <f>IF(AND(Table1[[#This Row],[Sales]]&lt;&gt;MIN(Table1[Sales]),Table1[[#This Row],[Sales]]&lt;&gt;MAX(Table1[Sales])), Table1[[#This Row],[Sales]], NA())</f>
        <v>72423.05</v>
      </c>
      <c r="U324" s="25" t="e">
        <f>IF(Table1[[#This Row],[Sales]]=MAX(Table1[Sales]), Table1[[#This Row],[Sales]], NA())</f>
        <v>#N/A</v>
      </c>
      <c r="V324">
        <v>4</v>
      </c>
      <c r="W324">
        <v>0.1</v>
      </c>
      <c r="X324">
        <v>3983.27</v>
      </c>
      <c r="Y324" s="3">
        <f>YEAR(Table1[[#This Row],[Order Date]])</f>
        <v>2021</v>
      </c>
      <c r="Z324" s="3" t="str">
        <f>TEXT(Table1[[#This Row],[Order Date]],"MMM")</f>
        <v>Mar</v>
      </c>
      <c r="AA324" s="3">
        <f>DAY(Table1[[#This Row],[Order Date]])</f>
        <v>18</v>
      </c>
    </row>
    <row r="325" spans="1:27" x14ac:dyDescent="0.35">
      <c r="A325" s="1">
        <v>324</v>
      </c>
      <c r="B325" s="1" t="s">
        <v>1582</v>
      </c>
      <c r="C325" s="1" t="s">
        <v>1583</v>
      </c>
      <c r="D325" s="1" t="s">
        <v>1485</v>
      </c>
      <c r="E325" t="s">
        <v>24</v>
      </c>
      <c r="F325" t="s">
        <v>1584</v>
      </c>
      <c r="G325" t="s">
        <v>110</v>
      </c>
      <c r="H325" t="s">
        <v>94</v>
      </c>
      <c r="I325" s="1" t="s">
        <v>28</v>
      </c>
      <c r="J325" t="s">
        <v>29</v>
      </c>
      <c r="K325" t="s">
        <v>29</v>
      </c>
      <c r="L325" s="1">
        <v>999046</v>
      </c>
      <c r="M325" s="1" t="s">
        <v>30</v>
      </c>
      <c r="N325" t="s">
        <v>1585</v>
      </c>
      <c r="O325" t="s">
        <v>68</v>
      </c>
      <c r="P325" t="s">
        <v>69</v>
      </c>
      <c r="Q325" t="s">
        <v>70</v>
      </c>
      <c r="R325">
        <v>54633.54</v>
      </c>
      <c r="S325" s="25" t="e">
        <f>IF(Table1[[#This Row],[Sales]]=MIN(Table1[Sales]), Table1[[#This Row],[Sales]], NA())</f>
        <v>#N/A</v>
      </c>
      <c r="T325" s="25">
        <f>IF(AND(Table1[[#This Row],[Sales]]&lt;&gt;MIN(Table1[Sales]),Table1[[#This Row],[Sales]]&lt;&gt;MAX(Table1[Sales])), Table1[[#This Row],[Sales]], NA())</f>
        <v>54633.54</v>
      </c>
      <c r="U325" s="25" t="e">
        <f>IF(Table1[[#This Row],[Sales]]=MAX(Table1[Sales]), Table1[[#This Row],[Sales]], NA())</f>
        <v>#N/A</v>
      </c>
      <c r="V325">
        <v>2</v>
      </c>
      <c r="W325">
        <v>0.1</v>
      </c>
      <c r="X325">
        <v>3004.84</v>
      </c>
      <c r="Y325" s="3">
        <f>YEAR(Table1[[#This Row],[Order Date]])</f>
        <v>2024</v>
      </c>
      <c r="Z325" s="3" t="str">
        <f>TEXT(Table1[[#This Row],[Order Date]],"MMM")</f>
        <v>Jul</v>
      </c>
      <c r="AA325" s="3">
        <f>DAY(Table1[[#This Row],[Order Date]])</f>
        <v>3</v>
      </c>
    </row>
    <row r="326" spans="1:27" x14ac:dyDescent="0.35">
      <c r="A326" s="1">
        <v>325</v>
      </c>
      <c r="B326" s="1" t="s">
        <v>1586</v>
      </c>
      <c r="C326" s="1" t="s">
        <v>1587</v>
      </c>
      <c r="D326" s="1" t="s">
        <v>1588</v>
      </c>
      <c r="E326" t="s">
        <v>115</v>
      </c>
      <c r="F326" t="s">
        <v>1589</v>
      </c>
      <c r="G326" t="s">
        <v>188</v>
      </c>
      <c r="H326" t="s">
        <v>41</v>
      </c>
      <c r="I326" s="1" t="s">
        <v>28</v>
      </c>
      <c r="J326" t="s">
        <v>42</v>
      </c>
      <c r="K326" t="s">
        <v>43</v>
      </c>
      <c r="L326" s="1">
        <v>186068</v>
      </c>
      <c r="M326" s="1" t="s">
        <v>44</v>
      </c>
      <c r="N326" t="s">
        <v>1590</v>
      </c>
      <c r="O326" t="s">
        <v>68</v>
      </c>
      <c r="P326" t="s">
        <v>69</v>
      </c>
      <c r="Q326" t="s">
        <v>70</v>
      </c>
      <c r="R326">
        <v>50471.42</v>
      </c>
      <c r="S326" s="25" t="e">
        <f>IF(Table1[[#This Row],[Sales]]=MIN(Table1[Sales]), Table1[[#This Row],[Sales]], NA())</f>
        <v>#N/A</v>
      </c>
      <c r="T326" s="25">
        <f>IF(AND(Table1[[#This Row],[Sales]]&lt;&gt;MIN(Table1[Sales]),Table1[[#This Row],[Sales]]&lt;&gt;MAX(Table1[Sales])), Table1[[#This Row],[Sales]], NA())</f>
        <v>50471.42</v>
      </c>
      <c r="U326" s="25" t="e">
        <f>IF(Table1[[#This Row],[Sales]]=MAX(Table1[Sales]), Table1[[#This Row],[Sales]], NA())</f>
        <v>#N/A</v>
      </c>
      <c r="V326">
        <v>4</v>
      </c>
      <c r="W326">
        <v>0</v>
      </c>
      <c r="X326">
        <v>4037.71</v>
      </c>
      <c r="Y326" s="3">
        <f>YEAR(Table1[[#This Row],[Order Date]])</f>
        <v>2025</v>
      </c>
      <c r="Z326" s="3" t="str">
        <f>TEXT(Table1[[#This Row],[Order Date]],"MMM")</f>
        <v>Apr</v>
      </c>
      <c r="AA326" s="3">
        <f>DAY(Table1[[#This Row],[Order Date]])</f>
        <v>10</v>
      </c>
    </row>
    <row r="327" spans="1:27" x14ac:dyDescent="0.35">
      <c r="A327" s="1">
        <v>326</v>
      </c>
      <c r="B327" s="1" t="s">
        <v>1591</v>
      </c>
      <c r="C327" s="1" t="s">
        <v>1592</v>
      </c>
      <c r="D327" s="1" t="s">
        <v>373</v>
      </c>
      <c r="E327" t="s">
        <v>24</v>
      </c>
      <c r="F327" t="s">
        <v>1593</v>
      </c>
      <c r="G327" t="s">
        <v>26</v>
      </c>
      <c r="H327" t="s">
        <v>41</v>
      </c>
      <c r="I327" s="1" t="s">
        <v>28</v>
      </c>
      <c r="J327" t="s">
        <v>64</v>
      </c>
      <c r="K327" t="s">
        <v>65</v>
      </c>
      <c r="L327" s="1">
        <v>234638</v>
      </c>
      <c r="M327" s="1" t="s">
        <v>66</v>
      </c>
      <c r="N327" t="s">
        <v>1594</v>
      </c>
      <c r="O327" t="s">
        <v>46</v>
      </c>
      <c r="P327" t="s">
        <v>47</v>
      </c>
      <c r="Q327" t="s">
        <v>48</v>
      </c>
      <c r="R327">
        <v>22152.83</v>
      </c>
      <c r="S327" s="25" t="e">
        <f>IF(Table1[[#This Row],[Sales]]=MIN(Table1[Sales]), Table1[[#This Row],[Sales]], NA())</f>
        <v>#N/A</v>
      </c>
      <c r="T327" s="25">
        <f>IF(AND(Table1[[#This Row],[Sales]]&lt;&gt;MIN(Table1[Sales]),Table1[[#This Row],[Sales]]&lt;&gt;MAX(Table1[Sales])), Table1[[#This Row],[Sales]], NA())</f>
        <v>22152.83</v>
      </c>
      <c r="U327" s="25" t="e">
        <f>IF(Table1[[#This Row],[Sales]]=MAX(Table1[Sales]), Table1[[#This Row],[Sales]], NA())</f>
        <v>#N/A</v>
      </c>
      <c r="V327">
        <v>2</v>
      </c>
      <c r="W327">
        <v>0</v>
      </c>
      <c r="X327">
        <v>1772.23</v>
      </c>
      <c r="Y327" s="3">
        <f>YEAR(Table1[[#This Row],[Order Date]])</f>
        <v>2021</v>
      </c>
      <c r="Z327" s="3" t="str">
        <f>TEXT(Table1[[#This Row],[Order Date]],"MMM")</f>
        <v>May</v>
      </c>
      <c r="AA327" s="3">
        <f>DAY(Table1[[#This Row],[Order Date]])</f>
        <v>29</v>
      </c>
    </row>
    <row r="328" spans="1:27" x14ac:dyDescent="0.35">
      <c r="A328" s="1">
        <v>327</v>
      </c>
      <c r="B328" s="1" t="s">
        <v>1595</v>
      </c>
      <c r="C328" s="1" t="s">
        <v>85</v>
      </c>
      <c r="D328" s="1" t="s">
        <v>1596</v>
      </c>
      <c r="E328" t="s">
        <v>62</v>
      </c>
      <c r="F328" t="s">
        <v>1597</v>
      </c>
      <c r="G328" t="s">
        <v>93</v>
      </c>
      <c r="H328" t="s">
        <v>41</v>
      </c>
      <c r="I328" s="1" t="s">
        <v>28</v>
      </c>
      <c r="J328" t="s">
        <v>128</v>
      </c>
      <c r="K328" t="s">
        <v>129</v>
      </c>
      <c r="L328" s="1">
        <v>717530</v>
      </c>
      <c r="M328" s="1" t="s">
        <v>66</v>
      </c>
      <c r="N328" t="s">
        <v>1598</v>
      </c>
      <c r="O328" t="s">
        <v>68</v>
      </c>
      <c r="P328" t="s">
        <v>69</v>
      </c>
      <c r="Q328" t="s">
        <v>70</v>
      </c>
      <c r="R328">
        <v>9617.56</v>
      </c>
      <c r="S328" s="25" t="e">
        <f>IF(Table1[[#This Row],[Sales]]=MIN(Table1[Sales]), Table1[[#This Row],[Sales]], NA())</f>
        <v>#N/A</v>
      </c>
      <c r="T328" s="25">
        <f>IF(AND(Table1[[#This Row],[Sales]]&lt;&gt;MIN(Table1[Sales]),Table1[[#This Row],[Sales]]&lt;&gt;MAX(Table1[Sales])), Table1[[#This Row],[Sales]], NA())</f>
        <v>9617.56</v>
      </c>
      <c r="U328" s="25" t="e">
        <f>IF(Table1[[#This Row],[Sales]]=MAX(Table1[Sales]), Table1[[#This Row],[Sales]], NA())</f>
        <v>#N/A</v>
      </c>
      <c r="V328">
        <v>4</v>
      </c>
      <c r="W328">
        <v>0.1</v>
      </c>
      <c r="X328">
        <v>528.97</v>
      </c>
      <c r="Y328" s="3">
        <f>YEAR(Table1[[#This Row],[Order Date]])</f>
        <v>2021</v>
      </c>
      <c r="Z328" s="3" t="str">
        <f>TEXT(Table1[[#This Row],[Order Date]],"MMM")</f>
        <v>Apr</v>
      </c>
      <c r="AA328" s="3">
        <f>DAY(Table1[[#This Row],[Order Date]])</f>
        <v>20</v>
      </c>
    </row>
    <row r="329" spans="1:27" x14ac:dyDescent="0.35">
      <c r="A329" s="1">
        <v>328</v>
      </c>
      <c r="B329" s="1" t="s">
        <v>1599</v>
      </c>
      <c r="C329" s="1" t="s">
        <v>1600</v>
      </c>
      <c r="D329" s="1" t="s">
        <v>50</v>
      </c>
      <c r="E329" t="s">
        <v>24</v>
      </c>
      <c r="F329" t="s">
        <v>1601</v>
      </c>
      <c r="G329" t="s">
        <v>110</v>
      </c>
      <c r="H329" t="s">
        <v>94</v>
      </c>
      <c r="I329" s="1" t="s">
        <v>28</v>
      </c>
      <c r="J329" t="s">
        <v>128</v>
      </c>
      <c r="K329" t="s">
        <v>129</v>
      </c>
      <c r="L329" s="1">
        <v>135205</v>
      </c>
      <c r="M329" s="1" t="s">
        <v>66</v>
      </c>
      <c r="N329" t="s">
        <v>1602</v>
      </c>
      <c r="O329" t="s">
        <v>46</v>
      </c>
      <c r="P329" t="s">
        <v>47</v>
      </c>
      <c r="Q329" t="s">
        <v>48</v>
      </c>
      <c r="R329">
        <v>64152.9</v>
      </c>
      <c r="S329" s="25" t="e">
        <f>IF(Table1[[#This Row],[Sales]]=MIN(Table1[Sales]), Table1[[#This Row],[Sales]], NA())</f>
        <v>#N/A</v>
      </c>
      <c r="T329" s="25">
        <f>IF(AND(Table1[[#This Row],[Sales]]&lt;&gt;MIN(Table1[Sales]),Table1[[#This Row],[Sales]]&lt;&gt;MAX(Table1[Sales])), Table1[[#This Row],[Sales]], NA())</f>
        <v>64152.9</v>
      </c>
      <c r="U329" s="25" t="e">
        <f>IF(Table1[[#This Row],[Sales]]=MAX(Table1[Sales]), Table1[[#This Row],[Sales]], NA())</f>
        <v>#N/A</v>
      </c>
      <c r="V329">
        <v>9</v>
      </c>
      <c r="W329">
        <v>0</v>
      </c>
      <c r="X329">
        <v>5132.2299999999996</v>
      </c>
      <c r="Y329" s="3">
        <f>YEAR(Table1[[#This Row],[Order Date]])</f>
        <v>2021</v>
      </c>
      <c r="Z329" s="3" t="str">
        <f>TEXT(Table1[[#This Row],[Order Date]],"MMM")</f>
        <v>Dec</v>
      </c>
      <c r="AA329" s="3">
        <f>DAY(Table1[[#This Row],[Order Date]])</f>
        <v>19</v>
      </c>
    </row>
    <row r="330" spans="1:27" x14ac:dyDescent="0.35">
      <c r="A330" s="1">
        <v>329</v>
      </c>
      <c r="B330" s="1" t="s">
        <v>1603</v>
      </c>
      <c r="C330" s="1" t="s">
        <v>1604</v>
      </c>
      <c r="D330" s="1" t="s">
        <v>1605</v>
      </c>
      <c r="E330" t="s">
        <v>115</v>
      </c>
      <c r="F330" t="s">
        <v>1606</v>
      </c>
      <c r="G330" t="s">
        <v>110</v>
      </c>
      <c r="H330" t="s">
        <v>94</v>
      </c>
      <c r="I330" s="1" t="s">
        <v>28</v>
      </c>
      <c r="J330" t="s">
        <v>29</v>
      </c>
      <c r="K330" t="s">
        <v>29</v>
      </c>
      <c r="L330" s="1">
        <v>794745</v>
      </c>
      <c r="M330" s="1" t="s">
        <v>30</v>
      </c>
      <c r="N330" t="s">
        <v>1607</v>
      </c>
      <c r="O330" t="s">
        <v>46</v>
      </c>
      <c r="P330" t="s">
        <v>57</v>
      </c>
      <c r="Q330" t="s">
        <v>58</v>
      </c>
      <c r="R330">
        <v>67594.36</v>
      </c>
      <c r="S330" s="25" t="e">
        <f>IF(Table1[[#This Row],[Sales]]=MIN(Table1[Sales]), Table1[[#This Row],[Sales]], NA())</f>
        <v>#N/A</v>
      </c>
      <c r="T330" s="25">
        <f>IF(AND(Table1[[#This Row],[Sales]]&lt;&gt;MIN(Table1[Sales]),Table1[[#This Row],[Sales]]&lt;&gt;MAX(Table1[Sales])), Table1[[#This Row],[Sales]], NA())</f>
        <v>67594.36</v>
      </c>
      <c r="U330" s="25" t="e">
        <f>IF(Table1[[#This Row],[Sales]]=MAX(Table1[Sales]), Table1[[#This Row],[Sales]], NA())</f>
        <v>#N/A</v>
      </c>
      <c r="V330">
        <v>6</v>
      </c>
      <c r="W330">
        <v>0.2</v>
      </c>
      <c r="X330">
        <v>2027.83</v>
      </c>
      <c r="Y330" s="3">
        <f>YEAR(Table1[[#This Row],[Order Date]])</f>
        <v>2021</v>
      </c>
      <c r="Z330" s="3" t="str">
        <f>TEXT(Table1[[#This Row],[Order Date]],"MMM")</f>
        <v>Jun</v>
      </c>
      <c r="AA330" s="3">
        <f>DAY(Table1[[#This Row],[Order Date]])</f>
        <v>29</v>
      </c>
    </row>
    <row r="331" spans="1:27" x14ac:dyDescent="0.35">
      <c r="A331" s="1">
        <v>330</v>
      </c>
      <c r="B331" s="1" t="s">
        <v>1608</v>
      </c>
      <c r="C331" s="1" t="s">
        <v>1609</v>
      </c>
      <c r="D331" s="1" t="s">
        <v>1610</v>
      </c>
      <c r="E331" t="s">
        <v>24</v>
      </c>
      <c r="F331" t="s">
        <v>1611</v>
      </c>
      <c r="G331" t="s">
        <v>122</v>
      </c>
      <c r="H331" t="s">
        <v>27</v>
      </c>
      <c r="I331" s="1" t="s">
        <v>28</v>
      </c>
      <c r="J331" t="s">
        <v>29</v>
      </c>
      <c r="K331" t="s">
        <v>29</v>
      </c>
      <c r="L331" s="1">
        <v>105464</v>
      </c>
      <c r="M331" s="1" t="s">
        <v>30</v>
      </c>
      <c r="N331" t="s">
        <v>1612</v>
      </c>
      <c r="O331" t="s">
        <v>68</v>
      </c>
      <c r="P331" t="s">
        <v>69</v>
      </c>
      <c r="Q331" t="s">
        <v>70</v>
      </c>
      <c r="R331">
        <v>54153.89</v>
      </c>
      <c r="S331" s="25" t="e">
        <f>IF(Table1[[#This Row],[Sales]]=MIN(Table1[Sales]), Table1[[#This Row],[Sales]], NA())</f>
        <v>#N/A</v>
      </c>
      <c r="T331" s="25">
        <f>IF(AND(Table1[[#This Row],[Sales]]&lt;&gt;MIN(Table1[Sales]),Table1[[#This Row],[Sales]]&lt;&gt;MAX(Table1[Sales])), Table1[[#This Row],[Sales]], NA())</f>
        <v>54153.89</v>
      </c>
      <c r="U331" s="25" t="e">
        <f>IF(Table1[[#This Row],[Sales]]=MAX(Table1[Sales]), Table1[[#This Row],[Sales]], NA())</f>
        <v>#N/A</v>
      </c>
      <c r="V331">
        <v>5</v>
      </c>
      <c r="W331">
        <v>0.1</v>
      </c>
      <c r="X331">
        <v>2978.46</v>
      </c>
      <c r="Y331" s="3">
        <f>YEAR(Table1[[#This Row],[Order Date]])</f>
        <v>2022</v>
      </c>
      <c r="Z331" s="3" t="str">
        <f>TEXT(Table1[[#This Row],[Order Date]],"MMM")</f>
        <v>Apr</v>
      </c>
      <c r="AA331" s="3">
        <f>DAY(Table1[[#This Row],[Order Date]])</f>
        <v>26</v>
      </c>
    </row>
    <row r="332" spans="1:27" x14ac:dyDescent="0.35">
      <c r="A332" s="1">
        <v>331</v>
      </c>
      <c r="B332" s="1" t="s">
        <v>1613</v>
      </c>
      <c r="C332" s="1" t="s">
        <v>1614</v>
      </c>
      <c r="D332" s="1" t="s">
        <v>175</v>
      </c>
      <c r="E332" t="s">
        <v>62</v>
      </c>
      <c r="F332" t="s">
        <v>1615</v>
      </c>
      <c r="G332" t="s">
        <v>140</v>
      </c>
      <c r="H332" t="s">
        <v>27</v>
      </c>
      <c r="I332" s="1" t="s">
        <v>28</v>
      </c>
      <c r="J332" t="s">
        <v>128</v>
      </c>
      <c r="K332" t="s">
        <v>129</v>
      </c>
      <c r="L332" s="1">
        <v>959544</v>
      </c>
      <c r="M332" s="1" t="s">
        <v>66</v>
      </c>
      <c r="N332" t="s">
        <v>1616</v>
      </c>
      <c r="O332" t="s">
        <v>46</v>
      </c>
      <c r="P332" t="s">
        <v>57</v>
      </c>
      <c r="Q332" t="s">
        <v>58</v>
      </c>
      <c r="R332">
        <v>3051.17</v>
      </c>
      <c r="S332" s="25" t="e">
        <f>IF(Table1[[#This Row],[Sales]]=MIN(Table1[Sales]), Table1[[#This Row],[Sales]], NA())</f>
        <v>#N/A</v>
      </c>
      <c r="T332" s="25">
        <f>IF(AND(Table1[[#This Row],[Sales]]&lt;&gt;MIN(Table1[Sales]),Table1[[#This Row],[Sales]]&lt;&gt;MAX(Table1[Sales])), Table1[[#This Row],[Sales]], NA())</f>
        <v>3051.17</v>
      </c>
      <c r="U332" s="25" t="e">
        <f>IF(Table1[[#This Row],[Sales]]=MAX(Table1[Sales]), Table1[[#This Row],[Sales]], NA())</f>
        <v>#N/A</v>
      </c>
      <c r="V332">
        <v>6</v>
      </c>
      <c r="W332">
        <v>0</v>
      </c>
      <c r="X332">
        <v>244.09</v>
      </c>
      <c r="Y332" s="3">
        <f>YEAR(Table1[[#This Row],[Order Date]])</f>
        <v>2024</v>
      </c>
      <c r="Z332" s="3" t="str">
        <f>TEXT(Table1[[#This Row],[Order Date]],"MMM")</f>
        <v>Jun</v>
      </c>
      <c r="AA332" s="3">
        <f>DAY(Table1[[#This Row],[Order Date]])</f>
        <v>19</v>
      </c>
    </row>
    <row r="333" spans="1:27" x14ac:dyDescent="0.35">
      <c r="A333" s="1">
        <v>332</v>
      </c>
      <c r="B333" s="1" t="s">
        <v>1617</v>
      </c>
      <c r="C333" s="1" t="s">
        <v>1609</v>
      </c>
      <c r="D333" s="1" t="s">
        <v>1618</v>
      </c>
      <c r="E333" t="s">
        <v>62</v>
      </c>
      <c r="F333" t="s">
        <v>1619</v>
      </c>
      <c r="G333" t="s">
        <v>81</v>
      </c>
      <c r="H333" t="s">
        <v>27</v>
      </c>
      <c r="I333" s="1" t="s">
        <v>28</v>
      </c>
      <c r="J333" t="s">
        <v>42</v>
      </c>
      <c r="K333" t="s">
        <v>43</v>
      </c>
      <c r="L333" s="1">
        <v>434842</v>
      </c>
      <c r="M333" s="1" t="s">
        <v>44</v>
      </c>
      <c r="N333" t="s">
        <v>1620</v>
      </c>
      <c r="O333" t="s">
        <v>68</v>
      </c>
      <c r="P333" t="s">
        <v>69</v>
      </c>
      <c r="Q333" t="s">
        <v>70</v>
      </c>
      <c r="R333">
        <v>46257.279999999999</v>
      </c>
      <c r="S333" s="25" t="e">
        <f>IF(Table1[[#This Row],[Sales]]=MIN(Table1[Sales]), Table1[[#This Row],[Sales]], NA())</f>
        <v>#N/A</v>
      </c>
      <c r="T333" s="25">
        <f>IF(AND(Table1[[#This Row],[Sales]]&lt;&gt;MIN(Table1[Sales]),Table1[[#This Row],[Sales]]&lt;&gt;MAX(Table1[Sales])), Table1[[#This Row],[Sales]], NA())</f>
        <v>46257.279999999999</v>
      </c>
      <c r="U333" s="25" t="e">
        <f>IF(Table1[[#This Row],[Sales]]=MAX(Table1[Sales]), Table1[[#This Row],[Sales]], NA())</f>
        <v>#N/A</v>
      </c>
      <c r="V333">
        <v>2</v>
      </c>
      <c r="W333">
        <v>0.2</v>
      </c>
      <c r="X333">
        <v>1387.72</v>
      </c>
      <c r="Y333" s="3">
        <f>YEAR(Table1[[#This Row],[Order Date]])</f>
        <v>2022</v>
      </c>
      <c r="Z333" s="3" t="str">
        <f>TEXT(Table1[[#This Row],[Order Date]],"MMM")</f>
        <v>Apr</v>
      </c>
      <c r="AA333" s="3">
        <f>DAY(Table1[[#This Row],[Order Date]])</f>
        <v>26</v>
      </c>
    </row>
    <row r="334" spans="1:27" x14ac:dyDescent="0.35">
      <c r="A334" s="1">
        <v>333</v>
      </c>
      <c r="B334" s="1" t="s">
        <v>1621</v>
      </c>
      <c r="C334" s="1" t="s">
        <v>1622</v>
      </c>
      <c r="D334" s="1" t="s">
        <v>1623</v>
      </c>
      <c r="E334" t="s">
        <v>115</v>
      </c>
      <c r="F334" t="s">
        <v>1624</v>
      </c>
      <c r="G334" t="s">
        <v>40</v>
      </c>
      <c r="H334" t="s">
        <v>41</v>
      </c>
      <c r="I334" s="1" t="s">
        <v>28</v>
      </c>
      <c r="J334" t="s">
        <v>29</v>
      </c>
      <c r="K334" t="s">
        <v>29</v>
      </c>
      <c r="L334" s="1">
        <v>887066</v>
      </c>
      <c r="M334" s="1" t="s">
        <v>30</v>
      </c>
      <c r="N334" t="s">
        <v>1625</v>
      </c>
      <c r="O334" t="s">
        <v>32</v>
      </c>
      <c r="P334" t="s">
        <v>33</v>
      </c>
      <c r="Q334" t="s">
        <v>34</v>
      </c>
      <c r="R334">
        <v>77734.52</v>
      </c>
      <c r="S334" s="25" t="e">
        <f>IF(Table1[[#This Row],[Sales]]=MIN(Table1[Sales]), Table1[[#This Row],[Sales]], NA())</f>
        <v>#N/A</v>
      </c>
      <c r="T334" s="25">
        <f>IF(AND(Table1[[#This Row],[Sales]]&lt;&gt;MIN(Table1[Sales]),Table1[[#This Row],[Sales]]&lt;&gt;MAX(Table1[Sales])), Table1[[#This Row],[Sales]], NA())</f>
        <v>77734.52</v>
      </c>
      <c r="U334" s="25" t="e">
        <f>IF(Table1[[#This Row],[Sales]]=MAX(Table1[Sales]), Table1[[#This Row],[Sales]], NA())</f>
        <v>#N/A</v>
      </c>
      <c r="V334">
        <v>8</v>
      </c>
      <c r="W334">
        <v>0.3</v>
      </c>
      <c r="X334">
        <v>388.67</v>
      </c>
      <c r="Y334" s="3">
        <f>YEAR(Table1[[#This Row],[Order Date]])</f>
        <v>2023</v>
      </c>
      <c r="Z334" s="3" t="str">
        <f>TEXT(Table1[[#This Row],[Order Date]],"MMM")</f>
        <v>Apr</v>
      </c>
      <c r="AA334" s="3">
        <f>DAY(Table1[[#This Row],[Order Date]])</f>
        <v>3</v>
      </c>
    </row>
    <row r="335" spans="1:27" x14ac:dyDescent="0.35">
      <c r="A335" s="1">
        <v>334</v>
      </c>
      <c r="B335" s="1" t="s">
        <v>1626</v>
      </c>
      <c r="C335" s="1" t="s">
        <v>996</v>
      </c>
      <c r="D335" s="1" t="s">
        <v>1627</v>
      </c>
      <c r="E335" t="s">
        <v>115</v>
      </c>
      <c r="F335" t="s">
        <v>1628</v>
      </c>
      <c r="G335" t="s">
        <v>110</v>
      </c>
      <c r="H335" t="s">
        <v>27</v>
      </c>
      <c r="I335" s="1" t="s">
        <v>28</v>
      </c>
      <c r="J335" t="s">
        <v>128</v>
      </c>
      <c r="K335" t="s">
        <v>129</v>
      </c>
      <c r="L335" s="1">
        <v>465218</v>
      </c>
      <c r="M335" s="1" t="s">
        <v>66</v>
      </c>
      <c r="N335" t="s">
        <v>1629</v>
      </c>
      <c r="O335" t="s">
        <v>46</v>
      </c>
      <c r="P335" t="s">
        <v>47</v>
      </c>
      <c r="Q335" t="s">
        <v>48</v>
      </c>
      <c r="R335">
        <v>5979.36</v>
      </c>
      <c r="S335" s="25" t="e">
        <f>IF(Table1[[#This Row],[Sales]]=MIN(Table1[Sales]), Table1[[#This Row],[Sales]], NA())</f>
        <v>#N/A</v>
      </c>
      <c r="T335" s="25">
        <f>IF(AND(Table1[[#This Row],[Sales]]&lt;&gt;MIN(Table1[Sales]),Table1[[#This Row],[Sales]]&lt;&gt;MAX(Table1[Sales])), Table1[[#This Row],[Sales]], NA())</f>
        <v>5979.36</v>
      </c>
      <c r="U335" s="25" t="e">
        <f>IF(Table1[[#This Row],[Sales]]=MAX(Table1[Sales]), Table1[[#This Row],[Sales]], NA())</f>
        <v>#N/A</v>
      </c>
      <c r="V335">
        <v>10</v>
      </c>
      <c r="W335">
        <v>0</v>
      </c>
      <c r="X335">
        <v>478.35</v>
      </c>
      <c r="Y335" s="3">
        <f>YEAR(Table1[[#This Row],[Order Date]])</f>
        <v>2025</v>
      </c>
      <c r="Z335" s="3" t="str">
        <f>TEXT(Table1[[#This Row],[Order Date]],"MMM")</f>
        <v>Dec</v>
      </c>
      <c r="AA335" s="3">
        <f>DAY(Table1[[#This Row],[Order Date]])</f>
        <v>15</v>
      </c>
    </row>
    <row r="336" spans="1:27" x14ac:dyDescent="0.35">
      <c r="A336" s="1">
        <v>335</v>
      </c>
      <c r="B336" s="1" t="s">
        <v>1630</v>
      </c>
      <c r="C336" s="1" t="s">
        <v>1631</v>
      </c>
      <c r="D336" s="1" t="s">
        <v>1632</v>
      </c>
      <c r="E336" t="s">
        <v>115</v>
      </c>
      <c r="F336" t="s">
        <v>1633</v>
      </c>
      <c r="G336" t="s">
        <v>75</v>
      </c>
      <c r="H336" t="s">
        <v>41</v>
      </c>
      <c r="I336" s="1" t="s">
        <v>28</v>
      </c>
      <c r="J336" t="s">
        <v>29</v>
      </c>
      <c r="K336" t="s">
        <v>29</v>
      </c>
      <c r="L336" s="1">
        <v>231307</v>
      </c>
      <c r="M336" s="1" t="s">
        <v>30</v>
      </c>
      <c r="N336" t="s">
        <v>1634</v>
      </c>
      <c r="O336" t="s">
        <v>32</v>
      </c>
      <c r="P336" t="s">
        <v>33</v>
      </c>
      <c r="Q336" t="s">
        <v>34</v>
      </c>
      <c r="R336">
        <v>12009.14</v>
      </c>
      <c r="S336" s="25" t="e">
        <f>IF(Table1[[#This Row],[Sales]]=MIN(Table1[Sales]), Table1[[#This Row],[Sales]], NA())</f>
        <v>#N/A</v>
      </c>
      <c r="T336" s="25">
        <f>IF(AND(Table1[[#This Row],[Sales]]&lt;&gt;MIN(Table1[Sales]),Table1[[#This Row],[Sales]]&lt;&gt;MAX(Table1[Sales])), Table1[[#This Row],[Sales]], NA())</f>
        <v>12009.14</v>
      </c>
      <c r="U336" s="25" t="e">
        <f>IF(Table1[[#This Row],[Sales]]=MAX(Table1[Sales]), Table1[[#This Row],[Sales]], NA())</f>
        <v>#N/A</v>
      </c>
      <c r="V336">
        <v>9</v>
      </c>
      <c r="W336">
        <v>0.2</v>
      </c>
      <c r="X336">
        <v>360.27</v>
      </c>
      <c r="Y336" s="3">
        <f>YEAR(Table1[[#This Row],[Order Date]])</f>
        <v>2024</v>
      </c>
      <c r="Z336" s="3" t="str">
        <f>TEXT(Table1[[#This Row],[Order Date]],"MMM")</f>
        <v>Dec</v>
      </c>
      <c r="AA336" s="3">
        <f>DAY(Table1[[#This Row],[Order Date]])</f>
        <v>5</v>
      </c>
    </row>
    <row r="337" spans="1:27" x14ac:dyDescent="0.35">
      <c r="A337" s="1">
        <v>336</v>
      </c>
      <c r="B337" s="1" t="s">
        <v>1635</v>
      </c>
      <c r="C337" s="1" t="s">
        <v>1636</v>
      </c>
      <c r="D337" s="1" t="s">
        <v>1637</v>
      </c>
      <c r="E337" t="s">
        <v>24</v>
      </c>
      <c r="F337" t="s">
        <v>1638</v>
      </c>
      <c r="G337" t="s">
        <v>26</v>
      </c>
      <c r="H337" t="s">
        <v>41</v>
      </c>
      <c r="I337" s="1" t="s">
        <v>28</v>
      </c>
      <c r="J337" t="s">
        <v>29</v>
      </c>
      <c r="K337" t="s">
        <v>29</v>
      </c>
      <c r="L337" s="1">
        <v>602722</v>
      </c>
      <c r="M337" s="1" t="s">
        <v>30</v>
      </c>
      <c r="N337" t="s">
        <v>1639</v>
      </c>
      <c r="O337" t="s">
        <v>46</v>
      </c>
      <c r="P337" t="s">
        <v>47</v>
      </c>
      <c r="Q337" t="s">
        <v>48</v>
      </c>
      <c r="R337">
        <v>90502.42</v>
      </c>
      <c r="S337" s="25" t="e">
        <f>IF(Table1[[#This Row],[Sales]]=MIN(Table1[Sales]), Table1[[#This Row],[Sales]], NA())</f>
        <v>#N/A</v>
      </c>
      <c r="T337" s="25">
        <f>IF(AND(Table1[[#This Row],[Sales]]&lt;&gt;MIN(Table1[Sales]),Table1[[#This Row],[Sales]]&lt;&gt;MAX(Table1[Sales])), Table1[[#This Row],[Sales]], NA())</f>
        <v>90502.42</v>
      </c>
      <c r="U337" s="25" t="e">
        <f>IF(Table1[[#This Row],[Sales]]=MAX(Table1[Sales]), Table1[[#This Row],[Sales]], NA())</f>
        <v>#N/A</v>
      </c>
      <c r="V337">
        <v>4</v>
      </c>
      <c r="W337">
        <v>0.2</v>
      </c>
      <c r="X337">
        <v>2715.07</v>
      </c>
      <c r="Y337" s="3">
        <f>YEAR(Table1[[#This Row],[Order Date]])</f>
        <v>2023</v>
      </c>
      <c r="Z337" s="3" t="str">
        <f>TEXT(Table1[[#This Row],[Order Date]],"MMM")</f>
        <v>Jun</v>
      </c>
      <c r="AA337" s="3">
        <f>DAY(Table1[[#This Row],[Order Date]])</f>
        <v>14</v>
      </c>
    </row>
    <row r="338" spans="1:27" x14ac:dyDescent="0.35">
      <c r="A338" s="1">
        <v>337</v>
      </c>
      <c r="B338" s="1" t="s">
        <v>1640</v>
      </c>
      <c r="C338" s="1" t="s">
        <v>1641</v>
      </c>
      <c r="D338" s="1" t="s">
        <v>1642</v>
      </c>
      <c r="E338" t="s">
        <v>62</v>
      </c>
      <c r="F338" t="s">
        <v>1643</v>
      </c>
      <c r="G338" t="s">
        <v>40</v>
      </c>
      <c r="H338" t="s">
        <v>94</v>
      </c>
      <c r="I338" s="1" t="s">
        <v>28</v>
      </c>
      <c r="J338" t="s">
        <v>42</v>
      </c>
      <c r="K338" t="s">
        <v>43</v>
      </c>
      <c r="L338" s="1">
        <v>509269</v>
      </c>
      <c r="M338" s="1" t="s">
        <v>44</v>
      </c>
      <c r="N338" t="s">
        <v>1644</v>
      </c>
      <c r="O338" t="s">
        <v>46</v>
      </c>
      <c r="P338" t="s">
        <v>47</v>
      </c>
      <c r="Q338" t="s">
        <v>48</v>
      </c>
      <c r="R338">
        <v>14418.8</v>
      </c>
      <c r="S338" s="25" t="e">
        <f>IF(Table1[[#This Row],[Sales]]=MIN(Table1[Sales]), Table1[[#This Row],[Sales]], NA())</f>
        <v>#N/A</v>
      </c>
      <c r="T338" s="25">
        <f>IF(AND(Table1[[#This Row],[Sales]]&lt;&gt;MIN(Table1[Sales]),Table1[[#This Row],[Sales]]&lt;&gt;MAX(Table1[Sales])), Table1[[#This Row],[Sales]], NA())</f>
        <v>14418.8</v>
      </c>
      <c r="U338" s="25" t="e">
        <f>IF(Table1[[#This Row],[Sales]]=MAX(Table1[Sales]), Table1[[#This Row],[Sales]], NA())</f>
        <v>#N/A</v>
      </c>
      <c r="V338">
        <v>7</v>
      </c>
      <c r="W338">
        <v>0.2</v>
      </c>
      <c r="X338">
        <v>432.56</v>
      </c>
      <c r="Y338" s="3">
        <f>YEAR(Table1[[#This Row],[Order Date]])</f>
        <v>2025</v>
      </c>
      <c r="Z338" s="3" t="str">
        <f>TEXT(Table1[[#This Row],[Order Date]],"MMM")</f>
        <v>Mar</v>
      </c>
      <c r="AA338" s="3">
        <f>DAY(Table1[[#This Row],[Order Date]])</f>
        <v>31</v>
      </c>
    </row>
    <row r="339" spans="1:27" x14ac:dyDescent="0.35">
      <c r="A339" s="1">
        <v>338</v>
      </c>
      <c r="B339" s="1" t="s">
        <v>1645</v>
      </c>
      <c r="C339" s="1" t="s">
        <v>1646</v>
      </c>
      <c r="D339" s="1" t="s">
        <v>977</v>
      </c>
      <c r="E339" t="s">
        <v>38</v>
      </c>
      <c r="F339" t="s">
        <v>1647</v>
      </c>
      <c r="G339" t="s">
        <v>93</v>
      </c>
      <c r="H339" t="s">
        <v>94</v>
      </c>
      <c r="I339" s="1" t="s">
        <v>28</v>
      </c>
      <c r="J339" t="s">
        <v>42</v>
      </c>
      <c r="K339" t="s">
        <v>43</v>
      </c>
      <c r="L339" s="1">
        <v>550576</v>
      </c>
      <c r="M339" s="1" t="s">
        <v>44</v>
      </c>
      <c r="N339" t="s">
        <v>1648</v>
      </c>
      <c r="O339" t="s">
        <v>68</v>
      </c>
      <c r="P339" t="s">
        <v>69</v>
      </c>
      <c r="Q339" t="s">
        <v>70</v>
      </c>
      <c r="R339">
        <v>44215.86</v>
      </c>
      <c r="S339" s="25" t="e">
        <f>IF(Table1[[#This Row],[Sales]]=MIN(Table1[Sales]), Table1[[#This Row],[Sales]], NA())</f>
        <v>#N/A</v>
      </c>
      <c r="T339" s="25">
        <f>IF(AND(Table1[[#This Row],[Sales]]&lt;&gt;MIN(Table1[Sales]),Table1[[#This Row],[Sales]]&lt;&gt;MAX(Table1[Sales])), Table1[[#This Row],[Sales]], NA())</f>
        <v>44215.86</v>
      </c>
      <c r="U339" s="25" t="e">
        <f>IF(Table1[[#This Row],[Sales]]=MAX(Table1[Sales]), Table1[[#This Row],[Sales]], NA())</f>
        <v>#N/A</v>
      </c>
      <c r="V339">
        <v>8</v>
      </c>
      <c r="W339">
        <v>0.1</v>
      </c>
      <c r="X339">
        <v>2431.87</v>
      </c>
      <c r="Y339" s="3">
        <f>YEAR(Table1[[#This Row],[Order Date]])</f>
        <v>2022</v>
      </c>
      <c r="Z339" s="3" t="str">
        <f>TEXT(Table1[[#This Row],[Order Date]],"MMM")</f>
        <v>Dec</v>
      </c>
      <c r="AA339" s="3">
        <f>DAY(Table1[[#This Row],[Order Date]])</f>
        <v>14</v>
      </c>
    </row>
    <row r="340" spans="1:27" x14ac:dyDescent="0.35">
      <c r="A340" s="1">
        <v>339</v>
      </c>
      <c r="B340" s="1" t="s">
        <v>1649</v>
      </c>
      <c r="C340" s="1" t="s">
        <v>306</v>
      </c>
      <c r="D340" s="1" t="s">
        <v>1632</v>
      </c>
      <c r="E340" t="s">
        <v>38</v>
      </c>
      <c r="F340" t="s">
        <v>1650</v>
      </c>
      <c r="G340" t="s">
        <v>75</v>
      </c>
      <c r="H340" t="s">
        <v>27</v>
      </c>
      <c r="I340" s="1" t="s">
        <v>28</v>
      </c>
      <c r="J340" t="s">
        <v>53</v>
      </c>
      <c r="K340" t="s">
        <v>54</v>
      </c>
      <c r="L340" s="1">
        <v>706861</v>
      </c>
      <c r="M340" s="1" t="s">
        <v>55</v>
      </c>
      <c r="N340" t="s">
        <v>1651</v>
      </c>
      <c r="O340" t="s">
        <v>68</v>
      </c>
      <c r="P340" t="s">
        <v>69</v>
      </c>
      <c r="Q340" t="s">
        <v>70</v>
      </c>
      <c r="R340">
        <v>24879.98</v>
      </c>
      <c r="S340" s="25" t="e">
        <f>IF(Table1[[#This Row],[Sales]]=MIN(Table1[Sales]), Table1[[#This Row],[Sales]], NA())</f>
        <v>#N/A</v>
      </c>
      <c r="T340" s="25">
        <f>IF(AND(Table1[[#This Row],[Sales]]&lt;&gt;MIN(Table1[Sales]),Table1[[#This Row],[Sales]]&lt;&gt;MAX(Table1[Sales])), Table1[[#This Row],[Sales]], NA())</f>
        <v>24879.98</v>
      </c>
      <c r="U340" s="25" t="e">
        <f>IF(Table1[[#This Row],[Sales]]=MAX(Table1[Sales]), Table1[[#This Row],[Sales]], NA())</f>
        <v>#N/A</v>
      </c>
      <c r="V340">
        <v>7</v>
      </c>
      <c r="W340">
        <v>0.2</v>
      </c>
      <c r="X340">
        <v>746.4</v>
      </c>
      <c r="Y340" s="3">
        <f>YEAR(Table1[[#This Row],[Order Date]])</f>
        <v>2024</v>
      </c>
      <c r="Z340" s="3" t="str">
        <f>TEXT(Table1[[#This Row],[Order Date]],"MMM")</f>
        <v>Dec</v>
      </c>
      <c r="AA340" s="3">
        <f>DAY(Table1[[#This Row],[Order Date]])</f>
        <v>7</v>
      </c>
    </row>
    <row r="341" spans="1:27" x14ac:dyDescent="0.35">
      <c r="A341" s="1">
        <v>340</v>
      </c>
      <c r="B341" s="1" t="s">
        <v>1652</v>
      </c>
      <c r="C341" s="1" t="s">
        <v>1653</v>
      </c>
      <c r="D341" s="1" t="s">
        <v>1654</v>
      </c>
      <c r="E341" t="s">
        <v>38</v>
      </c>
      <c r="F341" t="s">
        <v>1655</v>
      </c>
      <c r="G341" t="s">
        <v>110</v>
      </c>
      <c r="H341" t="s">
        <v>27</v>
      </c>
      <c r="I341" s="1" t="s">
        <v>28</v>
      </c>
      <c r="J341" t="s">
        <v>128</v>
      </c>
      <c r="K341" t="s">
        <v>129</v>
      </c>
      <c r="L341" s="1">
        <v>444284</v>
      </c>
      <c r="M341" s="1" t="s">
        <v>66</v>
      </c>
      <c r="N341" t="s">
        <v>1656</v>
      </c>
      <c r="O341" t="s">
        <v>68</v>
      </c>
      <c r="P341" t="s">
        <v>69</v>
      </c>
      <c r="Q341" t="s">
        <v>70</v>
      </c>
      <c r="R341">
        <v>88538.12</v>
      </c>
      <c r="S341" s="25" t="e">
        <f>IF(Table1[[#This Row],[Sales]]=MIN(Table1[Sales]), Table1[[#This Row],[Sales]], NA())</f>
        <v>#N/A</v>
      </c>
      <c r="T341" s="25">
        <f>IF(AND(Table1[[#This Row],[Sales]]&lt;&gt;MIN(Table1[Sales]),Table1[[#This Row],[Sales]]&lt;&gt;MAX(Table1[Sales])), Table1[[#This Row],[Sales]], NA())</f>
        <v>88538.12</v>
      </c>
      <c r="U341" s="25" t="e">
        <f>IF(Table1[[#This Row],[Sales]]=MAX(Table1[Sales]), Table1[[#This Row],[Sales]], NA())</f>
        <v>#N/A</v>
      </c>
      <c r="V341">
        <v>8</v>
      </c>
      <c r="W341">
        <v>0.1</v>
      </c>
      <c r="X341">
        <v>4869.6000000000004</v>
      </c>
      <c r="Y341" s="3">
        <f>YEAR(Table1[[#This Row],[Order Date]])</f>
        <v>2021</v>
      </c>
      <c r="Z341" s="3" t="str">
        <f>TEXT(Table1[[#This Row],[Order Date]],"MMM")</f>
        <v>Nov</v>
      </c>
      <c r="AA341" s="3">
        <f>DAY(Table1[[#This Row],[Order Date]])</f>
        <v>15</v>
      </c>
    </row>
    <row r="342" spans="1:27" x14ac:dyDescent="0.35">
      <c r="A342" s="1">
        <v>341</v>
      </c>
      <c r="B342" s="1" t="s">
        <v>1657</v>
      </c>
      <c r="C342" s="1" t="s">
        <v>1658</v>
      </c>
      <c r="D342" s="1" t="s">
        <v>1105</v>
      </c>
      <c r="E342" t="s">
        <v>38</v>
      </c>
      <c r="F342" t="s">
        <v>1659</v>
      </c>
      <c r="G342" t="s">
        <v>110</v>
      </c>
      <c r="H342" t="s">
        <v>41</v>
      </c>
      <c r="I342" s="1" t="s">
        <v>28</v>
      </c>
      <c r="J342" t="s">
        <v>42</v>
      </c>
      <c r="K342" t="s">
        <v>43</v>
      </c>
      <c r="L342" s="1">
        <v>287235</v>
      </c>
      <c r="M342" s="1" t="s">
        <v>44</v>
      </c>
      <c r="N342" t="s">
        <v>1660</v>
      </c>
      <c r="O342" t="s">
        <v>32</v>
      </c>
      <c r="P342" t="s">
        <v>33</v>
      </c>
      <c r="Q342" t="s">
        <v>34</v>
      </c>
      <c r="R342">
        <v>67989.45</v>
      </c>
      <c r="S342" s="25" t="e">
        <f>IF(Table1[[#This Row],[Sales]]=MIN(Table1[Sales]), Table1[[#This Row],[Sales]], NA())</f>
        <v>#N/A</v>
      </c>
      <c r="T342" s="25">
        <f>IF(AND(Table1[[#This Row],[Sales]]&lt;&gt;MIN(Table1[Sales]),Table1[[#This Row],[Sales]]&lt;&gt;MAX(Table1[Sales])), Table1[[#This Row],[Sales]], NA())</f>
        <v>67989.45</v>
      </c>
      <c r="U342" s="25" t="e">
        <f>IF(Table1[[#This Row],[Sales]]=MAX(Table1[Sales]), Table1[[#This Row],[Sales]], NA())</f>
        <v>#N/A</v>
      </c>
      <c r="V342">
        <v>9</v>
      </c>
      <c r="W342">
        <v>0</v>
      </c>
      <c r="X342">
        <v>5439.16</v>
      </c>
      <c r="Y342" s="3">
        <f>YEAR(Table1[[#This Row],[Order Date]])</f>
        <v>2022</v>
      </c>
      <c r="Z342" s="3" t="str">
        <f>TEXT(Table1[[#This Row],[Order Date]],"MMM")</f>
        <v>Jan</v>
      </c>
      <c r="AA342" s="3">
        <f>DAY(Table1[[#This Row],[Order Date]])</f>
        <v>30</v>
      </c>
    </row>
    <row r="343" spans="1:27" x14ac:dyDescent="0.35">
      <c r="A343" s="1">
        <v>342</v>
      </c>
      <c r="B343" s="1" t="s">
        <v>1661</v>
      </c>
      <c r="C343" s="1" t="s">
        <v>1662</v>
      </c>
      <c r="D343" s="1" t="s">
        <v>1663</v>
      </c>
      <c r="E343" t="s">
        <v>24</v>
      </c>
      <c r="F343" t="s">
        <v>1664</v>
      </c>
      <c r="G343" t="s">
        <v>140</v>
      </c>
      <c r="H343" t="s">
        <v>41</v>
      </c>
      <c r="I343" s="1" t="s">
        <v>28</v>
      </c>
      <c r="J343" t="s">
        <v>29</v>
      </c>
      <c r="K343" t="s">
        <v>29</v>
      </c>
      <c r="L343" s="1">
        <v>582808</v>
      </c>
      <c r="M343" s="1" t="s">
        <v>30</v>
      </c>
      <c r="N343" t="s">
        <v>1665</v>
      </c>
      <c r="O343" t="s">
        <v>68</v>
      </c>
      <c r="P343" t="s">
        <v>69</v>
      </c>
      <c r="Q343" t="s">
        <v>70</v>
      </c>
      <c r="R343">
        <v>28061.82</v>
      </c>
      <c r="S343" s="25" t="e">
        <f>IF(Table1[[#This Row],[Sales]]=MIN(Table1[Sales]), Table1[[#This Row],[Sales]], NA())</f>
        <v>#N/A</v>
      </c>
      <c r="T343" s="25">
        <f>IF(AND(Table1[[#This Row],[Sales]]&lt;&gt;MIN(Table1[Sales]),Table1[[#This Row],[Sales]]&lt;&gt;MAX(Table1[Sales])), Table1[[#This Row],[Sales]], NA())</f>
        <v>28061.82</v>
      </c>
      <c r="U343" s="25" t="e">
        <f>IF(Table1[[#This Row],[Sales]]=MAX(Table1[Sales]), Table1[[#This Row],[Sales]], NA())</f>
        <v>#N/A</v>
      </c>
      <c r="V343">
        <v>8</v>
      </c>
      <c r="W343">
        <v>0.3</v>
      </c>
      <c r="X343">
        <v>140.31</v>
      </c>
      <c r="Y343" s="3">
        <f>YEAR(Table1[[#This Row],[Order Date]])</f>
        <v>2025</v>
      </c>
      <c r="Z343" s="3" t="str">
        <f>TEXT(Table1[[#This Row],[Order Date]],"MMM")</f>
        <v>May</v>
      </c>
      <c r="AA343" s="3">
        <f>DAY(Table1[[#This Row],[Order Date]])</f>
        <v>5</v>
      </c>
    </row>
    <row r="344" spans="1:27" x14ac:dyDescent="0.35">
      <c r="A344" s="1">
        <v>343</v>
      </c>
      <c r="B344" s="1" t="s">
        <v>1666</v>
      </c>
      <c r="C344" s="1" t="s">
        <v>1667</v>
      </c>
      <c r="D344" s="1" t="s">
        <v>1668</v>
      </c>
      <c r="E344" t="s">
        <v>24</v>
      </c>
      <c r="F344" t="s">
        <v>1669</v>
      </c>
      <c r="G344" t="s">
        <v>188</v>
      </c>
      <c r="H344" t="s">
        <v>27</v>
      </c>
      <c r="I344" s="1" t="s">
        <v>28</v>
      </c>
      <c r="J344" t="s">
        <v>29</v>
      </c>
      <c r="K344" t="s">
        <v>29</v>
      </c>
      <c r="L344" s="1">
        <v>887745</v>
      </c>
      <c r="M344" s="1" t="s">
        <v>30</v>
      </c>
      <c r="N344" t="s">
        <v>1670</v>
      </c>
      <c r="O344" t="s">
        <v>46</v>
      </c>
      <c r="P344" t="s">
        <v>57</v>
      </c>
      <c r="Q344" t="s">
        <v>58</v>
      </c>
      <c r="R344">
        <v>87472</v>
      </c>
      <c r="S344" s="25" t="e">
        <f>IF(Table1[[#This Row],[Sales]]=MIN(Table1[Sales]), Table1[[#This Row],[Sales]], NA())</f>
        <v>#N/A</v>
      </c>
      <c r="T344" s="25">
        <f>IF(AND(Table1[[#This Row],[Sales]]&lt;&gt;MIN(Table1[Sales]),Table1[[#This Row],[Sales]]&lt;&gt;MAX(Table1[Sales])), Table1[[#This Row],[Sales]], NA())</f>
        <v>87472</v>
      </c>
      <c r="U344" s="25" t="e">
        <f>IF(Table1[[#This Row],[Sales]]=MAX(Table1[Sales]), Table1[[#This Row],[Sales]], NA())</f>
        <v>#N/A</v>
      </c>
      <c r="V344">
        <v>7</v>
      </c>
      <c r="W344">
        <v>0.1</v>
      </c>
      <c r="X344">
        <v>4810.96</v>
      </c>
      <c r="Y344" s="3">
        <f>YEAR(Table1[[#This Row],[Order Date]])</f>
        <v>2023</v>
      </c>
      <c r="Z344" s="3" t="str">
        <f>TEXT(Table1[[#This Row],[Order Date]],"MMM")</f>
        <v>Apr</v>
      </c>
      <c r="AA344" s="3">
        <f>DAY(Table1[[#This Row],[Order Date]])</f>
        <v>8</v>
      </c>
    </row>
    <row r="345" spans="1:27" x14ac:dyDescent="0.35">
      <c r="A345" s="1">
        <v>344</v>
      </c>
      <c r="B345" s="1" t="s">
        <v>1671</v>
      </c>
      <c r="C345" s="1" t="s">
        <v>1672</v>
      </c>
      <c r="D345" s="1" t="s">
        <v>1673</v>
      </c>
      <c r="E345" t="s">
        <v>38</v>
      </c>
      <c r="F345" t="s">
        <v>1674</v>
      </c>
      <c r="G345" t="s">
        <v>188</v>
      </c>
      <c r="H345" t="s">
        <v>94</v>
      </c>
      <c r="I345" s="1" t="s">
        <v>28</v>
      </c>
      <c r="J345" t="s">
        <v>42</v>
      </c>
      <c r="K345" t="s">
        <v>43</v>
      </c>
      <c r="L345" s="1">
        <v>334769</v>
      </c>
      <c r="M345" s="1" t="s">
        <v>44</v>
      </c>
      <c r="N345" t="s">
        <v>1675</v>
      </c>
      <c r="O345" t="s">
        <v>46</v>
      </c>
      <c r="P345" t="s">
        <v>47</v>
      </c>
      <c r="Q345" t="s">
        <v>48</v>
      </c>
      <c r="R345">
        <v>78821.98</v>
      </c>
      <c r="S345" s="25" t="e">
        <f>IF(Table1[[#This Row],[Sales]]=MIN(Table1[Sales]), Table1[[#This Row],[Sales]], NA())</f>
        <v>#N/A</v>
      </c>
      <c r="T345" s="25">
        <f>IF(AND(Table1[[#This Row],[Sales]]&lt;&gt;MIN(Table1[Sales]),Table1[[#This Row],[Sales]]&lt;&gt;MAX(Table1[Sales])), Table1[[#This Row],[Sales]], NA())</f>
        <v>78821.98</v>
      </c>
      <c r="U345" s="25" t="e">
        <f>IF(Table1[[#This Row],[Sales]]=MAX(Table1[Sales]), Table1[[#This Row],[Sales]], NA())</f>
        <v>#N/A</v>
      </c>
      <c r="V345">
        <v>10</v>
      </c>
      <c r="W345">
        <v>0.2</v>
      </c>
      <c r="X345">
        <v>2364.66</v>
      </c>
      <c r="Y345" s="3">
        <f>YEAR(Table1[[#This Row],[Order Date]])</f>
        <v>2022</v>
      </c>
      <c r="Z345" s="3" t="str">
        <f>TEXT(Table1[[#This Row],[Order Date]],"MMM")</f>
        <v>May</v>
      </c>
      <c r="AA345" s="3">
        <f>DAY(Table1[[#This Row],[Order Date]])</f>
        <v>25</v>
      </c>
    </row>
    <row r="346" spans="1:27" x14ac:dyDescent="0.35">
      <c r="A346" s="1">
        <v>345</v>
      </c>
      <c r="B346" s="1" t="s">
        <v>1676</v>
      </c>
      <c r="C346" s="1" t="s">
        <v>1189</v>
      </c>
      <c r="D346" s="1" t="s">
        <v>1516</v>
      </c>
      <c r="E346" t="s">
        <v>62</v>
      </c>
      <c r="F346" t="s">
        <v>1677</v>
      </c>
      <c r="G346" t="s">
        <v>188</v>
      </c>
      <c r="H346" t="s">
        <v>27</v>
      </c>
      <c r="I346" s="1" t="s">
        <v>28</v>
      </c>
      <c r="J346" t="s">
        <v>64</v>
      </c>
      <c r="K346" t="s">
        <v>65</v>
      </c>
      <c r="L346" s="1">
        <v>562189</v>
      </c>
      <c r="M346" s="1" t="s">
        <v>66</v>
      </c>
      <c r="N346" t="s">
        <v>1678</v>
      </c>
      <c r="O346" t="s">
        <v>46</v>
      </c>
      <c r="P346" t="s">
        <v>47</v>
      </c>
      <c r="Q346" t="s">
        <v>48</v>
      </c>
      <c r="R346">
        <v>74221.98</v>
      </c>
      <c r="S346" s="25" t="e">
        <f>IF(Table1[[#This Row],[Sales]]=MIN(Table1[Sales]), Table1[[#This Row],[Sales]], NA())</f>
        <v>#N/A</v>
      </c>
      <c r="T346" s="25">
        <f>IF(AND(Table1[[#This Row],[Sales]]&lt;&gt;MIN(Table1[Sales]),Table1[[#This Row],[Sales]]&lt;&gt;MAX(Table1[Sales])), Table1[[#This Row],[Sales]], NA())</f>
        <v>74221.98</v>
      </c>
      <c r="U346" s="25" t="e">
        <f>IF(Table1[[#This Row],[Sales]]=MAX(Table1[Sales]), Table1[[#This Row],[Sales]], NA())</f>
        <v>#N/A</v>
      </c>
      <c r="V346">
        <v>3</v>
      </c>
      <c r="W346">
        <v>0.3</v>
      </c>
      <c r="X346">
        <v>371.11</v>
      </c>
      <c r="Y346" s="3">
        <f>YEAR(Table1[[#This Row],[Order Date]])</f>
        <v>2024</v>
      </c>
      <c r="Z346" s="3" t="str">
        <f>TEXT(Table1[[#This Row],[Order Date]],"MMM")</f>
        <v>Feb</v>
      </c>
      <c r="AA346" s="3">
        <f>DAY(Table1[[#This Row],[Order Date]])</f>
        <v>10</v>
      </c>
    </row>
    <row r="347" spans="1:27" x14ac:dyDescent="0.35">
      <c r="A347" s="1">
        <v>346</v>
      </c>
      <c r="B347" s="1" t="s">
        <v>1679</v>
      </c>
      <c r="C347" s="1" t="s">
        <v>519</v>
      </c>
      <c r="D347" s="1" t="s">
        <v>1680</v>
      </c>
      <c r="E347" t="s">
        <v>24</v>
      </c>
      <c r="F347" t="s">
        <v>1681</v>
      </c>
      <c r="G347" t="s">
        <v>140</v>
      </c>
      <c r="H347" t="s">
        <v>27</v>
      </c>
      <c r="I347" s="1" t="s">
        <v>28</v>
      </c>
      <c r="J347" t="s">
        <v>128</v>
      </c>
      <c r="K347" t="s">
        <v>129</v>
      </c>
      <c r="L347" s="1">
        <v>125816</v>
      </c>
      <c r="M347" s="1" t="s">
        <v>66</v>
      </c>
      <c r="N347" t="s">
        <v>1682</v>
      </c>
      <c r="O347" t="s">
        <v>46</v>
      </c>
      <c r="P347" t="s">
        <v>47</v>
      </c>
      <c r="Q347" t="s">
        <v>48</v>
      </c>
      <c r="R347">
        <v>57154.05</v>
      </c>
      <c r="S347" s="25" t="e">
        <f>IF(Table1[[#This Row],[Sales]]=MIN(Table1[Sales]), Table1[[#This Row],[Sales]], NA())</f>
        <v>#N/A</v>
      </c>
      <c r="T347" s="25">
        <f>IF(AND(Table1[[#This Row],[Sales]]&lt;&gt;MIN(Table1[Sales]),Table1[[#This Row],[Sales]]&lt;&gt;MAX(Table1[Sales])), Table1[[#This Row],[Sales]], NA())</f>
        <v>57154.05</v>
      </c>
      <c r="U347" s="25" t="e">
        <f>IF(Table1[[#This Row],[Sales]]=MAX(Table1[Sales]), Table1[[#This Row],[Sales]], NA())</f>
        <v>#N/A</v>
      </c>
      <c r="V347">
        <v>3</v>
      </c>
      <c r="W347">
        <v>0.2</v>
      </c>
      <c r="X347">
        <v>1714.62</v>
      </c>
      <c r="Y347" s="3">
        <f>YEAR(Table1[[#This Row],[Order Date]])</f>
        <v>2021</v>
      </c>
      <c r="Z347" s="3" t="str">
        <f>TEXT(Table1[[#This Row],[Order Date]],"MMM")</f>
        <v>Apr</v>
      </c>
      <c r="AA347" s="3">
        <f>DAY(Table1[[#This Row],[Order Date]])</f>
        <v>2</v>
      </c>
    </row>
    <row r="348" spans="1:27" x14ac:dyDescent="0.35">
      <c r="A348" s="1">
        <v>347</v>
      </c>
      <c r="B348" s="1" t="s">
        <v>1683</v>
      </c>
      <c r="C348" s="1" t="s">
        <v>1238</v>
      </c>
      <c r="D348" s="1" t="s">
        <v>1684</v>
      </c>
      <c r="E348" t="s">
        <v>115</v>
      </c>
      <c r="F348" t="s">
        <v>1685</v>
      </c>
      <c r="G348" t="s">
        <v>93</v>
      </c>
      <c r="H348" t="s">
        <v>94</v>
      </c>
      <c r="I348" s="1" t="s">
        <v>28</v>
      </c>
      <c r="J348" t="s">
        <v>53</v>
      </c>
      <c r="K348" t="s">
        <v>54</v>
      </c>
      <c r="L348" s="1">
        <v>777596</v>
      </c>
      <c r="M348" s="1" t="s">
        <v>55</v>
      </c>
      <c r="N348" t="s">
        <v>1686</v>
      </c>
      <c r="O348" t="s">
        <v>46</v>
      </c>
      <c r="P348" t="s">
        <v>47</v>
      </c>
      <c r="Q348" t="s">
        <v>48</v>
      </c>
      <c r="R348">
        <v>31761.99</v>
      </c>
      <c r="S348" s="25" t="e">
        <f>IF(Table1[[#This Row],[Sales]]=MIN(Table1[Sales]), Table1[[#This Row],[Sales]], NA())</f>
        <v>#N/A</v>
      </c>
      <c r="T348" s="25">
        <f>IF(AND(Table1[[#This Row],[Sales]]&lt;&gt;MIN(Table1[Sales]),Table1[[#This Row],[Sales]]&lt;&gt;MAX(Table1[Sales])), Table1[[#This Row],[Sales]], NA())</f>
        <v>31761.99</v>
      </c>
      <c r="U348" s="25" t="e">
        <f>IF(Table1[[#This Row],[Sales]]=MAX(Table1[Sales]), Table1[[#This Row],[Sales]], NA())</f>
        <v>#N/A</v>
      </c>
      <c r="V348">
        <v>3</v>
      </c>
      <c r="W348">
        <v>0</v>
      </c>
      <c r="X348">
        <v>2540.96</v>
      </c>
      <c r="Y348" s="3">
        <f>YEAR(Table1[[#This Row],[Order Date]])</f>
        <v>2025</v>
      </c>
      <c r="Z348" s="3" t="str">
        <f>TEXT(Table1[[#This Row],[Order Date]],"MMM")</f>
        <v>Aug</v>
      </c>
      <c r="AA348" s="3">
        <f>DAY(Table1[[#This Row],[Order Date]])</f>
        <v>8</v>
      </c>
    </row>
    <row r="349" spans="1:27" x14ac:dyDescent="0.35">
      <c r="A349" s="1">
        <v>348</v>
      </c>
      <c r="B349" s="1" t="s">
        <v>1687</v>
      </c>
      <c r="C349" s="1" t="s">
        <v>875</v>
      </c>
      <c r="D349" s="1" t="s">
        <v>1688</v>
      </c>
      <c r="E349" t="s">
        <v>24</v>
      </c>
      <c r="F349" t="s">
        <v>1689</v>
      </c>
      <c r="G349" t="s">
        <v>140</v>
      </c>
      <c r="H349" t="s">
        <v>94</v>
      </c>
      <c r="I349" s="1" t="s">
        <v>28</v>
      </c>
      <c r="J349" t="s">
        <v>53</v>
      </c>
      <c r="K349" t="s">
        <v>54</v>
      </c>
      <c r="L349" s="1">
        <v>205312</v>
      </c>
      <c r="M349" s="1" t="s">
        <v>55</v>
      </c>
      <c r="N349" t="s">
        <v>1690</v>
      </c>
      <c r="O349" t="s">
        <v>32</v>
      </c>
      <c r="P349" t="s">
        <v>33</v>
      </c>
      <c r="Q349" t="s">
        <v>34</v>
      </c>
      <c r="R349">
        <v>32020.35</v>
      </c>
      <c r="S349" s="25" t="e">
        <f>IF(Table1[[#This Row],[Sales]]=MIN(Table1[Sales]), Table1[[#This Row],[Sales]], NA())</f>
        <v>#N/A</v>
      </c>
      <c r="T349" s="25">
        <f>IF(AND(Table1[[#This Row],[Sales]]&lt;&gt;MIN(Table1[Sales]),Table1[[#This Row],[Sales]]&lt;&gt;MAX(Table1[Sales])), Table1[[#This Row],[Sales]], NA())</f>
        <v>32020.35</v>
      </c>
      <c r="U349" s="25" t="e">
        <f>IF(Table1[[#This Row],[Sales]]=MAX(Table1[Sales]), Table1[[#This Row],[Sales]], NA())</f>
        <v>#N/A</v>
      </c>
      <c r="V349">
        <v>10</v>
      </c>
      <c r="W349">
        <v>0.1</v>
      </c>
      <c r="X349">
        <v>1761.12</v>
      </c>
      <c r="Y349" s="3">
        <f>YEAR(Table1[[#This Row],[Order Date]])</f>
        <v>2022</v>
      </c>
      <c r="Z349" s="3" t="str">
        <f>TEXT(Table1[[#This Row],[Order Date]],"MMM")</f>
        <v>Jul</v>
      </c>
      <c r="AA349" s="3">
        <f>DAY(Table1[[#This Row],[Order Date]])</f>
        <v>17</v>
      </c>
    </row>
    <row r="350" spans="1:27" x14ac:dyDescent="0.35">
      <c r="A350" s="1">
        <v>349</v>
      </c>
      <c r="B350" s="1" t="s">
        <v>1691</v>
      </c>
      <c r="C350" s="1" t="s">
        <v>1445</v>
      </c>
      <c r="D350" s="1" t="s">
        <v>272</v>
      </c>
      <c r="E350" t="s">
        <v>115</v>
      </c>
      <c r="F350" t="s">
        <v>1692</v>
      </c>
      <c r="G350" t="s">
        <v>81</v>
      </c>
      <c r="H350" t="s">
        <v>27</v>
      </c>
      <c r="I350" s="1" t="s">
        <v>28</v>
      </c>
      <c r="J350" t="s">
        <v>29</v>
      </c>
      <c r="K350" t="s">
        <v>29</v>
      </c>
      <c r="L350" s="1">
        <v>864332</v>
      </c>
      <c r="M350" s="1" t="s">
        <v>30</v>
      </c>
      <c r="N350" t="s">
        <v>1693</v>
      </c>
      <c r="O350" t="s">
        <v>32</v>
      </c>
      <c r="P350" t="s">
        <v>33</v>
      </c>
      <c r="Q350" t="s">
        <v>34</v>
      </c>
      <c r="R350">
        <v>52243.45</v>
      </c>
      <c r="S350" s="25" t="e">
        <f>IF(Table1[[#This Row],[Sales]]=MIN(Table1[Sales]), Table1[[#This Row],[Sales]], NA())</f>
        <v>#N/A</v>
      </c>
      <c r="T350" s="25">
        <f>IF(AND(Table1[[#This Row],[Sales]]&lt;&gt;MIN(Table1[Sales]),Table1[[#This Row],[Sales]]&lt;&gt;MAX(Table1[Sales])), Table1[[#This Row],[Sales]], NA())</f>
        <v>52243.45</v>
      </c>
      <c r="U350" s="25" t="e">
        <f>IF(Table1[[#This Row],[Sales]]=MAX(Table1[Sales]), Table1[[#This Row],[Sales]], NA())</f>
        <v>#N/A</v>
      </c>
      <c r="V350">
        <v>4</v>
      </c>
      <c r="W350">
        <v>0.2</v>
      </c>
      <c r="X350">
        <v>1567.3</v>
      </c>
      <c r="Y350" s="3">
        <f>YEAR(Table1[[#This Row],[Order Date]])</f>
        <v>2025</v>
      </c>
      <c r="Z350" s="3" t="str">
        <f>TEXT(Table1[[#This Row],[Order Date]],"MMM")</f>
        <v>Oct</v>
      </c>
      <c r="AA350" s="3">
        <f>DAY(Table1[[#This Row],[Order Date]])</f>
        <v>28</v>
      </c>
    </row>
    <row r="351" spans="1:27" x14ac:dyDescent="0.35">
      <c r="A351" s="1">
        <v>350</v>
      </c>
      <c r="B351" s="1" t="s">
        <v>1694</v>
      </c>
      <c r="C351" s="1" t="s">
        <v>1695</v>
      </c>
      <c r="D351" s="1" t="s">
        <v>897</v>
      </c>
      <c r="E351" t="s">
        <v>62</v>
      </c>
      <c r="F351" t="s">
        <v>1696</v>
      </c>
      <c r="G351" t="s">
        <v>188</v>
      </c>
      <c r="H351" t="s">
        <v>27</v>
      </c>
      <c r="I351" s="1" t="s">
        <v>28</v>
      </c>
      <c r="J351" t="s">
        <v>128</v>
      </c>
      <c r="K351" t="s">
        <v>129</v>
      </c>
      <c r="L351" s="1">
        <v>699093</v>
      </c>
      <c r="M351" s="1" t="s">
        <v>66</v>
      </c>
      <c r="N351" t="s">
        <v>1697</v>
      </c>
      <c r="O351" t="s">
        <v>46</v>
      </c>
      <c r="P351" t="s">
        <v>57</v>
      </c>
      <c r="Q351" t="s">
        <v>58</v>
      </c>
      <c r="R351">
        <v>51344.76</v>
      </c>
      <c r="S351" s="25" t="e">
        <f>IF(Table1[[#This Row],[Sales]]=MIN(Table1[Sales]), Table1[[#This Row],[Sales]], NA())</f>
        <v>#N/A</v>
      </c>
      <c r="T351" s="25">
        <f>IF(AND(Table1[[#This Row],[Sales]]&lt;&gt;MIN(Table1[Sales]),Table1[[#This Row],[Sales]]&lt;&gt;MAX(Table1[Sales])), Table1[[#This Row],[Sales]], NA())</f>
        <v>51344.76</v>
      </c>
      <c r="U351" s="25" t="e">
        <f>IF(Table1[[#This Row],[Sales]]=MAX(Table1[Sales]), Table1[[#This Row],[Sales]], NA())</f>
        <v>#N/A</v>
      </c>
      <c r="V351">
        <v>9</v>
      </c>
      <c r="W351">
        <v>0.1</v>
      </c>
      <c r="X351">
        <v>2823.96</v>
      </c>
      <c r="Y351" s="3">
        <f>YEAR(Table1[[#This Row],[Order Date]])</f>
        <v>2025</v>
      </c>
      <c r="Z351" s="3" t="str">
        <f>TEXT(Table1[[#This Row],[Order Date]],"MMM")</f>
        <v>May</v>
      </c>
      <c r="AA351" s="3">
        <f>DAY(Table1[[#This Row],[Order Date]])</f>
        <v>29</v>
      </c>
    </row>
    <row r="352" spans="1:27" x14ac:dyDescent="0.35">
      <c r="A352" s="1">
        <v>351</v>
      </c>
      <c r="B352" s="1" t="s">
        <v>1698</v>
      </c>
      <c r="C352" s="1" t="s">
        <v>226</v>
      </c>
      <c r="D352" s="1" t="s">
        <v>1699</v>
      </c>
      <c r="E352" t="s">
        <v>62</v>
      </c>
      <c r="F352" t="s">
        <v>1700</v>
      </c>
      <c r="G352" t="s">
        <v>188</v>
      </c>
      <c r="H352" t="s">
        <v>27</v>
      </c>
      <c r="I352" s="1" t="s">
        <v>28</v>
      </c>
      <c r="J352" t="s">
        <v>53</v>
      </c>
      <c r="K352" t="s">
        <v>54</v>
      </c>
      <c r="L352" s="1">
        <v>833445</v>
      </c>
      <c r="M352" s="1" t="s">
        <v>55</v>
      </c>
      <c r="N352" t="s">
        <v>1701</v>
      </c>
      <c r="O352" t="s">
        <v>46</v>
      </c>
      <c r="P352" t="s">
        <v>47</v>
      </c>
      <c r="Q352" t="s">
        <v>48</v>
      </c>
      <c r="R352">
        <v>97621.15</v>
      </c>
      <c r="S352" s="25" t="e">
        <f>IF(Table1[[#This Row],[Sales]]=MIN(Table1[Sales]), Table1[[#This Row],[Sales]], NA())</f>
        <v>#N/A</v>
      </c>
      <c r="T352" s="25">
        <f>IF(AND(Table1[[#This Row],[Sales]]&lt;&gt;MIN(Table1[Sales]),Table1[[#This Row],[Sales]]&lt;&gt;MAX(Table1[Sales])), Table1[[#This Row],[Sales]], NA())</f>
        <v>97621.15</v>
      </c>
      <c r="U352" s="25" t="e">
        <f>IF(Table1[[#This Row],[Sales]]=MAX(Table1[Sales]), Table1[[#This Row],[Sales]], NA())</f>
        <v>#N/A</v>
      </c>
      <c r="V352">
        <v>2</v>
      </c>
      <c r="W352">
        <v>0.2</v>
      </c>
      <c r="X352">
        <v>2928.63</v>
      </c>
      <c r="Y352" s="3">
        <f>YEAR(Table1[[#This Row],[Order Date]])</f>
        <v>2023</v>
      </c>
      <c r="Z352" s="3" t="str">
        <f>TEXT(Table1[[#This Row],[Order Date]],"MMM")</f>
        <v>Jan</v>
      </c>
      <c r="AA352" s="3">
        <f>DAY(Table1[[#This Row],[Order Date]])</f>
        <v>30</v>
      </c>
    </row>
    <row r="353" spans="1:27" x14ac:dyDescent="0.35">
      <c r="A353" s="1">
        <v>352</v>
      </c>
      <c r="B353" s="1" t="s">
        <v>1702</v>
      </c>
      <c r="C353" s="1" t="s">
        <v>1703</v>
      </c>
      <c r="D353" s="1" t="s">
        <v>1704</v>
      </c>
      <c r="E353" t="s">
        <v>62</v>
      </c>
      <c r="F353" t="s">
        <v>1705</v>
      </c>
      <c r="G353" t="s">
        <v>40</v>
      </c>
      <c r="H353" t="s">
        <v>27</v>
      </c>
      <c r="I353" s="1" t="s">
        <v>28</v>
      </c>
      <c r="J353" t="s">
        <v>29</v>
      </c>
      <c r="K353" t="s">
        <v>29</v>
      </c>
      <c r="L353" s="1">
        <v>360144</v>
      </c>
      <c r="M353" s="1" t="s">
        <v>30</v>
      </c>
      <c r="N353" t="s">
        <v>1706</v>
      </c>
      <c r="O353" t="s">
        <v>32</v>
      </c>
      <c r="P353" t="s">
        <v>33</v>
      </c>
      <c r="Q353" t="s">
        <v>34</v>
      </c>
      <c r="R353">
        <v>46796.43</v>
      </c>
      <c r="S353" s="25" t="e">
        <f>IF(Table1[[#This Row],[Sales]]=MIN(Table1[Sales]), Table1[[#This Row],[Sales]], NA())</f>
        <v>#N/A</v>
      </c>
      <c r="T353" s="25">
        <f>IF(AND(Table1[[#This Row],[Sales]]&lt;&gt;MIN(Table1[Sales]),Table1[[#This Row],[Sales]]&lt;&gt;MAX(Table1[Sales])), Table1[[#This Row],[Sales]], NA())</f>
        <v>46796.43</v>
      </c>
      <c r="U353" s="25" t="e">
        <f>IF(Table1[[#This Row],[Sales]]=MAX(Table1[Sales]), Table1[[#This Row],[Sales]], NA())</f>
        <v>#N/A</v>
      </c>
      <c r="V353">
        <v>6</v>
      </c>
      <c r="W353">
        <v>0.1</v>
      </c>
      <c r="X353">
        <v>2573.8000000000002</v>
      </c>
      <c r="Y353" s="3">
        <f>YEAR(Table1[[#This Row],[Order Date]])</f>
        <v>2024</v>
      </c>
      <c r="Z353" s="3" t="str">
        <f>TEXT(Table1[[#This Row],[Order Date]],"MMM")</f>
        <v>Oct</v>
      </c>
      <c r="AA353" s="3">
        <f>DAY(Table1[[#This Row],[Order Date]])</f>
        <v>5</v>
      </c>
    </row>
    <row r="354" spans="1:27" x14ac:dyDescent="0.35">
      <c r="A354" s="1">
        <v>353</v>
      </c>
      <c r="B354" s="1" t="s">
        <v>1707</v>
      </c>
      <c r="C354" s="1" t="s">
        <v>1708</v>
      </c>
      <c r="D354" s="1" t="s">
        <v>378</v>
      </c>
      <c r="E354" t="s">
        <v>62</v>
      </c>
      <c r="F354" t="s">
        <v>1709</v>
      </c>
      <c r="G354" t="s">
        <v>188</v>
      </c>
      <c r="H354" t="s">
        <v>41</v>
      </c>
      <c r="I354" s="1" t="s">
        <v>28</v>
      </c>
      <c r="J354" t="s">
        <v>42</v>
      </c>
      <c r="K354" t="s">
        <v>43</v>
      </c>
      <c r="L354" s="1">
        <v>155830</v>
      </c>
      <c r="M354" s="1" t="s">
        <v>44</v>
      </c>
      <c r="N354" t="s">
        <v>1710</v>
      </c>
      <c r="O354" t="s">
        <v>46</v>
      </c>
      <c r="P354" t="s">
        <v>57</v>
      </c>
      <c r="Q354" t="s">
        <v>58</v>
      </c>
      <c r="R354">
        <v>62246.96</v>
      </c>
      <c r="S354" s="25" t="e">
        <f>IF(Table1[[#This Row],[Sales]]=MIN(Table1[Sales]), Table1[[#This Row],[Sales]], NA())</f>
        <v>#N/A</v>
      </c>
      <c r="T354" s="25">
        <f>IF(AND(Table1[[#This Row],[Sales]]&lt;&gt;MIN(Table1[Sales]),Table1[[#This Row],[Sales]]&lt;&gt;MAX(Table1[Sales])), Table1[[#This Row],[Sales]], NA())</f>
        <v>62246.96</v>
      </c>
      <c r="U354" s="25" t="e">
        <f>IF(Table1[[#This Row],[Sales]]=MAX(Table1[Sales]), Table1[[#This Row],[Sales]], NA())</f>
        <v>#N/A</v>
      </c>
      <c r="V354">
        <v>3</v>
      </c>
      <c r="W354">
        <v>0.3</v>
      </c>
      <c r="X354">
        <v>311.23</v>
      </c>
      <c r="Y354" s="3">
        <f>YEAR(Table1[[#This Row],[Order Date]])</f>
        <v>2023</v>
      </c>
      <c r="Z354" s="3" t="str">
        <f>TEXT(Table1[[#This Row],[Order Date]],"MMM")</f>
        <v>Oct</v>
      </c>
      <c r="AA354" s="3">
        <f>DAY(Table1[[#This Row],[Order Date]])</f>
        <v>30</v>
      </c>
    </row>
    <row r="355" spans="1:27" x14ac:dyDescent="0.35">
      <c r="A355" s="1">
        <v>354</v>
      </c>
      <c r="B355" s="1" t="s">
        <v>1711</v>
      </c>
      <c r="C355" s="1" t="s">
        <v>335</v>
      </c>
      <c r="D355" s="1" t="s">
        <v>1712</v>
      </c>
      <c r="E355" t="s">
        <v>115</v>
      </c>
      <c r="F355" t="s">
        <v>1713</v>
      </c>
      <c r="G355" t="s">
        <v>188</v>
      </c>
      <c r="H355" t="s">
        <v>41</v>
      </c>
      <c r="I355" s="1" t="s">
        <v>28</v>
      </c>
      <c r="J355" t="s">
        <v>42</v>
      </c>
      <c r="K355" t="s">
        <v>43</v>
      </c>
      <c r="L355" s="1">
        <v>530522</v>
      </c>
      <c r="M355" s="1" t="s">
        <v>44</v>
      </c>
      <c r="N355" t="s">
        <v>1714</v>
      </c>
      <c r="O355" t="s">
        <v>32</v>
      </c>
      <c r="P355" t="s">
        <v>33</v>
      </c>
      <c r="Q355" t="s">
        <v>34</v>
      </c>
      <c r="R355">
        <v>14439.86</v>
      </c>
      <c r="S355" s="25" t="e">
        <f>IF(Table1[[#This Row],[Sales]]=MIN(Table1[Sales]), Table1[[#This Row],[Sales]], NA())</f>
        <v>#N/A</v>
      </c>
      <c r="T355" s="25">
        <f>IF(AND(Table1[[#This Row],[Sales]]&lt;&gt;MIN(Table1[Sales]),Table1[[#This Row],[Sales]]&lt;&gt;MAX(Table1[Sales])), Table1[[#This Row],[Sales]], NA())</f>
        <v>14439.86</v>
      </c>
      <c r="U355" s="25" t="e">
        <f>IF(Table1[[#This Row],[Sales]]=MAX(Table1[Sales]), Table1[[#This Row],[Sales]], NA())</f>
        <v>#N/A</v>
      </c>
      <c r="V355">
        <v>2</v>
      </c>
      <c r="W355">
        <v>0.3</v>
      </c>
      <c r="X355">
        <v>72.2</v>
      </c>
      <c r="Y355" s="3">
        <f>YEAR(Table1[[#This Row],[Order Date]])</f>
        <v>2022</v>
      </c>
      <c r="Z355" s="3" t="str">
        <f>TEXT(Table1[[#This Row],[Order Date]],"MMM")</f>
        <v>Aug</v>
      </c>
      <c r="AA355" s="3">
        <f>DAY(Table1[[#This Row],[Order Date]])</f>
        <v>1</v>
      </c>
    </row>
    <row r="356" spans="1:27" x14ac:dyDescent="0.35">
      <c r="A356" s="1">
        <v>355</v>
      </c>
      <c r="B356" s="1" t="s">
        <v>1715</v>
      </c>
      <c r="C356" s="1" t="s">
        <v>1543</v>
      </c>
      <c r="D356" s="1" t="s">
        <v>397</v>
      </c>
      <c r="E356" t="s">
        <v>24</v>
      </c>
      <c r="F356" t="s">
        <v>1716</v>
      </c>
      <c r="G356" t="s">
        <v>75</v>
      </c>
      <c r="H356" t="s">
        <v>27</v>
      </c>
      <c r="I356" s="1" t="s">
        <v>28</v>
      </c>
      <c r="J356" t="s">
        <v>53</v>
      </c>
      <c r="K356" t="s">
        <v>54</v>
      </c>
      <c r="L356" s="1">
        <v>557655</v>
      </c>
      <c r="M356" s="1" t="s">
        <v>55</v>
      </c>
      <c r="N356" t="s">
        <v>1717</v>
      </c>
      <c r="O356" t="s">
        <v>46</v>
      </c>
      <c r="P356" t="s">
        <v>57</v>
      </c>
      <c r="Q356" t="s">
        <v>58</v>
      </c>
      <c r="R356">
        <v>89265.61</v>
      </c>
      <c r="S356" s="25" t="e">
        <f>IF(Table1[[#This Row],[Sales]]=MIN(Table1[Sales]), Table1[[#This Row],[Sales]], NA())</f>
        <v>#N/A</v>
      </c>
      <c r="T356" s="25">
        <f>IF(AND(Table1[[#This Row],[Sales]]&lt;&gt;MIN(Table1[Sales]),Table1[[#This Row],[Sales]]&lt;&gt;MAX(Table1[Sales])), Table1[[#This Row],[Sales]], NA())</f>
        <v>89265.61</v>
      </c>
      <c r="U356" s="25" t="e">
        <f>IF(Table1[[#This Row],[Sales]]=MAX(Table1[Sales]), Table1[[#This Row],[Sales]], NA())</f>
        <v>#N/A</v>
      </c>
      <c r="V356">
        <v>4</v>
      </c>
      <c r="W356">
        <v>0</v>
      </c>
      <c r="X356">
        <v>7141.25</v>
      </c>
      <c r="Y356" s="3">
        <f>YEAR(Table1[[#This Row],[Order Date]])</f>
        <v>2021</v>
      </c>
      <c r="Z356" s="3" t="str">
        <f>TEXT(Table1[[#This Row],[Order Date]],"MMM")</f>
        <v>Dec</v>
      </c>
      <c r="AA356" s="3">
        <f>DAY(Table1[[#This Row],[Order Date]])</f>
        <v>5</v>
      </c>
    </row>
    <row r="357" spans="1:27" x14ac:dyDescent="0.35">
      <c r="A357" s="1">
        <v>356</v>
      </c>
      <c r="B357" s="1" t="s">
        <v>1718</v>
      </c>
      <c r="C357" s="1" t="s">
        <v>306</v>
      </c>
      <c r="D357" s="1" t="s">
        <v>1474</v>
      </c>
      <c r="E357" t="s">
        <v>62</v>
      </c>
      <c r="F357" t="s">
        <v>1719</v>
      </c>
      <c r="G357" t="s">
        <v>93</v>
      </c>
      <c r="H357" t="s">
        <v>41</v>
      </c>
      <c r="I357" s="1" t="s">
        <v>28</v>
      </c>
      <c r="J357" t="s">
        <v>64</v>
      </c>
      <c r="K357" t="s">
        <v>65</v>
      </c>
      <c r="L357" s="1">
        <v>841482</v>
      </c>
      <c r="M357" s="1" t="s">
        <v>66</v>
      </c>
      <c r="N357" t="s">
        <v>1720</v>
      </c>
      <c r="O357" t="s">
        <v>46</v>
      </c>
      <c r="P357" t="s">
        <v>57</v>
      </c>
      <c r="Q357" t="s">
        <v>58</v>
      </c>
      <c r="R357">
        <v>25575.99</v>
      </c>
      <c r="S357" s="25" t="e">
        <f>IF(Table1[[#This Row],[Sales]]=MIN(Table1[Sales]), Table1[[#This Row],[Sales]], NA())</f>
        <v>#N/A</v>
      </c>
      <c r="T357" s="25">
        <f>IF(AND(Table1[[#This Row],[Sales]]&lt;&gt;MIN(Table1[Sales]),Table1[[#This Row],[Sales]]&lt;&gt;MAX(Table1[Sales])), Table1[[#This Row],[Sales]], NA())</f>
        <v>25575.99</v>
      </c>
      <c r="U357" s="25" t="e">
        <f>IF(Table1[[#This Row],[Sales]]=MAX(Table1[Sales]), Table1[[#This Row],[Sales]], NA())</f>
        <v>#N/A</v>
      </c>
      <c r="V357">
        <v>2</v>
      </c>
      <c r="W357">
        <v>0</v>
      </c>
      <c r="X357">
        <v>2046.08</v>
      </c>
      <c r="Y357" s="3">
        <f>YEAR(Table1[[#This Row],[Order Date]])</f>
        <v>2024</v>
      </c>
      <c r="Z357" s="3" t="str">
        <f>TEXT(Table1[[#This Row],[Order Date]],"MMM")</f>
        <v>Dec</v>
      </c>
      <c r="AA357" s="3">
        <f>DAY(Table1[[#This Row],[Order Date]])</f>
        <v>7</v>
      </c>
    </row>
    <row r="358" spans="1:27" x14ac:dyDescent="0.35">
      <c r="A358" s="1">
        <v>357</v>
      </c>
      <c r="B358" s="1" t="s">
        <v>1721</v>
      </c>
      <c r="C358" s="1" t="s">
        <v>1722</v>
      </c>
      <c r="D358" s="1" t="s">
        <v>1723</v>
      </c>
      <c r="E358" t="s">
        <v>62</v>
      </c>
      <c r="F358" t="s">
        <v>1724</v>
      </c>
      <c r="G358" t="s">
        <v>81</v>
      </c>
      <c r="H358" t="s">
        <v>41</v>
      </c>
      <c r="I358" s="1" t="s">
        <v>28</v>
      </c>
      <c r="J358" t="s">
        <v>128</v>
      </c>
      <c r="K358" t="s">
        <v>129</v>
      </c>
      <c r="L358" s="1">
        <v>253301</v>
      </c>
      <c r="M358" s="1" t="s">
        <v>66</v>
      </c>
      <c r="N358" t="s">
        <v>1725</v>
      </c>
      <c r="O358" t="s">
        <v>68</v>
      </c>
      <c r="P358" t="s">
        <v>69</v>
      </c>
      <c r="Q358" t="s">
        <v>70</v>
      </c>
      <c r="R358">
        <v>22156.16</v>
      </c>
      <c r="S358" s="25" t="e">
        <f>IF(Table1[[#This Row],[Sales]]=MIN(Table1[Sales]), Table1[[#This Row],[Sales]], NA())</f>
        <v>#N/A</v>
      </c>
      <c r="T358" s="25">
        <f>IF(AND(Table1[[#This Row],[Sales]]&lt;&gt;MIN(Table1[Sales]),Table1[[#This Row],[Sales]]&lt;&gt;MAX(Table1[Sales])), Table1[[#This Row],[Sales]], NA())</f>
        <v>22156.16</v>
      </c>
      <c r="U358" s="25" t="e">
        <f>IF(Table1[[#This Row],[Sales]]=MAX(Table1[Sales]), Table1[[#This Row],[Sales]], NA())</f>
        <v>#N/A</v>
      </c>
      <c r="V358">
        <v>4</v>
      </c>
      <c r="W358">
        <v>0.2</v>
      </c>
      <c r="X358">
        <v>664.68</v>
      </c>
      <c r="Y358" s="3">
        <f>YEAR(Table1[[#This Row],[Order Date]])</f>
        <v>2022</v>
      </c>
      <c r="Z358" s="3" t="str">
        <f>TEXT(Table1[[#This Row],[Order Date]],"MMM")</f>
        <v>Sep</v>
      </c>
      <c r="AA358" s="3">
        <f>DAY(Table1[[#This Row],[Order Date]])</f>
        <v>19</v>
      </c>
    </row>
    <row r="359" spans="1:27" x14ac:dyDescent="0.35">
      <c r="A359" s="1">
        <v>358</v>
      </c>
      <c r="B359" s="1" t="s">
        <v>1726</v>
      </c>
      <c r="C359" s="1" t="s">
        <v>1727</v>
      </c>
      <c r="D359" s="1" t="s">
        <v>1371</v>
      </c>
      <c r="E359" t="s">
        <v>24</v>
      </c>
      <c r="F359" t="s">
        <v>1728</v>
      </c>
      <c r="G359" t="s">
        <v>75</v>
      </c>
      <c r="H359" t="s">
        <v>94</v>
      </c>
      <c r="I359" s="1" t="s">
        <v>28</v>
      </c>
      <c r="J359" t="s">
        <v>128</v>
      </c>
      <c r="K359" t="s">
        <v>129</v>
      </c>
      <c r="L359" s="1">
        <v>920070</v>
      </c>
      <c r="M359" s="1" t="s">
        <v>66</v>
      </c>
      <c r="N359" t="s">
        <v>1729</v>
      </c>
      <c r="O359" t="s">
        <v>46</v>
      </c>
      <c r="P359" t="s">
        <v>47</v>
      </c>
      <c r="Q359" t="s">
        <v>48</v>
      </c>
      <c r="R359">
        <v>91718.85</v>
      </c>
      <c r="S359" s="25" t="e">
        <f>IF(Table1[[#This Row],[Sales]]=MIN(Table1[Sales]), Table1[[#This Row],[Sales]], NA())</f>
        <v>#N/A</v>
      </c>
      <c r="T359" s="25">
        <f>IF(AND(Table1[[#This Row],[Sales]]&lt;&gt;MIN(Table1[Sales]),Table1[[#This Row],[Sales]]&lt;&gt;MAX(Table1[Sales])), Table1[[#This Row],[Sales]], NA())</f>
        <v>91718.85</v>
      </c>
      <c r="U359" s="25" t="e">
        <f>IF(Table1[[#This Row],[Sales]]=MAX(Table1[Sales]), Table1[[#This Row],[Sales]], NA())</f>
        <v>#N/A</v>
      </c>
      <c r="V359">
        <v>4</v>
      </c>
      <c r="W359">
        <v>0.1</v>
      </c>
      <c r="X359">
        <v>5044.54</v>
      </c>
      <c r="Y359" s="3">
        <f>YEAR(Table1[[#This Row],[Order Date]])</f>
        <v>2024</v>
      </c>
      <c r="Z359" s="3" t="str">
        <f>TEXT(Table1[[#This Row],[Order Date]],"MMM")</f>
        <v>Jun</v>
      </c>
      <c r="AA359" s="3">
        <f>DAY(Table1[[#This Row],[Order Date]])</f>
        <v>1</v>
      </c>
    </row>
    <row r="360" spans="1:27" x14ac:dyDescent="0.35">
      <c r="A360" s="1">
        <v>359</v>
      </c>
      <c r="B360" s="1" t="s">
        <v>1730</v>
      </c>
      <c r="C360" s="1" t="s">
        <v>1731</v>
      </c>
      <c r="D360" s="1" t="s">
        <v>1732</v>
      </c>
      <c r="E360" t="s">
        <v>115</v>
      </c>
      <c r="F360" t="s">
        <v>1733</v>
      </c>
      <c r="G360" t="s">
        <v>75</v>
      </c>
      <c r="H360" t="s">
        <v>94</v>
      </c>
      <c r="I360" s="1" t="s">
        <v>28</v>
      </c>
      <c r="J360" t="s">
        <v>29</v>
      </c>
      <c r="K360" t="s">
        <v>29</v>
      </c>
      <c r="L360" s="1">
        <v>783119</v>
      </c>
      <c r="M360" s="1" t="s">
        <v>30</v>
      </c>
      <c r="N360" t="s">
        <v>1734</v>
      </c>
      <c r="O360" t="s">
        <v>46</v>
      </c>
      <c r="P360" t="s">
        <v>47</v>
      </c>
      <c r="Q360" t="s">
        <v>48</v>
      </c>
      <c r="R360">
        <v>37078.89</v>
      </c>
      <c r="S360" s="25" t="e">
        <f>IF(Table1[[#This Row],[Sales]]=MIN(Table1[Sales]), Table1[[#This Row],[Sales]], NA())</f>
        <v>#N/A</v>
      </c>
      <c r="T360" s="25">
        <f>IF(AND(Table1[[#This Row],[Sales]]&lt;&gt;MIN(Table1[Sales]),Table1[[#This Row],[Sales]]&lt;&gt;MAX(Table1[Sales])), Table1[[#This Row],[Sales]], NA())</f>
        <v>37078.89</v>
      </c>
      <c r="U360" s="25" t="e">
        <f>IF(Table1[[#This Row],[Sales]]=MAX(Table1[Sales]), Table1[[#This Row],[Sales]], NA())</f>
        <v>#N/A</v>
      </c>
      <c r="V360">
        <v>5</v>
      </c>
      <c r="W360">
        <v>0</v>
      </c>
      <c r="X360">
        <v>2966.31</v>
      </c>
      <c r="Y360" s="3">
        <f>YEAR(Table1[[#This Row],[Order Date]])</f>
        <v>2025</v>
      </c>
      <c r="Z360" s="3" t="str">
        <f>TEXT(Table1[[#This Row],[Order Date]],"MMM")</f>
        <v>Jun</v>
      </c>
      <c r="AA360" s="3">
        <f>DAY(Table1[[#This Row],[Order Date]])</f>
        <v>30</v>
      </c>
    </row>
    <row r="361" spans="1:27" x14ac:dyDescent="0.35">
      <c r="A361" s="1">
        <v>360</v>
      </c>
      <c r="B361" s="1" t="s">
        <v>1735</v>
      </c>
      <c r="C361" s="1" t="s">
        <v>1627</v>
      </c>
      <c r="D361" s="1" t="s">
        <v>1736</v>
      </c>
      <c r="E361" t="s">
        <v>38</v>
      </c>
      <c r="F361" t="s">
        <v>1737</v>
      </c>
      <c r="G361" t="s">
        <v>140</v>
      </c>
      <c r="H361" t="s">
        <v>41</v>
      </c>
      <c r="I361" s="1" t="s">
        <v>28</v>
      </c>
      <c r="J361" t="s">
        <v>64</v>
      </c>
      <c r="K361" t="s">
        <v>65</v>
      </c>
      <c r="L361" s="1">
        <v>773726</v>
      </c>
      <c r="M361" s="1" t="s">
        <v>66</v>
      </c>
      <c r="N361" t="s">
        <v>1738</v>
      </c>
      <c r="O361" t="s">
        <v>68</v>
      </c>
      <c r="P361" t="s">
        <v>69</v>
      </c>
      <c r="Q361" t="s">
        <v>70</v>
      </c>
      <c r="R361">
        <v>28405.29</v>
      </c>
      <c r="S361" s="25" t="e">
        <f>IF(Table1[[#This Row],[Sales]]=MIN(Table1[Sales]), Table1[[#This Row],[Sales]], NA())</f>
        <v>#N/A</v>
      </c>
      <c r="T361" s="25">
        <f>IF(AND(Table1[[#This Row],[Sales]]&lt;&gt;MIN(Table1[Sales]),Table1[[#This Row],[Sales]]&lt;&gt;MAX(Table1[Sales])), Table1[[#This Row],[Sales]], NA())</f>
        <v>28405.29</v>
      </c>
      <c r="U361" s="25" t="e">
        <f>IF(Table1[[#This Row],[Sales]]=MAX(Table1[Sales]), Table1[[#This Row],[Sales]], NA())</f>
        <v>#N/A</v>
      </c>
      <c r="V361">
        <v>4</v>
      </c>
      <c r="W361">
        <v>0.1</v>
      </c>
      <c r="X361">
        <v>1562.29</v>
      </c>
      <c r="Y361" s="3">
        <f>YEAR(Table1[[#This Row],[Order Date]])</f>
        <v>2025</v>
      </c>
      <c r="Z361" s="3" t="str">
        <f>TEXT(Table1[[#This Row],[Order Date]],"MMM")</f>
        <v>Dec</v>
      </c>
      <c r="AA361" s="3">
        <f>DAY(Table1[[#This Row],[Order Date]])</f>
        <v>22</v>
      </c>
    </row>
    <row r="362" spans="1:27" x14ac:dyDescent="0.35">
      <c r="A362" s="1">
        <v>361</v>
      </c>
      <c r="B362" s="1" t="s">
        <v>1739</v>
      </c>
      <c r="C362" s="1" t="s">
        <v>1740</v>
      </c>
      <c r="D362" s="1" t="s">
        <v>1741</v>
      </c>
      <c r="E362" t="s">
        <v>115</v>
      </c>
      <c r="F362" t="s">
        <v>1742</v>
      </c>
      <c r="G362" t="s">
        <v>140</v>
      </c>
      <c r="H362" t="s">
        <v>94</v>
      </c>
      <c r="I362" s="1" t="s">
        <v>28</v>
      </c>
      <c r="J362" t="s">
        <v>53</v>
      </c>
      <c r="K362" t="s">
        <v>54</v>
      </c>
      <c r="L362" s="1">
        <v>146349</v>
      </c>
      <c r="M362" s="1" t="s">
        <v>55</v>
      </c>
      <c r="N362" t="s">
        <v>1743</v>
      </c>
      <c r="O362" t="s">
        <v>46</v>
      </c>
      <c r="P362" t="s">
        <v>57</v>
      </c>
      <c r="Q362" t="s">
        <v>58</v>
      </c>
      <c r="R362">
        <v>33896.6</v>
      </c>
      <c r="S362" s="25" t="e">
        <f>IF(Table1[[#This Row],[Sales]]=MIN(Table1[Sales]), Table1[[#This Row],[Sales]], NA())</f>
        <v>#N/A</v>
      </c>
      <c r="T362" s="25">
        <f>IF(AND(Table1[[#This Row],[Sales]]&lt;&gt;MIN(Table1[Sales]),Table1[[#This Row],[Sales]]&lt;&gt;MAX(Table1[Sales])), Table1[[#This Row],[Sales]], NA())</f>
        <v>33896.6</v>
      </c>
      <c r="U362" s="25" t="e">
        <f>IF(Table1[[#This Row],[Sales]]=MAX(Table1[Sales]), Table1[[#This Row],[Sales]], NA())</f>
        <v>#N/A</v>
      </c>
      <c r="V362">
        <v>3</v>
      </c>
      <c r="W362">
        <v>0.1</v>
      </c>
      <c r="X362">
        <v>1864.31</v>
      </c>
      <c r="Y362" s="3">
        <f>YEAR(Table1[[#This Row],[Order Date]])</f>
        <v>2025</v>
      </c>
      <c r="Z362" s="3" t="str">
        <f>TEXT(Table1[[#This Row],[Order Date]],"MMM")</f>
        <v>May</v>
      </c>
      <c r="AA362" s="3">
        <f>DAY(Table1[[#This Row],[Order Date]])</f>
        <v>9</v>
      </c>
    </row>
    <row r="363" spans="1:27" x14ac:dyDescent="0.35">
      <c r="A363" s="1">
        <v>362</v>
      </c>
      <c r="B363" s="1" t="s">
        <v>1744</v>
      </c>
      <c r="C363" s="1" t="s">
        <v>1361</v>
      </c>
      <c r="D363" s="1" t="s">
        <v>428</v>
      </c>
      <c r="E363" t="s">
        <v>115</v>
      </c>
      <c r="F363" t="s">
        <v>1745</v>
      </c>
      <c r="G363" t="s">
        <v>75</v>
      </c>
      <c r="H363" t="s">
        <v>27</v>
      </c>
      <c r="I363" s="1" t="s">
        <v>28</v>
      </c>
      <c r="J363" t="s">
        <v>29</v>
      </c>
      <c r="K363" t="s">
        <v>29</v>
      </c>
      <c r="L363" s="1">
        <v>866723</v>
      </c>
      <c r="M363" s="1" t="s">
        <v>30</v>
      </c>
      <c r="N363" t="s">
        <v>1746</v>
      </c>
      <c r="O363" t="s">
        <v>46</v>
      </c>
      <c r="P363" t="s">
        <v>57</v>
      </c>
      <c r="Q363" t="s">
        <v>58</v>
      </c>
      <c r="R363">
        <v>30107.32</v>
      </c>
      <c r="S363" s="25" t="e">
        <f>IF(Table1[[#This Row],[Sales]]=MIN(Table1[Sales]), Table1[[#This Row],[Sales]], NA())</f>
        <v>#N/A</v>
      </c>
      <c r="T363" s="25">
        <f>IF(AND(Table1[[#This Row],[Sales]]&lt;&gt;MIN(Table1[Sales]),Table1[[#This Row],[Sales]]&lt;&gt;MAX(Table1[Sales])), Table1[[#This Row],[Sales]], NA())</f>
        <v>30107.32</v>
      </c>
      <c r="U363" s="25" t="e">
        <f>IF(Table1[[#This Row],[Sales]]=MAX(Table1[Sales]), Table1[[#This Row],[Sales]], NA())</f>
        <v>#N/A</v>
      </c>
      <c r="V363">
        <v>5</v>
      </c>
      <c r="W363">
        <v>0.2</v>
      </c>
      <c r="X363">
        <v>903.22</v>
      </c>
      <c r="Y363" s="3">
        <f>YEAR(Table1[[#This Row],[Order Date]])</f>
        <v>2024</v>
      </c>
      <c r="Z363" s="3" t="str">
        <f>TEXT(Table1[[#This Row],[Order Date]],"MMM")</f>
        <v>Aug</v>
      </c>
      <c r="AA363" s="3">
        <f>DAY(Table1[[#This Row],[Order Date]])</f>
        <v>16</v>
      </c>
    </row>
    <row r="364" spans="1:27" x14ac:dyDescent="0.35">
      <c r="A364" s="1">
        <v>363</v>
      </c>
      <c r="B364" s="1" t="s">
        <v>1747</v>
      </c>
      <c r="C364" s="1" t="s">
        <v>461</v>
      </c>
      <c r="D364" s="1" t="s">
        <v>417</v>
      </c>
      <c r="E364" t="s">
        <v>62</v>
      </c>
      <c r="F364" t="s">
        <v>1748</v>
      </c>
      <c r="G364" t="s">
        <v>93</v>
      </c>
      <c r="H364" t="s">
        <v>27</v>
      </c>
      <c r="I364" s="1" t="s">
        <v>28</v>
      </c>
      <c r="J364" t="s">
        <v>64</v>
      </c>
      <c r="K364" t="s">
        <v>65</v>
      </c>
      <c r="L364" s="1">
        <v>744397</v>
      </c>
      <c r="M364" s="1" t="s">
        <v>66</v>
      </c>
      <c r="N364" t="s">
        <v>1749</v>
      </c>
      <c r="O364" t="s">
        <v>32</v>
      </c>
      <c r="P364" t="s">
        <v>33</v>
      </c>
      <c r="Q364" t="s">
        <v>34</v>
      </c>
      <c r="R364">
        <v>81587.960000000006</v>
      </c>
      <c r="S364" s="25" t="e">
        <f>IF(Table1[[#This Row],[Sales]]=MIN(Table1[Sales]), Table1[[#This Row],[Sales]], NA())</f>
        <v>#N/A</v>
      </c>
      <c r="T364" s="25">
        <f>IF(AND(Table1[[#This Row],[Sales]]&lt;&gt;MIN(Table1[Sales]),Table1[[#This Row],[Sales]]&lt;&gt;MAX(Table1[Sales])), Table1[[#This Row],[Sales]], NA())</f>
        <v>81587.960000000006</v>
      </c>
      <c r="U364" s="25" t="e">
        <f>IF(Table1[[#This Row],[Sales]]=MAX(Table1[Sales]), Table1[[#This Row],[Sales]], NA())</f>
        <v>#N/A</v>
      </c>
      <c r="V364">
        <v>10</v>
      </c>
      <c r="W364">
        <v>0.3</v>
      </c>
      <c r="X364">
        <v>407.94</v>
      </c>
      <c r="Y364" s="3">
        <f>YEAR(Table1[[#This Row],[Order Date]])</f>
        <v>2021</v>
      </c>
      <c r="Z364" s="3" t="str">
        <f>TEXT(Table1[[#This Row],[Order Date]],"MMM")</f>
        <v>May</v>
      </c>
      <c r="AA364" s="3">
        <f>DAY(Table1[[#This Row],[Order Date]])</f>
        <v>1</v>
      </c>
    </row>
    <row r="365" spans="1:27" x14ac:dyDescent="0.35">
      <c r="A365" s="1">
        <v>364</v>
      </c>
      <c r="B365" s="1" t="s">
        <v>1750</v>
      </c>
      <c r="C365" s="1" t="s">
        <v>1751</v>
      </c>
      <c r="D365" s="1" t="s">
        <v>988</v>
      </c>
      <c r="E365" t="s">
        <v>24</v>
      </c>
      <c r="F365" t="s">
        <v>1752</v>
      </c>
      <c r="G365" t="s">
        <v>110</v>
      </c>
      <c r="H365" t="s">
        <v>94</v>
      </c>
      <c r="I365" s="1" t="s">
        <v>28</v>
      </c>
      <c r="J365" t="s">
        <v>128</v>
      </c>
      <c r="K365" t="s">
        <v>129</v>
      </c>
      <c r="L365" s="1">
        <v>191081</v>
      </c>
      <c r="M365" s="1" t="s">
        <v>66</v>
      </c>
      <c r="N365" t="s">
        <v>1753</v>
      </c>
      <c r="O365" t="s">
        <v>46</v>
      </c>
      <c r="P365" t="s">
        <v>47</v>
      </c>
      <c r="Q365" t="s">
        <v>48</v>
      </c>
      <c r="R365">
        <v>99774.04</v>
      </c>
      <c r="S365" s="25" t="e">
        <f>IF(Table1[[#This Row],[Sales]]=MIN(Table1[Sales]), Table1[[#This Row],[Sales]], NA())</f>
        <v>#N/A</v>
      </c>
      <c r="T365" s="25" t="e">
        <f>IF(AND(Table1[[#This Row],[Sales]]&lt;&gt;MIN(Table1[Sales]),Table1[[#This Row],[Sales]]&lt;&gt;MAX(Table1[Sales])), Table1[[#This Row],[Sales]], NA())</f>
        <v>#N/A</v>
      </c>
      <c r="U365" s="25">
        <f>IF(Table1[[#This Row],[Sales]]=MAX(Table1[Sales]), Table1[[#This Row],[Sales]], NA())</f>
        <v>99774.04</v>
      </c>
      <c r="V365">
        <v>6</v>
      </c>
      <c r="W365">
        <v>0.3</v>
      </c>
      <c r="X365">
        <v>498.87</v>
      </c>
      <c r="Y365" s="3">
        <f>YEAR(Table1[[#This Row],[Order Date]])</f>
        <v>2022</v>
      </c>
      <c r="Z365" s="3" t="str">
        <f>TEXT(Table1[[#This Row],[Order Date]],"MMM")</f>
        <v>Nov</v>
      </c>
      <c r="AA365" s="3">
        <f>DAY(Table1[[#This Row],[Order Date]])</f>
        <v>28</v>
      </c>
    </row>
    <row r="366" spans="1:27" x14ac:dyDescent="0.35">
      <c r="A366" s="1">
        <v>365</v>
      </c>
      <c r="B366" s="1" t="s">
        <v>1754</v>
      </c>
      <c r="C366" s="1" t="s">
        <v>678</v>
      </c>
      <c r="D366" s="1" t="s">
        <v>1755</v>
      </c>
      <c r="E366" t="s">
        <v>115</v>
      </c>
      <c r="F366" t="s">
        <v>1756</v>
      </c>
      <c r="G366" t="s">
        <v>26</v>
      </c>
      <c r="H366" t="s">
        <v>27</v>
      </c>
      <c r="I366" s="1" t="s">
        <v>28</v>
      </c>
      <c r="J366" t="s">
        <v>128</v>
      </c>
      <c r="K366" t="s">
        <v>129</v>
      </c>
      <c r="L366" s="1">
        <v>226895</v>
      </c>
      <c r="M366" s="1" t="s">
        <v>66</v>
      </c>
      <c r="N366" t="s">
        <v>1757</v>
      </c>
      <c r="O366" t="s">
        <v>46</v>
      </c>
      <c r="P366" t="s">
        <v>57</v>
      </c>
      <c r="Q366" t="s">
        <v>58</v>
      </c>
      <c r="R366">
        <v>46146.46</v>
      </c>
      <c r="S366" s="25" t="e">
        <f>IF(Table1[[#This Row],[Sales]]=MIN(Table1[Sales]), Table1[[#This Row],[Sales]], NA())</f>
        <v>#N/A</v>
      </c>
      <c r="T366" s="25">
        <f>IF(AND(Table1[[#This Row],[Sales]]&lt;&gt;MIN(Table1[Sales]),Table1[[#This Row],[Sales]]&lt;&gt;MAX(Table1[Sales])), Table1[[#This Row],[Sales]], NA())</f>
        <v>46146.46</v>
      </c>
      <c r="U366" s="25" t="e">
        <f>IF(Table1[[#This Row],[Sales]]=MAX(Table1[Sales]), Table1[[#This Row],[Sales]], NA())</f>
        <v>#N/A</v>
      </c>
      <c r="V366">
        <v>8</v>
      </c>
      <c r="W366">
        <v>0.1</v>
      </c>
      <c r="X366">
        <v>2538.06</v>
      </c>
      <c r="Y366" s="3">
        <f>YEAR(Table1[[#This Row],[Order Date]])</f>
        <v>2022</v>
      </c>
      <c r="Z366" s="3" t="str">
        <f>TEXT(Table1[[#This Row],[Order Date]],"MMM")</f>
        <v>Feb</v>
      </c>
      <c r="AA366" s="3">
        <f>DAY(Table1[[#This Row],[Order Date]])</f>
        <v>28</v>
      </c>
    </row>
    <row r="367" spans="1:27" x14ac:dyDescent="0.35">
      <c r="A367" s="1">
        <v>366</v>
      </c>
      <c r="B367" s="1" t="s">
        <v>1758</v>
      </c>
      <c r="C367" s="1" t="s">
        <v>1759</v>
      </c>
      <c r="D367" s="1" t="s">
        <v>1760</v>
      </c>
      <c r="E367" t="s">
        <v>38</v>
      </c>
      <c r="F367" t="s">
        <v>1761</v>
      </c>
      <c r="G367" t="s">
        <v>122</v>
      </c>
      <c r="H367" t="s">
        <v>41</v>
      </c>
      <c r="I367" s="1" t="s">
        <v>28</v>
      </c>
      <c r="J367" t="s">
        <v>128</v>
      </c>
      <c r="K367" t="s">
        <v>129</v>
      </c>
      <c r="L367" s="1">
        <v>352702</v>
      </c>
      <c r="M367" s="1" t="s">
        <v>66</v>
      </c>
      <c r="N367" t="s">
        <v>1762</v>
      </c>
      <c r="O367" t="s">
        <v>46</v>
      </c>
      <c r="P367" t="s">
        <v>47</v>
      </c>
      <c r="Q367" t="s">
        <v>48</v>
      </c>
      <c r="R367">
        <v>46535.65</v>
      </c>
      <c r="S367" s="25" t="e">
        <f>IF(Table1[[#This Row],[Sales]]=MIN(Table1[Sales]), Table1[[#This Row],[Sales]], NA())</f>
        <v>#N/A</v>
      </c>
      <c r="T367" s="25">
        <f>IF(AND(Table1[[#This Row],[Sales]]&lt;&gt;MIN(Table1[Sales]),Table1[[#This Row],[Sales]]&lt;&gt;MAX(Table1[Sales])), Table1[[#This Row],[Sales]], NA())</f>
        <v>46535.65</v>
      </c>
      <c r="U367" s="25" t="e">
        <f>IF(Table1[[#This Row],[Sales]]=MAX(Table1[Sales]), Table1[[#This Row],[Sales]], NA())</f>
        <v>#N/A</v>
      </c>
      <c r="V367">
        <v>8</v>
      </c>
      <c r="W367">
        <v>0</v>
      </c>
      <c r="X367">
        <v>3722.85</v>
      </c>
      <c r="Y367" s="3">
        <f>YEAR(Table1[[#This Row],[Order Date]])</f>
        <v>2024</v>
      </c>
      <c r="Z367" s="3" t="str">
        <f>TEXT(Table1[[#This Row],[Order Date]],"MMM")</f>
        <v>Aug</v>
      </c>
      <c r="AA367" s="3">
        <f>DAY(Table1[[#This Row],[Order Date]])</f>
        <v>25</v>
      </c>
    </row>
    <row r="368" spans="1:27" x14ac:dyDescent="0.35">
      <c r="A368" s="1">
        <v>367</v>
      </c>
      <c r="B368" s="1" t="s">
        <v>1763</v>
      </c>
      <c r="C368" s="1" t="s">
        <v>1764</v>
      </c>
      <c r="D368" s="1" t="s">
        <v>1765</v>
      </c>
      <c r="E368" t="s">
        <v>115</v>
      </c>
      <c r="F368" t="s">
        <v>1766</v>
      </c>
      <c r="G368" t="s">
        <v>188</v>
      </c>
      <c r="H368" t="s">
        <v>94</v>
      </c>
      <c r="I368" s="1" t="s">
        <v>28</v>
      </c>
      <c r="J368" t="s">
        <v>128</v>
      </c>
      <c r="K368" t="s">
        <v>129</v>
      </c>
      <c r="L368" s="1">
        <v>880472</v>
      </c>
      <c r="M368" s="1" t="s">
        <v>66</v>
      </c>
      <c r="N368" t="s">
        <v>1767</v>
      </c>
      <c r="O368" t="s">
        <v>68</v>
      </c>
      <c r="P368" t="s">
        <v>69</v>
      </c>
      <c r="Q368" t="s">
        <v>70</v>
      </c>
      <c r="R368">
        <v>39046.33</v>
      </c>
      <c r="S368" s="25" t="e">
        <f>IF(Table1[[#This Row],[Sales]]=MIN(Table1[Sales]), Table1[[#This Row],[Sales]], NA())</f>
        <v>#N/A</v>
      </c>
      <c r="T368" s="25">
        <f>IF(AND(Table1[[#This Row],[Sales]]&lt;&gt;MIN(Table1[Sales]),Table1[[#This Row],[Sales]]&lt;&gt;MAX(Table1[Sales])), Table1[[#This Row],[Sales]], NA())</f>
        <v>39046.33</v>
      </c>
      <c r="U368" s="25" t="e">
        <f>IF(Table1[[#This Row],[Sales]]=MAX(Table1[Sales]), Table1[[#This Row],[Sales]], NA())</f>
        <v>#N/A</v>
      </c>
      <c r="V368">
        <v>1</v>
      </c>
      <c r="W368">
        <v>0.3</v>
      </c>
      <c r="X368">
        <v>195.23</v>
      </c>
      <c r="Y368" s="3">
        <f>YEAR(Table1[[#This Row],[Order Date]])</f>
        <v>2023</v>
      </c>
      <c r="Z368" s="3" t="str">
        <f>TEXT(Table1[[#This Row],[Order Date]],"MMM")</f>
        <v>Jan</v>
      </c>
      <c r="AA368" s="3">
        <f>DAY(Table1[[#This Row],[Order Date]])</f>
        <v>21</v>
      </c>
    </row>
    <row r="369" spans="1:27" x14ac:dyDescent="0.35">
      <c r="A369" s="1">
        <v>368</v>
      </c>
      <c r="B369" s="1" t="s">
        <v>1768</v>
      </c>
      <c r="C369" s="1" t="s">
        <v>90</v>
      </c>
      <c r="D369" s="1" t="s">
        <v>596</v>
      </c>
      <c r="E369" t="s">
        <v>62</v>
      </c>
      <c r="F369" t="s">
        <v>1769</v>
      </c>
      <c r="G369" t="s">
        <v>26</v>
      </c>
      <c r="H369" t="s">
        <v>27</v>
      </c>
      <c r="I369" s="1" t="s">
        <v>28</v>
      </c>
      <c r="J369" t="s">
        <v>53</v>
      </c>
      <c r="K369" t="s">
        <v>54</v>
      </c>
      <c r="L369" s="1">
        <v>176290</v>
      </c>
      <c r="M369" s="1" t="s">
        <v>55</v>
      </c>
      <c r="N369" t="s">
        <v>1770</v>
      </c>
      <c r="O369" t="s">
        <v>46</v>
      </c>
      <c r="P369" t="s">
        <v>57</v>
      </c>
      <c r="Q369" t="s">
        <v>58</v>
      </c>
      <c r="R369">
        <v>98328.22</v>
      </c>
      <c r="S369" s="25" t="e">
        <f>IF(Table1[[#This Row],[Sales]]=MIN(Table1[Sales]), Table1[[#This Row],[Sales]], NA())</f>
        <v>#N/A</v>
      </c>
      <c r="T369" s="25">
        <f>IF(AND(Table1[[#This Row],[Sales]]&lt;&gt;MIN(Table1[Sales]),Table1[[#This Row],[Sales]]&lt;&gt;MAX(Table1[Sales])), Table1[[#This Row],[Sales]], NA())</f>
        <v>98328.22</v>
      </c>
      <c r="U369" s="25" t="e">
        <f>IF(Table1[[#This Row],[Sales]]=MAX(Table1[Sales]), Table1[[#This Row],[Sales]], NA())</f>
        <v>#N/A</v>
      </c>
      <c r="V369">
        <v>8</v>
      </c>
      <c r="W369">
        <v>0.3</v>
      </c>
      <c r="X369">
        <v>491.64</v>
      </c>
      <c r="Y369" s="3">
        <f>YEAR(Table1[[#This Row],[Order Date]])</f>
        <v>2023</v>
      </c>
      <c r="Z369" s="3" t="str">
        <f>TEXT(Table1[[#This Row],[Order Date]],"MMM")</f>
        <v>Aug</v>
      </c>
      <c r="AA369" s="3">
        <f>DAY(Table1[[#This Row],[Order Date]])</f>
        <v>27</v>
      </c>
    </row>
    <row r="370" spans="1:27" x14ac:dyDescent="0.35">
      <c r="A370" s="1">
        <v>369</v>
      </c>
      <c r="B370" s="1" t="s">
        <v>1771</v>
      </c>
      <c r="C370" s="1" t="s">
        <v>1772</v>
      </c>
      <c r="D370" s="1" t="s">
        <v>276</v>
      </c>
      <c r="E370" t="s">
        <v>24</v>
      </c>
      <c r="F370" t="s">
        <v>1773</v>
      </c>
      <c r="G370" t="s">
        <v>110</v>
      </c>
      <c r="H370" t="s">
        <v>41</v>
      </c>
      <c r="I370" s="1" t="s">
        <v>28</v>
      </c>
      <c r="J370" t="s">
        <v>64</v>
      </c>
      <c r="K370" t="s">
        <v>65</v>
      </c>
      <c r="L370" s="1">
        <v>160494</v>
      </c>
      <c r="M370" s="1" t="s">
        <v>66</v>
      </c>
      <c r="N370" t="s">
        <v>1774</v>
      </c>
      <c r="O370" t="s">
        <v>46</v>
      </c>
      <c r="P370" t="s">
        <v>57</v>
      </c>
      <c r="Q370" t="s">
        <v>58</v>
      </c>
      <c r="R370">
        <v>36257.589999999997</v>
      </c>
      <c r="S370" s="25" t="e">
        <f>IF(Table1[[#This Row],[Sales]]=MIN(Table1[Sales]), Table1[[#This Row],[Sales]], NA())</f>
        <v>#N/A</v>
      </c>
      <c r="T370" s="25">
        <f>IF(AND(Table1[[#This Row],[Sales]]&lt;&gt;MIN(Table1[Sales]),Table1[[#This Row],[Sales]]&lt;&gt;MAX(Table1[Sales])), Table1[[#This Row],[Sales]], NA())</f>
        <v>36257.589999999997</v>
      </c>
      <c r="U370" s="25" t="e">
        <f>IF(Table1[[#This Row],[Sales]]=MAX(Table1[Sales]), Table1[[#This Row],[Sales]], NA())</f>
        <v>#N/A</v>
      </c>
      <c r="V370">
        <v>5</v>
      </c>
      <c r="W370">
        <v>0.1</v>
      </c>
      <c r="X370">
        <v>1994.17</v>
      </c>
      <c r="Y370" s="3">
        <f>YEAR(Table1[[#This Row],[Order Date]])</f>
        <v>2023</v>
      </c>
      <c r="Z370" s="3" t="str">
        <f>TEXT(Table1[[#This Row],[Order Date]],"MMM")</f>
        <v>Nov</v>
      </c>
      <c r="AA370" s="3">
        <f>DAY(Table1[[#This Row],[Order Date]])</f>
        <v>21</v>
      </c>
    </row>
    <row r="371" spans="1:27" x14ac:dyDescent="0.35">
      <c r="A371" s="1">
        <v>370</v>
      </c>
      <c r="B371" s="1" t="s">
        <v>1775</v>
      </c>
      <c r="C371" s="1" t="s">
        <v>1596</v>
      </c>
      <c r="D371" s="1" t="s">
        <v>1776</v>
      </c>
      <c r="E371" t="s">
        <v>62</v>
      </c>
      <c r="F371" t="s">
        <v>1777</v>
      </c>
      <c r="G371" t="s">
        <v>122</v>
      </c>
      <c r="H371" t="s">
        <v>94</v>
      </c>
      <c r="I371" s="1" t="s">
        <v>28</v>
      </c>
      <c r="J371" t="s">
        <v>64</v>
      </c>
      <c r="K371" t="s">
        <v>65</v>
      </c>
      <c r="L371" s="1">
        <v>963529</v>
      </c>
      <c r="M371" s="1" t="s">
        <v>66</v>
      </c>
      <c r="N371" t="s">
        <v>1778</v>
      </c>
      <c r="O371" t="s">
        <v>46</v>
      </c>
      <c r="P371" t="s">
        <v>57</v>
      </c>
      <c r="Q371" t="s">
        <v>58</v>
      </c>
      <c r="R371">
        <v>68269.440000000002</v>
      </c>
      <c r="S371" s="25" t="e">
        <f>IF(Table1[[#This Row],[Sales]]=MIN(Table1[Sales]), Table1[[#This Row],[Sales]], NA())</f>
        <v>#N/A</v>
      </c>
      <c r="T371" s="25">
        <f>IF(AND(Table1[[#This Row],[Sales]]&lt;&gt;MIN(Table1[Sales]),Table1[[#This Row],[Sales]]&lt;&gt;MAX(Table1[Sales])), Table1[[#This Row],[Sales]], NA())</f>
        <v>68269.440000000002</v>
      </c>
      <c r="U371" s="25" t="e">
        <f>IF(Table1[[#This Row],[Sales]]=MAX(Table1[Sales]), Table1[[#This Row],[Sales]], NA())</f>
        <v>#N/A</v>
      </c>
      <c r="V371">
        <v>5</v>
      </c>
      <c r="W371">
        <v>0.1</v>
      </c>
      <c r="X371">
        <v>3754.82</v>
      </c>
      <c r="Y371" s="3">
        <f>YEAR(Table1[[#This Row],[Order Date]])</f>
        <v>2021</v>
      </c>
      <c r="Z371" s="3" t="str">
        <f>TEXT(Table1[[#This Row],[Order Date]],"MMM")</f>
        <v>Apr</v>
      </c>
      <c r="AA371" s="3">
        <f>DAY(Table1[[#This Row],[Order Date]])</f>
        <v>23</v>
      </c>
    </row>
    <row r="372" spans="1:27" x14ac:dyDescent="0.35">
      <c r="A372" s="1">
        <v>371</v>
      </c>
      <c r="B372" s="1" t="s">
        <v>1779</v>
      </c>
      <c r="C372" s="1" t="s">
        <v>1780</v>
      </c>
      <c r="D372" s="1" t="s">
        <v>1781</v>
      </c>
      <c r="E372" t="s">
        <v>24</v>
      </c>
      <c r="F372" t="s">
        <v>1782</v>
      </c>
      <c r="G372" t="s">
        <v>40</v>
      </c>
      <c r="H372" t="s">
        <v>94</v>
      </c>
      <c r="I372" s="1" t="s">
        <v>28</v>
      </c>
      <c r="J372" t="s">
        <v>42</v>
      </c>
      <c r="K372" t="s">
        <v>43</v>
      </c>
      <c r="L372" s="1">
        <v>939478</v>
      </c>
      <c r="M372" s="1" t="s">
        <v>44</v>
      </c>
      <c r="N372" t="s">
        <v>1783</v>
      </c>
      <c r="O372" t="s">
        <v>46</v>
      </c>
      <c r="P372" t="s">
        <v>57</v>
      </c>
      <c r="Q372" t="s">
        <v>58</v>
      </c>
      <c r="R372">
        <v>94186.32</v>
      </c>
      <c r="S372" s="25" t="e">
        <f>IF(Table1[[#This Row],[Sales]]=MIN(Table1[Sales]), Table1[[#This Row],[Sales]], NA())</f>
        <v>#N/A</v>
      </c>
      <c r="T372" s="25">
        <f>IF(AND(Table1[[#This Row],[Sales]]&lt;&gt;MIN(Table1[Sales]),Table1[[#This Row],[Sales]]&lt;&gt;MAX(Table1[Sales])), Table1[[#This Row],[Sales]], NA())</f>
        <v>94186.32</v>
      </c>
      <c r="U372" s="25" t="e">
        <f>IF(Table1[[#This Row],[Sales]]=MAX(Table1[Sales]), Table1[[#This Row],[Sales]], NA())</f>
        <v>#N/A</v>
      </c>
      <c r="V372">
        <v>4</v>
      </c>
      <c r="W372">
        <v>0.3</v>
      </c>
      <c r="X372">
        <v>470.93</v>
      </c>
      <c r="Y372" s="3">
        <f>YEAR(Table1[[#This Row],[Order Date]])</f>
        <v>2021</v>
      </c>
      <c r="Z372" s="3" t="str">
        <f>TEXT(Table1[[#This Row],[Order Date]],"MMM")</f>
        <v>Jan</v>
      </c>
      <c r="AA372" s="3">
        <f>DAY(Table1[[#This Row],[Order Date]])</f>
        <v>26</v>
      </c>
    </row>
    <row r="373" spans="1:27" x14ac:dyDescent="0.35">
      <c r="A373" s="1">
        <v>372</v>
      </c>
      <c r="B373" s="1" t="s">
        <v>1784</v>
      </c>
      <c r="C373" s="1" t="s">
        <v>1785</v>
      </c>
      <c r="D373" s="1" t="s">
        <v>1780</v>
      </c>
      <c r="E373" t="s">
        <v>24</v>
      </c>
      <c r="F373" t="s">
        <v>1786</v>
      </c>
      <c r="G373" t="s">
        <v>122</v>
      </c>
      <c r="H373" t="s">
        <v>94</v>
      </c>
      <c r="I373" s="1" t="s">
        <v>28</v>
      </c>
      <c r="J373" t="s">
        <v>128</v>
      </c>
      <c r="K373" t="s">
        <v>129</v>
      </c>
      <c r="L373" s="1">
        <v>690078</v>
      </c>
      <c r="M373" s="1" t="s">
        <v>66</v>
      </c>
      <c r="N373" t="s">
        <v>1787</v>
      </c>
      <c r="O373" t="s">
        <v>32</v>
      </c>
      <c r="P373" t="s">
        <v>33</v>
      </c>
      <c r="Q373" t="s">
        <v>34</v>
      </c>
      <c r="R373">
        <v>40962.660000000003</v>
      </c>
      <c r="S373" s="25" t="e">
        <f>IF(Table1[[#This Row],[Sales]]=MIN(Table1[Sales]), Table1[[#This Row],[Sales]], NA())</f>
        <v>#N/A</v>
      </c>
      <c r="T373" s="25">
        <f>IF(AND(Table1[[#This Row],[Sales]]&lt;&gt;MIN(Table1[Sales]),Table1[[#This Row],[Sales]]&lt;&gt;MAX(Table1[Sales])), Table1[[#This Row],[Sales]], NA())</f>
        <v>40962.660000000003</v>
      </c>
      <c r="U373" s="25" t="e">
        <f>IF(Table1[[#This Row],[Sales]]=MAX(Table1[Sales]), Table1[[#This Row],[Sales]], NA())</f>
        <v>#N/A</v>
      </c>
      <c r="V373">
        <v>4</v>
      </c>
      <c r="W373">
        <v>0.2</v>
      </c>
      <c r="X373">
        <v>1228.8800000000001</v>
      </c>
      <c r="Y373" s="3">
        <f>YEAR(Table1[[#This Row],[Order Date]])</f>
        <v>2021</v>
      </c>
      <c r="Z373" s="3" t="str">
        <f>TEXT(Table1[[#This Row],[Order Date]],"MMM")</f>
        <v>Jan</v>
      </c>
      <c r="AA373" s="3">
        <f>DAY(Table1[[#This Row],[Order Date]])</f>
        <v>23</v>
      </c>
    </row>
    <row r="374" spans="1:27" x14ac:dyDescent="0.35">
      <c r="A374" s="1">
        <v>373</v>
      </c>
      <c r="B374" s="1" t="s">
        <v>1788</v>
      </c>
      <c r="C374" s="1" t="s">
        <v>1789</v>
      </c>
      <c r="D374" s="1" t="s">
        <v>1708</v>
      </c>
      <c r="E374" t="s">
        <v>38</v>
      </c>
      <c r="F374" t="s">
        <v>1790</v>
      </c>
      <c r="G374" t="s">
        <v>81</v>
      </c>
      <c r="H374" t="s">
        <v>27</v>
      </c>
      <c r="I374" s="1" t="s">
        <v>28</v>
      </c>
      <c r="J374" t="s">
        <v>29</v>
      </c>
      <c r="K374" t="s">
        <v>29</v>
      </c>
      <c r="L374" s="1">
        <v>204191</v>
      </c>
      <c r="M374" s="1" t="s">
        <v>30</v>
      </c>
      <c r="N374" t="s">
        <v>1791</v>
      </c>
      <c r="O374" t="s">
        <v>46</v>
      </c>
      <c r="P374" t="s">
        <v>47</v>
      </c>
      <c r="Q374" t="s">
        <v>48</v>
      </c>
      <c r="R374">
        <v>51478.23</v>
      </c>
      <c r="S374" s="25" t="e">
        <f>IF(Table1[[#This Row],[Sales]]=MIN(Table1[Sales]), Table1[[#This Row],[Sales]], NA())</f>
        <v>#N/A</v>
      </c>
      <c r="T374" s="25">
        <f>IF(AND(Table1[[#This Row],[Sales]]&lt;&gt;MIN(Table1[Sales]),Table1[[#This Row],[Sales]]&lt;&gt;MAX(Table1[Sales])), Table1[[#This Row],[Sales]], NA())</f>
        <v>51478.23</v>
      </c>
      <c r="U374" s="25" t="e">
        <f>IF(Table1[[#This Row],[Sales]]=MAX(Table1[Sales]), Table1[[#This Row],[Sales]], NA())</f>
        <v>#N/A</v>
      </c>
      <c r="V374">
        <v>7</v>
      </c>
      <c r="W374">
        <v>0</v>
      </c>
      <c r="X374">
        <v>4118.26</v>
      </c>
      <c r="Y374" s="3">
        <f>YEAR(Table1[[#This Row],[Order Date]])</f>
        <v>2023</v>
      </c>
      <c r="Z374" s="3" t="str">
        <f>TEXT(Table1[[#This Row],[Order Date]],"MMM")</f>
        <v>Oct</v>
      </c>
      <c r="AA374" s="3">
        <f>DAY(Table1[[#This Row],[Order Date]])</f>
        <v>26</v>
      </c>
    </row>
    <row r="375" spans="1:27" x14ac:dyDescent="0.35">
      <c r="A375" s="1">
        <v>374</v>
      </c>
      <c r="B375" s="1" t="s">
        <v>1792</v>
      </c>
      <c r="C375" s="1" t="s">
        <v>1793</v>
      </c>
      <c r="D375" s="1" t="s">
        <v>885</v>
      </c>
      <c r="E375" t="s">
        <v>38</v>
      </c>
      <c r="F375" t="s">
        <v>1794</v>
      </c>
      <c r="G375" t="s">
        <v>75</v>
      </c>
      <c r="H375" t="s">
        <v>41</v>
      </c>
      <c r="I375" s="1" t="s">
        <v>28</v>
      </c>
      <c r="J375" t="s">
        <v>64</v>
      </c>
      <c r="K375" t="s">
        <v>65</v>
      </c>
      <c r="L375" s="1">
        <v>498239</v>
      </c>
      <c r="M375" s="1" t="s">
        <v>66</v>
      </c>
      <c r="N375" t="s">
        <v>1795</v>
      </c>
      <c r="O375" t="s">
        <v>32</v>
      </c>
      <c r="P375" t="s">
        <v>33</v>
      </c>
      <c r="Q375" t="s">
        <v>34</v>
      </c>
      <c r="R375">
        <v>43381.37</v>
      </c>
      <c r="S375" s="25" t="e">
        <f>IF(Table1[[#This Row],[Sales]]=MIN(Table1[Sales]), Table1[[#This Row],[Sales]], NA())</f>
        <v>#N/A</v>
      </c>
      <c r="T375" s="25">
        <f>IF(AND(Table1[[#This Row],[Sales]]&lt;&gt;MIN(Table1[Sales]),Table1[[#This Row],[Sales]]&lt;&gt;MAX(Table1[Sales])), Table1[[#This Row],[Sales]], NA())</f>
        <v>43381.37</v>
      </c>
      <c r="U375" s="25" t="e">
        <f>IF(Table1[[#This Row],[Sales]]=MAX(Table1[Sales]), Table1[[#This Row],[Sales]], NA())</f>
        <v>#N/A</v>
      </c>
      <c r="V375">
        <v>6</v>
      </c>
      <c r="W375">
        <v>0.3</v>
      </c>
      <c r="X375">
        <v>216.91</v>
      </c>
      <c r="Y375" s="3">
        <f>YEAR(Table1[[#This Row],[Order Date]])</f>
        <v>2023</v>
      </c>
      <c r="Z375" s="3" t="str">
        <f>TEXT(Table1[[#This Row],[Order Date]],"MMM")</f>
        <v>Oct</v>
      </c>
      <c r="AA375" s="3">
        <f>DAY(Table1[[#This Row],[Order Date]])</f>
        <v>8</v>
      </c>
    </row>
    <row r="376" spans="1:27" x14ac:dyDescent="0.35">
      <c r="A376" s="1">
        <v>375</v>
      </c>
      <c r="B376" s="1" t="s">
        <v>1796</v>
      </c>
      <c r="C376" s="1" t="s">
        <v>1797</v>
      </c>
      <c r="D376" s="1" t="s">
        <v>1798</v>
      </c>
      <c r="E376" t="s">
        <v>38</v>
      </c>
      <c r="F376" t="s">
        <v>1799</v>
      </c>
      <c r="G376" t="s">
        <v>40</v>
      </c>
      <c r="H376" t="s">
        <v>41</v>
      </c>
      <c r="I376" s="1" t="s">
        <v>28</v>
      </c>
      <c r="J376" t="s">
        <v>29</v>
      </c>
      <c r="K376" t="s">
        <v>29</v>
      </c>
      <c r="L376" s="1">
        <v>161775</v>
      </c>
      <c r="M376" s="1" t="s">
        <v>30</v>
      </c>
      <c r="N376" t="s">
        <v>1800</v>
      </c>
      <c r="O376" t="s">
        <v>46</v>
      </c>
      <c r="P376" t="s">
        <v>57</v>
      </c>
      <c r="Q376" t="s">
        <v>58</v>
      </c>
      <c r="R376">
        <v>3268.74</v>
      </c>
      <c r="S376" s="25" t="e">
        <f>IF(Table1[[#This Row],[Sales]]=MIN(Table1[Sales]), Table1[[#This Row],[Sales]], NA())</f>
        <v>#N/A</v>
      </c>
      <c r="T376" s="25">
        <f>IF(AND(Table1[[#This Row],[Sales]]&lt;&gt;MIN(Table1[Sales]),Table1[[#This Row],[Sales]]&lt;&gt;MAX(Table1[Sales])), Table1[[#This Row],[Sales]], NA())</f>
        <v>3268.74</v>
      </c>
      <c r="U376" s="25" t="e">
        <f>IF(Table1[[#This Row],[Sales]]=MAX(Table1[Sales]), Table1[[#This Row],[Sales]], NA())</f>
        <v>#N/A</v>
      </c>
      <c r="V376">
        <v>8</v>
      </c>
      <c r="W376">
        <v>0.2</v>
      </c>
      <c r="X376">
        <v>98.06</v>
      </c>
      <c r="Y376" s="3">
        <f>YEAR(Table1[[#This Row],[Order Date]])</f>
        <v>2025</v>
      </c>
      <c r="Z376" s="3" t="str">
        <f>TEXT(Table1[[#This Row],[Order Date]],"MMM")</f>
        <v>May</v>
      </c>
      <c r="AA376" s="3">
        <f>DAY(Table1[[#This Row],[Order Date]])</f>
        <v>21</v>
      </c>
    </row>
    <row r="377" spans="1:27" x14ac:dyDescent="0.35">
      <c r="A377" s="1">
        <v>376</v>
      </c>
      <c r="B377" s="1" t="s">
        <v>1801</v>
      </c>
      <c r="C377" s="1" t="s">
        <v>1802</v>
      </c>
      <c r="D377" s="1" t="s">
        <v>1803</v>
      </c>
      <c r="E377" t="s">
        <v>24</v>
      </c>
      <c r="F377" t="s">
        <v>1804</v>
      </c>
      <c r="G377" t="s">
        <v>122</v>
      </c>
      <c r="H377" t="s">
        <v>94</v>
      </c>
      <c r="I377" s="1" t="s">
        <v>28</v>
      </c>
      <c r="J377" t="s">
        <v>42</v>
      </c>
      <c r="K377" t="s">
        <v>43</v>
      </c>
      <c r="L377" s="1">
        <v>446905</v>
      </c>
      <c r="M377" s="1" t="s">
        <v>44</v>
      </c>
      <c r="N377" t="s">
        <v>1805</v>
      </c>
      <c r="O377" t="s">
        <v>46</v>
      </c>
      <c r="P377" t="s">
        <v>57</v>
      </c>
      <c r="Q377" t="s">
        <v>58</v>
      </c>
      <c r="R377">
        <v>60218.400000000001</v>
      </c>
      <c r="S377" s="25" t="e">
        <f>IF(Table1[[#This Row],[Sales]]=MIN(Table1[Sales]), Table1[[#This Row],[Sales]], NA())</f>
        <v>#N/A</v>
      </c>
      <c r="T377" s="25">
        <f>IF(AND(Table1[[#This Row],[Sales]]&lt;&gt;MIN(Table1[Sales]),Table1[[#This Row],[Sales]]&lt;&gt;MAX(Table1[Sales])), Table1[[#This Row],[Sales]], NA())</f>
        <v>60218.400000000001</v>
      </c>
      <c r="U377" s="25" t="e">
        <f>IF(Table1[[#This Row],[Sales]]=MAX(Table1[Sales]), Table1[[#This Row],[Sales]], NA())</f>
        <v>#N/A</v>
      </c>
      <c r="V377">
        <v>4</v>
      </c>
      <c r="W377">
        <v>0.3</v>
      </c>
      <c r="X377">
        <v>301.08999999999997</v>
      </c>
      <c r="Y377" s="3">
        <f>YEAR(Table1[[#This Row],[Order Date]])</f>
        <v>2024</v>
      </c>
      <c r="Z377" s="3" t="str">
        <f>TEXT(Table1[[#This Row],[Order Date]],"MMM")</f>
        <v>Oct</v>
      </c>
      <c r="AA377" s="3">
        <f>DAY(Table1[[#This Row],[Order Date]])</f>
        <v>10</v>
      </c>
    </row>
    <row r="378" spans="1:27" x14ac:dyDescent="0.35">
      <c r="A378" s="1">
        <v>377</v>
      </c>
      <c r="B378" s="1" t="s">
        <v>1806</v>
      </c>
      <c r="C378" s="1" t="s">
        <v>1543</v>
      </c>
      <c r="D378" s="1" t="s">
        <v>36</v>
      </c>
      <c r="E378" t="s">
        <v>115</v>
      </c>
      <c r="F378" t="s">
        <v>1807</v>
      </c>
      <c r="G378" t="s">
        <v>140</v>
      </c>
      <c r="H378" t="s">
        <v>27</v>
      </c>
      <c r="I378" s="1" t="s">
        <v>28</v>
      </c>
      <c r="J378" t="s">
        <v>42</v>
      </c>
      <c r="K378" t="s">
        <v>43</v>
      </c>
      <c r="L378" s="1">
        <v>970700</v>
      </c>
      <c r="M378" s="1" t="s">
        <v>44</v>
      </c>
      <c r="N378" t="s">
        <v>1808</v>
      </c>
      <c r="O378" t="s">
        <v>68</v>
      </c>
      <c r="P378" t="s">
        <v>69</v>
      </c>
      <c r="Q378" t="s">
        <v>70</v>
      </c>
      <c r="R378">
        <v>33622.07</v>
      </c>
      <c r="S378" s="25" t="e">
        <f>IF(Table1[[#This Row],[Sales]]=MIN(Table1[Sales]), Table1[[#This Row],[Sales]], NA())</f>
        <v>#N/A</v>
      </c>
      <c r="T378" s="25">
        <f>IF(AND(Table1[[#This Row],[Sales]]&lt;&gt;MIN(Table1[Sales]),Table1[[#This Row],[Sales]]&lt;&gt;MAX(Table1[Sales])), Table1[[#This Row],[Sales]], NA())</f>
        <v>33622.07</v>
      </c>
      <c r="U378" s="25" t="e">
        <f>IF(Table1[[#This Row],[Sales]]=MAX(Table1[Sales]), Table1[[#This Row],[Sales]], NA())</f>
        <v>#N/A</v>
      </c>
      <c r="V378">
        <v>2</v>
      </c>
      <c r="W378">
        <v>0</v>
      </c>
      <c r="X378">
        <v>2689.77</v>
      </c>
      <c r="Y378" s="3">
        <f>YEAR(Table1[[#This Row],[Order Date]])</f>
        <v>2021</v>
      </c>
      <c r="Z378" s="3" t="str">
        <f>TEXT(Table1[[#This Row],[Order Date]],"MMM")</f>
        <v>Dec</v>
      </c>
      <c r="AA378" s="3">
        <f>DAY(Table1[[#This Row],[Order Date]])</f>
        <v>5</v>
      </c>
    </row>
    <row r="379" spans="1:27" x14ac:dyDescent="0.35">
      <c r="A379" s="1">
        <v>378</v>
      </c>
      <c r="B379" s="1" t="s">
        <v>1809</v>
      </c>
      <c r="C379" s="1" t="s">
        <v>1810</v>
      </c>
      <c r="D379" s="1" t="s">
        <v>1811</v>
      </c>
      <c r="E379" t="s">
        <v>115</v>
      </c>
      <c r="F379" t="s">
        <v>1812</v>
      </c>
      <c r="G379" t="s">
        <v>110</v>
      </c>
      <c r="H379" t="s">
        <v>94</v>
      </c>
      <c r="I379" s="1" t="s">
        <v>28</v>
      </c>
      <c r="J379" t="s">
        <v>42</v>
      </c>
      <c r="K379" t="s">
        <v>43</v>
      </c>
      <c r="L379" s="1">
        <v>487337</v>
      </c>
      <c r="M379" s="1" t="s">
        <v>44</v>
      </c>
      <c r="N379" t="s">
        <v>1813</v>
      </c>
      <c r="O379" t="s">
        <v>68</v>
      </c>
      <c r="P379" t="s">
        <v>69</v>
      </c>
      <c r="Q379" t="s">
        <v>70</v>
      </c>
      <c r="R379">
        <v>49390.76</v>
      </c>
      <c r="S379" s="25" t="e">
        <f>IF(Table1[[#This Row],[Sales]]=MIN(Table1[Sales]), Table1[[#This Row],[Sales]], NA())</f>
        <v>#N/A</v>
      </c>
      <c r="T379" s="25">
        <f>IF(AND(Table1[[#This Row],[Sales]]&lt;&gt;MIN(Table1[Sales]),Table1[[#This Row],[Sales]]&lt;&gt;MAX(Table1[Sales])), Table1[[#This Row],[Sales]], NA())</f>
        <v>49390.76</v>
      </c>
      <c r="U379" s="25" t="e">
        <f>IF(Table1[[#This Row],[Sales]]=MAX(Table1[Sales]), Table1[[#This Row],[Sales]], NA())</f>
        <v>#N/A</v>
      </c>
      <c r="V379">
        <v>1</v>
      </c>
      <c r="W379">
        <v>0</v>
      </c>
      <c r="X379">
        <v>3951.26</v>
      </c>
      <c r="Y379" s="3">
        <f>YEAR(Table1[[#This Row],[Order Date]])</f>
        <v>2022</v>
      </c>
      <c r="Z379" s="3" t="str">
        <f>TEXT(Table1[[#This Row],[Order Date]],"MMM")</f>
        <v>Oct</v>
      </c>
      <c r="AA379" s="3">
        <f>DAY(Table1[[#This Row],[Order Date]])</f>
        <v>10</v>
      </c>
    </row>
    <row r="380" spans="1:27" x14ac:dyDescent="0.35">
      <c r="A380" s="1">
        <v>379</v>
      </c>
      <c r="B380" s="1" t="s">
        <v>1814</v>
      </c>
      <c r="C380" s="1" t="s">
        <v>1815</v>
      </c>
      <c r="D380" s="1" t="s">
        <v>1816</v>
      </c>
      <c r="E380" t="s">
        <v>24</v>
      </c>
      <c r="F380" t="s">
        <v>1817</v>
      </c>
      <c r="G380" t="s">
        <v>75</v>
      </c>
      <c r="H380" t="s">
        <v>94</v>
      </c>
      <c r="I380" s="1" t="s">
        <v>28</v>
      </c>
      <c r="J380" t="s">
        <v>64</v>
      </c>
      <c r="K380" t="s">
        <v>65</v>
      </c>
      <c r="L380" s="1">
        <v>265542</v>
      </c>
      <c r="M380" s="1" t="s">
        <v>66</v>
      </c>
      <c r="N380" t="s">
        <v>1818</v>
      </c>
      <c r="O380" t="s">
        <v>32</v>
      </c>
      <c r="P380" t="s">
        <v>33</v>
      </c>
      <c r="Q380" t="s">
        <v>34</v>
      </c>
      <c r="R380">
        <v>43003.29</v>
      </c>
      <c r="S380" s="25" t="e">
        <f>IF(Table1[[#This Row],[Sales]]=MIN(Table1[Sales]), Table1[[#This Row],[Sales]], NA())</f>
        <v>#N/A</v>
      </c>
      <c r="T380" s="25">
        <f>IF(AND(Table1[[#This Row],[Sales]]&lt;&gt;MIN(Table1[Sales]),Table1[[#This Row],[Sales]]&lt;&gt;MAX(Table1[Sales])), Table1[[#This Row],[Sales]], NA())</f>
        <v>43003.29</v>
      </c>
      <c r="U380" s="25" t="e">
        <f>IF(Table1[[#This Row],[Sales]]=MAX(Table1[Sales]), Table1[[#This Row],[Sales]], NA())</f>
        <v>#N/A</v>
      </c>
      <c r="V380">
        <v>7</v>
      </c>
      <c r="W380">
        <v>0</v>
      </c>
      <c r="X380">
        <v>3440.26</v>
      </c>
      <c r="Y380" s="3">
        <f>YEAR(Table1[[#This Row],[Order Date]])</f>
        <v>2024</v>
      </c>
      <c r="Z380" s="3" t="str">
        <f>TEXT(Table1[[#This Row],[Order Date]],"MMM")</f>
        <v>Sep</v>
      </c>
      <c r="AA380" s="3">
        <f>DAY(Table1[[#This Row],[Order Date]])</f>
        <v>16</v>
      </c>
    </row>
    <row r="381" spans="1:27" x14ac:dyDescent="0.35">
      <c r="A381" s="1">
        <v>380</v>
      </c>
      <c r="B381" s="1" t="s">
        <v>1819</v>
      </c>
      <c r="C381" s="1" t="s">
        <v>1237</v>
      </c>
      <c r="D381" s="1" t="s">
        <v>257</v>
      </c>
      <c r="E381" t="s">
        <v>24</v>
      </c>
      <c r="F381" t="s">
        <v>1820</v>
      </c>
      <c r="G381" t="s">
        <v>40</v>
      </c>
      <c r="H381" t="s">
        <v>27</v>
      </c>
      <c r="I381" s="1" t="s">
        <v>28</v>
      </c>
      <c r="J381" t="s">
        <v>29</v>
      </c>
      <c r="K381" t="s">
        <v>29</v>
      </c>
      <c r="L381" s="1">
        <v>833728</v>
      </c>
      <c r="M381" s="1" t="s">
        <v>30</v>
      </c>
      <c r="N381" t="s">
        <v>1821</v>
      </c>
      <c r="O381" t="s">
        <v>46</v>
      </c>
      <c r="P381" t="s">
        <v>57</v>
      </c>
      <c r="Q381" t="s">
        <v>58</v>
      </c>
      <c r="R381">
        <v>13074.01</v>
      </c>
      <c r="S381" s="25" t="e">
        <f>IF(Table1[[#This Row],[Sales]]=MIN(Table1[Sales]), Table1[[#This Row],[Sales]], NA())</f>
        <v>#N/A</v>
      </c>
      <c r="T381" s="25">
        <f>IF(AND(Table1[[#This Row],[Sales]]&lt;&gt;MIN(Table1[Sales]),Table1[[#This Row],[Sales]]&lt;&gt;MAX(Table1[Sales])), Table1[[#This Row],[Sales]], NA())</f>
        <v>13074.01</v>
      </c>
      <c r="U381" s="25" t="e">
        <f>IF(Table1[[#This Row],[Sales]]=MAX(Table1[Sales]), Table1[[#This Row],[Sales]], NA())</f>
        <v>#N/A</v>
      </c>
      <c r="V381">
        <v>1</v>
      </c>
      <c r="W381">
        <v>0.2</v>
      </c>
      <c r="X381">
        <v>392.22</v>
      </c>
      <c r="Y381" s="3">
        <f>YEAR(Table1[[#This Row],[Order Date]])</f>
        <v>2025</v>
      </c>
      <c r="Z381" s="3" t="str">
        <f>TEXT(Table1[[#This Row],[Order Date]],"MMM")</f>
        <v>Aug</v>
      </c>
      <c r="AA381" s="3">
        <f>DAY(Table1[[#This Row],[Order Date]])</f>
        <v>2</v>
      </c>
    </row>
    <row r="382" spans="1:27" x14ac:dyDescent="0.35">
      <c r="A382" s="1">
        <v>381</v>
      </c>
      <c r="B382" s="1" t="s">
        <v>1822</v>
      </c>
      <c r="C382" s="1" t="s">
        <v>1823</v>
      </c>
      <c r="D382" s="1" t="s">
        <v>760</v>
      </c>
      <c r="E382" t="s">
        <v>38</v>
      </c>
      <c r="F382" t="s">
        <v>1824</v>
      </c>
      <c r="G382" t="s">
        <v>40</v>
      </c>
      <c r="H382" t="s">
        <v>94</v>
      </c>
      <c r="I382" s="1" t="s">
        <v>28</v>
      </c>
      <c r="J382" t="s">
        <v>128</v>
      </c>
      <c r="K382" t="s">
        <v>129</v>
      </c>
      <c r="L382" s="1">
        <v>627102</v>
      </c>
      <c r="M382" s="1" t="s">
        <v>66</v>
      </c>
      <c r="N382" t="s">
        <v>1825</v>
      </c>
      <c r="O382" t="s">
        <v>32</v>
      </c>
      <c r="P382" t="s">
        <v>33</v>
      </c>
      <c r="Q382" t="s">
        <v>34</v>
      </c>
      <c r="R382">
        <v>26393.88</v>
      </c>
      <c r="S382" s="25" t="e">
        <f>IF(Table1[[#This Row],[Sales]]=MIN(Table1[Sales]), Table1[[#This Row],[Sales]], NA())</f>
        <v>#N/A</v>
      </c>
      <c r="T382" s="25">
        <f>IF(AND(Table1[[#This Row],[Sales]]&lt;&gt;MIN(Table1[Sales]),Table1[[#This Row],[Sales]]&lt;&gt;MAX(Table1[Sales])), Table1[[#This Row],[Sales]], NA())</f>
        <v>26393.88</v>
      </c>
      <c r="U382" s="25" t="e">
        <f>IF(Table1[[#This Row],[Sales]]=MAX(Table1[Sales]), Table1[[#This Row],[Sales]], NA())</f>
        <v>#N/A</v>
      </c>
      <c r="V382">
        <v>5</v>
      </c>
      <c r="W382">
        <v>0.2</v>
      </c>
      <c r="X382">
        <v>791.82</v>
      </c>
      <c r="Y382" s="3">
        <f>YEAR(Table1[[#This Row],[Order Date]])</f>
        <v>2025</v>
      </c>
      <c r="Z382" s="3" t="str">
        <f>TEXT(Table1[[#This Row],[Order Date]],"MMM")</f>
        <v>Jun</v>
      </c>
      <c r="AA382" s="3">
        <f>DAY(Table1[[#This Row],[Order Date]])</f>
        <v>24</v>
      </c>
    </row>
    <row r="383" spans="1:27" x14ac:dyDescent="0.35">
      <c r="A383" s="1">
        <v>382</v>
      </c>
      <c r="B383" s="1" t="s">
        <v>1826</v>
      </c>
      <c r="C383" s="1" t="s">
        <v>1827</v>
      </c>
      <c r="D383" s="1" t="s">
        <v>727</v>
      </c>
      <c r="E383" t="s">
        <v>62</v>
      </c>
      <c r="F383" t="s">
        <v>1828</v>
      </c>
      <c r="G383" t="s">
        <v>93</v>
      </c>
      <c r="H383" t="s">
        <v>94</v>
      </c>
      <c r="I383" s="1" t="s">
        <v>28</v>
      </c>
      <c r="J383" t="s">
        <v>42</v>
      </c>
      <c r="K383" t="s">
        <v>43</v>
      </c>
      <c r="L383" s="1">
        <v>628311</v>
      </c>
      <c r="M383" s="1" t="s">
        <v>44</v>
      </c>
      <c r="N383" t="s">
        <v>1829</v>
      </c>
      <c r="O383" t="s">
        <v>32</v>
      </c>
      <c r="P383" t="s">
        <v>33</v>
      </c>
      <c r="Q383" t="s">
        <v>34</v>
      </c>
      <c r="R383">
        <v>22374.73</v>
      </c>
      <c r="S383" s="25" t="e">
        <f>IF(Table1[[#This Row],[Sales]]=MIN(Table1[Sales]), Table1[[#This Row],[Sales]], NA())</f>
        <v>#N/A</v>
      </c>
      <c r="T383" s="25">
        <f>IF(AND(Table1[[#This Row],[Sales]]&lt;&gt;MIN(Table1[Sales]),Table1[[#This Row],[Sales]]&lt;&gt;MAX(Table1[Sales])), Table1[[#This Row],[Sales]], NA())</f>
        <v>22374.73</v>
      </c>
      <c r="U383" s="25" t="e">
        <f>IF(Table1[[#This Row],[Sales]]=MAX(Table1[Sales]), Table1[[#This Row],[Sales]], NA())</f>
        <v>#N/A</v>
      </c>
      <c r="V383">
        <v>4</v>
      </c>
      <c r="W383">
        <v>0.3</v>
      </c>
      <c r="X383">
        <v>111.87</v>
      </c>
      <c r="Y383" s="3">
        <f>YEAR(Table1[[#This Row],[Order Date]])</f>
        <v>2022</v>
      </c>
      <c r="Z383" s="3" t="str">
        <f>TEXT(Table1[[#This Row],[Order Date]],"MMM")</f>
        <v>Apr</v>
      </c>
      <c r="AA383" s="3">
        <f>DAY(Table1[[#This Row],[Order Date]])</f>
        <v>17</v>
      </c>
    </row>
    <row r="384" spans="1:27" x14ac:dyDescent="0.35">
      <c r="A384" s="1">
        <v>383</v>
      </c>
      <c r="B384" s="1" t="s">
        <v>1830</v>
      </c>
      <c r="C384" s="1" t="s">
        <v>562</v>
      </c>
      <c r="D384" s="1" t="s">
        <v>620</v>
      </c>
      <c r="E384" t="s">
        <v>38</v>
      </c>
      <c r="F384" t="s">
        <v>1831</v>
      </c>
      <c r="G384" t="s">
        <v>110</v>
      </c>
      <c r="H384" t="s">
        <v>27</v>
      </c>
      <c r="I384" s="1" t="s">
        <v>28</v>
      </c>
      <c r="J384" t="s">
        <v>29</v>
      </c>
      <c r="K384" t="s">
        <v>29</v>
      </c>
      <c r="L384" s="1">
        <v>523371</v>
      </c>
      <c r="M384" s="1" t="s">
        <v>30</v>
      </c>
      <c r="N384" t="s">
        <v>1832</v>
      </c>
      <c r="O384" t="s">
        <v>46</v>
      </c>
      <c r="P384" t="s">
        <v>57</v>
      </c>
      <c r="Q384" t="s">
        <v>58</v>
      </c>
      <c r="R384">
        <v>55690.93</v>
      </c>
      <c r="S384" s="25" t="e">
        <f>IF(Table1[[#This Row],[Sales]]=MIN(Table1[Sales]), Table1[[#This Row],[Sales]], NA())</f>
        <v>#N/A</v>
      </c>
      <c r="T384" s="25">
        <f>IF(AND(Table1[[#This Row],[Sales]]&lt;&gt;MIN(Table1[Sales]),Table1[[#This Row],[Sales]]&lt;&gt;MAX(Table1[Sales])), Table1[[#This Row],[Sales]], NA())</f>
        <v>55690.93</v>
      </c>
      <c r="U384" s="25" t="e">
        <f>IF(Table1[[#This Row],[Sales]]=MAX(Table1[Sales]), Table1[[#This Row],[Sales]], NA())</f>
        <v>#N/A</v>
      </c>
      <c r="V384">
        <v>6</v>
      </c>
      <c r="W384">
        <v>0.3</v>
      </c>
      <c r="X384">
        <v>278.45</v>
      </c>
      <c r="Y384" s="3">
        <f>YEAR(Table1[[#This Row],[Order Date]])</f>
        <v>2024</v>
      </c>
      <c r="Z384" s="3" t="str">
        <f>TEXT(Table1[[#This Row],[Order Date]],"MMM")</f>
        <v>Feb</v>
      </c>
      <c r="AA384" s="3">
        <f>DAY(Table1[[#This Row],[Order Date]])</f>
        <v>28</v>
      </c>
    </row>
    <row r="385" spans="1:27" x14ac:dyDescent="0.35">
      <c r="A385" s="1">
        <v>384</v>
      </c>
      <c r="B385" s="1" t="s">
        <v>1833</v>
      </c>
      <c r="C385" s="1" t="s">
        <v>1834</v>
      </c>
      <c r="D385" s="1" t="s">
        <v>977</v>
      </c>
      <c r="E385" t="s">
        <v>24</v>
      </c>
      <c r="F385" t="s">
        <v>1835</v>
      </c>
      <c r="G385" t="s">
        <v>87</v>
      </c>
      <c r="H385" t="s">
        <v>41</v>
      </c>
      <c r="I385" s="1" t="s">
        <v>28</v>
      </c>
      <c r="J385" t="s">
        <v>64</v>
      </c>
      <c r="K385" t="s">
        <v>65</v>
      </c>
      <c r="L385" s="1">
        <v>929799</v>
      </c>
      <c r="M385" s="1" t="s">
        <v>66</v>
      </c>
      <c r="N385" t="s">
        <v>1836</v>
      </c>
      <c r="O385" t="s">
        <v>46</v>
      </c>
      <c r="P385" t="s">
        <v>57</v>
      </c>
      <c r="Q385" t="s">
        <v>58</v>
      </c>
      <c r="R385">
        <v>77852.600000000006</v>
      </c>
      <c r="S385" s="25" t="e">
        <f>IF(Table1[[#This Row],[Sales]]=MIN(Table1[Sales]), Table1[[#This Row],[Sales]], NA())</f>
        <v>#N/A</v>
      </c>
      <c r="T385" s="25">
        <f>IF(AND(Table1[[#This Row],[Sales]]&lt;&gt;MIN(Table1[Sales]),Table1[[#This Row],[Sales]]&lt;&gt;MAX(Table1[Sales])), Table1[[#This Row],[Sales]], NA())</f>
        <v>77852.600000000006</v>
      </c>
      <c r="U385" s="25" t="e">
        <f>IF(Table1[[#This Row],[Sales]]=MAX(Table1[Sales]), Table1[[#This Row],[Sales]], NA())</f>
        <v>#N/A</v>
      </c>
      <c r="V385">
        <v>7</v>
      </c>
      <c r="W385">
        <v>0.2</v>
      </c>
      <c r="X385">
        <v>2335.58</v>
      </c>
      <c r="Y385" s="3">
        <f>YEAR(Table1[[#This Row],[Order Date]])</f>
        <v>2022</v>
      </c>
      <c r="Z385" s="3" t="str">
        <f>TEXT(Table1[[#This Row],[Order Date]],"MMM")</f>
        <v>Dec</v>
      </c>
      <c r="AA385" s="3">
        <f>DAY(Table1[[#This Row],[Order Date]])</f>
        <v>18</v>
      </c>
    </row>
    <row r="386" spans="1:27" x14ac:dyDescent="0.35">
      <c r="A386" s="1">
        <v>385</v>
      </c>
      <c r="B386" s="1" t="s">
        <v>1837</v>
      </c>
      <c r="C386" s="1" t="s">
        <v>1838</v>
      </c>
      <c r="D386" s="1" t="s">
        <v>1024</v>
      </c>
      <c r="E386" t="s">
        <v>24</v>
      </c>
      <c r="F386" t="s">
        <v>1839</v>
      </c>
      <c r="G386" t="s">
        <v>81</v>
      </c>
      <c r="H386" t="s">
        <v>94</v>
      </c>
      <c r="I386" s="1" t="s">
        <v>28</v>
      </c>
      <c r="J386" t="s">
        <v>128</v>
      </c>
      <c r="K386" t="s">
        <v>129</v>
      </c>
      <c r="L386" s="1">
        <v>645775</v>
      </c>
      <c r="M386" s="1" t="s">
        <v>66</v>
      </c>
      <c r="N386" t="s">
        <v>1840</v>
      </c>
      <c r="O386" t="s">
        <v>46</v>
      </c>
      <c r="P386" t="s">
        <v>57</v>
      </c>
      <c r="Q386" t="s">
        <v>58</v>
      </c>
      <c r="R386">
        <v>21115.96</v>
      </c>
      <c r="S386" s="25" t="e">
        <f>IF(Table1[[#This Row],[Sales]]=MIN(Table1[Sales]), Table1[[#This Row],[Sales]], NA())</f>
        <v>#N/A</v>
      </c>
      <c r="T386" s="25">
        <f>IF(AND(Table1[[#This Row],[Sales]]&lt;&gt;MIN(Table1[Sales]),Table1[[#This Row],[Sales]]&lt;&gt;MAX(Table1[Sales])), Table1[[#This Row],[Sales]], NA())</f>
        <v>21115.96</v>
      </c>
      <c r="U386" s="25" t="e">
        <f>IF(Table1[[#This Row],[Sales]]=MAX(Table1[Sales]), Table1[[#This Row],[Sales]], NA())</f>
        <v>#N/A</v>
      </c>
      <c r="V386">
        <v>2</v>
      </c>
      <c r="W386">
        <v>0</v>
      </c>
      <c r="X386">
        <v>1689.28</v>
      </c>
      <c r="Y386" s="3">
        <f>YEAR(Table1[[#This Row],[Order Date]])</f>
        <v>2021</v>
      </c>
      <c r="Z386" s="3" t="str">
        <f>TEXT(Table1[[#This Row],[Order Date]],"MMM")</f>
        <v>Aug</v>
      </c>
      <c r="AA386" s="3">
        <f>DAY(Table1[[#This Row],[Order Date]])</f>
        <v>30</v>
      </c>
    </row>
    <row r="387" spans="1:27" x14ac:dyDescent="0.35">
      <c r="A387" s="1">
        <v>386</v>
      </c>
      <c r="B387" s="1" t="s">
        <v>1841</v>
      </c>
      <c r="C387" s="1" t="s">
        <v>311</v>
      </c>
      <c r="D387" s="1" t="s">
        <v>1842</v>
      </c>
      <c r="E387" t="s">
        <v>62</v>
      </c>
      <c r="F387" t="s">
        <v>1843</v>
      </c>
      <c r="G387" t="s">
        <v>110</v>
      </c>
      <c r="H387" t="s">
        <v>41</v>
      </c>
      <c r="I387" s="1" t="s">
        <v>28</v>
      </c>
      <c r="J387" t="s">
        <v>42</v>
      </c>
      <c r="K387" t="s">
        <v>43</v>
      </c>
      <c r="L387" s="1">
        <v>926740</v>
      </c>
      <c r="M387" s="1" t="s">
        <v>44</v>
      </c>
      <c r="N387" t="s">
        <v>1844</v>
      </c>
      <c r="O387" t="s">
        <v>68</v>
      </c>
      <c r="P387" t="s">
        <v>69</v>
      </c>
      <c r="Q387" t="s">
        <v>70</v>
      </c>
      <c r="R387">
        <v>60333.79</v>
      </c>
      <c r="S387" s="25" t="e">
        <f>IF(Table1[[#This Row],[Sales]]=MIN(Table1[Sales]), Table1[[#This Row],[Sales]], NA())</f>
        <v>#N/A</v>
      </c>
      <c r="T387" s="25">
        <f>IF(AND(Table1[[#This Row],[Sales]]&lt;&gt;MIN(Table1[Sales]),Table1[[#This Row],[Sales]]&lt;&gt;MAX(Table1[Sales])), Table1[[#This Row],[Sales]], NA())</f>
        <v>60333.79</v>
      </c>
      <c r="U387" s="25" t="e">
        <f>IF(Table1[[#This Row],[Sales]]=MAX(Table1[Sales]), Table1[[#This Row],[Sales]], NA())</f>
        <v>#N/A</v>
      </c>
      <c r="V387">
        <v>3</v>
      </c>
      <c r="W387">
        <v>0.1</v>
      </c>
      <c r="X387">
        <v>3318.36</v>
      </c>
      <c r="Y387" s="3">
        <f>YEAR(Table1[[#This Row],[Order Date]])</f>
        <v>2021</v>
      </c>
      <c r="Z387" s="3" t="str">
        <f>TEXT(Table1[[#This Row],[Order Date]],"MMM")</f>
        <v>Mar</v>
      </c>
      <c r="AA387" s="3">
        <f>DAY(Table1[[#This Row],[Order Date]])</f>
        <v>9</v>
      </c>
    </row>
    <row r="388" spans="1:27" x14ac:dyDescent="0.35">
      <c r="A388" s="1">
        <v>387</v>
      </c>
      <c r="B388" s="1" t="s">
        <v>1845</v>
      </c>
      <c r="C388" s="1" t="s">
        <v>476</v>
      </c>
      <c r="D388" s="1" t="s">
        <v>1530</v>
      </c>
      <c r="E388" t="s">
        <v>62</v>
      </c>
      <c r="F388" t="s">
        <v>1846</v>
      </c>
      <c r="G388" t="s">
        <v>93</v>
      </c>
      <c r="H388" t="s">
        <v>27</v>
      </c>
      <c r="I388" s="1" t="s">
        <v>28</v>
      </c>
      <c r="J388" t="s">
        <v>128</v>
      </c>
      <c r="K388" t="s">
        <v>129</v>
      </c>
      <c r="L388" s="1">
        <v>653389</v>
      </c>
      <c r="M388" s="1" t="s">
        <v>66</v>
      </c>
      <c r="N388" t="s">
        <v>1847</v>
      </c>
      <c r="O388" t="s">
        <v>46</v>
      </c>
      <c r="P388" t="s">
        <v>57</v>
      </c>
      <c r="Q388" t="s">
        <v>58</v>
      </c>
      <c r="R388">
        <v>53551.16</v>
      </c>
      <c r="S388" s="25" t="e">
        <f>IF(Table1[[#This Row],[Sales]]=MIN(Table1[Sales]), Table1[[#This Row],[Sales]], NA())</f>
        <v>#N/A</v>
      </c>
      <c r="T388" s="25">
        <f>IF(AND(Table1[[#This Row],[Sales]]&lt;&gt;MIN(Table1[Sales]),Table1[[#This Row],[Sales]]&lt;&gt;MAX(Table1[Sales])), Table1[[#This Row],[Sales]], NA())</f>
        <v>53551.16</v>
      </c>
      <c r="U388" s="25" t="e">
        <f>IF(Table1[[#This Row],[Sales]]=MAX(Table1[Sales]), Table1[[#This Row],[Sales]], NA())</f>
        <v>#N/A</v>
      </c>
      <c r="V388">
        <v>9</v>
      </c>
      <c r="W388">
        <v>0.1</v>
      </c>
      <c r="X388">
        <v>2945.31</v>
      </c>
      <c r="Y388" s="3">
        <f>YEAR(Table1[[#This Row],[Order Date]])</f>
        <v>2024</v>
      </c>
      <c r="Z388" s="3" t="str">
        <f>TEXT(Table1[[#This Row],[Order Date]],"MMM")</f>
        <v>Oct</v>
      </c>
      <c r="AA388" s="3">
        <f>DAY(Table1[[#This Row],[Order Date]])</f>
        <v>16</v>
      </c>
    </row>
    <row r="389" spans="1:27" x14ac:dyDescent="0.35">
      <c r="A389" s="1">
        <v>388</v>
      </c>
      <c r="B389" s="1" t="s">
        <v>1848</v>
      </c>
      <c r="C389" s="1" t="s">
        <v>1849</v>
      </c>
      <c r="D389" s="1" t="s">
        <v>1361</v>
      </c>
      <c r="E389" t="s">
        <v>115</v>
      </c>
      <c r="F389" t="s">
        <v>1850</v>
      </c>
      <c r="G389" t="s">
        <v>188</v>
      </c>
      <c r="H389" t="s">
        <v>41</v>
      </c>
      <c r="I389" s="1" t="s">
        <v>28</v>
      </c>
      <c r="J389" t="s">
        <v>53</v>
      </c>
      <c r="K389" t="s">
        <v>54</v>
      </c>
      <c r="L389" s="1">
        <v>593918</v>
      </c>
      <c r="M389" s="1" t="s">
        <v>55</v>
      </c>
      <c r="N389" t="s">
        <v>1851</v>
      </c>
      <c r="O389" t="s">
        <v>46</v>
      </c>
      <c r="P389" t="s">
        <v>57</v>
      </c>
      <c r="Q389" t="s">
        <v>58</v>
      </c>
      <c r="R389">
        <v>2659.85</v>
      </c>
      <c r="S389" s="25" t="e">
        <f>IF(Table1[[#This Row],[Sales]]=MIN(Table1[Sales]), Table1[[#This Row],[Sales]], NA())</f>
        <v>#N/A</v>
      </c>
      <c r="T389" s="25">
        <f>IF(AND(Table1[[#This Row],[Sales]]&lt;&gt;MIN(Table1[Sales]),Table1[[#This Row],[Sales]]&lt;&gt;MAX(Table1[Sales])), Table1[[#This Row],[Sales]], NA())</f>
        <v>2659.85</v>
      </c>
      <c r="U389" s="25" t="e">
        <f>IF(Table1[[#This Row],[Sales]]=MAX(Table1[Sales]), Table1[[#This Row],[Sales]], NA())</f>
        <v>#N/A</v>
      </c>
      <c r="V389">
        <v>4</v>
      </c>
      <c r="W389">
        <v>0.3</v>
      </c>
      <c r="X389">
        <v>13.3</v>
      </c>
      <c r="Y389" s="3">
        <f>YEAR(Table1[[#This Row],[Order Date]])</f>
        <v>2024</v>
      </c>
      <c r="Z389" s="3" t="str">
        <f>TEXT(Table1[[#This Row],[Order Date]],"MMM")</f>
        <v>Aug</v>
      </c>
      <c r="AA389" s="3">
        <f>DAY(Table1[[#This Row],[Order Date]])</f>
        <v>10</v>
      </c>
    </row>
    <row r="390" spans="1:27" x14ac:dyDescent="0.35">
      <c r="A390" s="1">
        <v>389</v>
      </c>
      <c r="B390" s="1" t="s">
        <v>1852</v>
      </c>
      <c r="C390" s="1" t="s">
        <v>143</v>
      </c>
      <c r="D390" s="1" t="s">
        <v>272</v>
      </c>
      <c r="E390" t="s">
        <v>38</v>
      </c>
      <c r="F390" t="s">
        <v>1853</v>
      </c>
      <c r="G390" t="s">
        <v>122</v>
      </c>
      <c r="H390" t="s">
        <v>94</v>
      </c>
      <c r="I390" s="1" t="s">
        <v>28</v>
      </c>
      <c r="J390" t="s">
        <v>64</v>
      </c>
      <c r="K390" t="s">
        <v>65</v>
      </c>
      <c r="L390" s="1">
        <v>893758</v>
      </c>
      <c r="M390" s="1" t="s">
        <v>66</v>
      </c>
      <c r="N390" t="s">
        <v>1854</v>
      </c>
      <c r="O390" t="s">
        <v>68</v>
      </c>
      <c r="P390" t="s">
        <v>69</v>
      </c>
      <c r="Q390" t="s">
        <v>70</v>
      </c>
      <c r="R390">
        <v>67463.72</v>
      </c>
      <c r="S390" s="25" t="e">
        <f>IF(Table1[[#This Row],[Sales]]=MIN(Table1[Sales]), Table1[[#This Row],[Sales]], NA())</f>
        <v>#N/A</v>
      </c>
      <c r="T390" s="25">
        <f>IF(AND(Table1[[#This Row],[Sales]]&lt;&gt;MIN(Table1[Sales]),Table1[[#This Row],[Sales]]&lt;&gt;MAX(Table1[Sales])), Table1[[#This Row],[Sales]], NA())</f>
        <v>67463.72</v>
      </c>
      <c r="U390" s="25" t="e">
        <f>IF(Table1[[#This Row],[Sales]]=MAX(Table1[Sales]), Table1[[#This Row],[Sales]], NA())</f>
        <v>#N/A</v>
      </c>
      <c r="V390">
        <v>1</v>
      </c>
      <c r="W390">
        <v>0</v>
      </c>
      <c r="X390">
        <v>5397.1</v>
      </c>
      <c r="Y390" s="3">
        <f>YEAR(Table1[[#This Row],[Order Date]])</f>
        <v>2025</v>
      </c>
      <c r="Z390" s="3" t="str">
        <f>TEXT(Table1[[#This Row],[Order Date]],"MMM")</f>
        <v>Oct</v>
      </c>
      <c r="AA390" s="3">
        <f>DAY(Table1[[#This Row],[Order Date]])</f>
        <v>24</v>
      </c>
    </row>
    <row r="391" spans="1:27" x14ac:dyDescent="0.35">
      <c r="A391" s="1">
        <v>390</v>
      </c>
      <c r="B391" s="1" t="s">
        <v>1855</v>
      </c>
      <c r="C391" s="1" t="s">
        <v>1856</v>
      </c>
      <c r="D391" s="1" t="s">
        <v>1857</v>
      </c>
      <c r="E391" t="s">
        <v>62</v>
      </c>
      <c r="F391" t="s">
        <v>1858</v>
      </c>
      <c r="G391" t="s">
        <v>40</v>
      </c>
      <c r="H391" t="s">
        <v>41</v>
      </c>
      <c r="I391" s="1" t="s">
        <v>28</v>
      </c>
      <c r="J391" t="s">
        <v>64</v>
      </c>
      <c r="K391" t="s">
        <v>65</v>
      </c>
      <c r="L391" s="1">
        <v>802337</v>
      </c>
      <c r="M391" s="1" t="s">
        <v>66</v>
      </c>
      <c r="N391" t="s">
        <v>1859</v>
      </c>
      <c r="O391" t="s">
        <v>46</v>
      </c>
      <c r="P391" t="s">
        <v>57</v>
      </c>
      <c r="Q391" t="s">
        <v>58</v>
      </c>
      <c r="R391">
        <v>69942.17</v>
      </c>
      <c r="S391" s="25" t="e">
        <f>IF(Table1[[#This Row],[Sales]]=MIN(Table1[Sales]), Table1[[#This Row],[Sales]], NA())</f>
        <v>#N/A</v>
      </c>
      <c r="T391" s="25">
        <f>IF(AND(Table1[[#This Row],[Sales]]&lt;&gt;MIN(Table1[Sales]),Table1[[#This Row],[Sales]]&lt;&gt;MAX(Table1[Sales])), Table1[[#This Row],[Sales]], NA())</f>
        <v>69942.17</v>
      </c>
      <c r="U391" s="25" t="e">
        <f>IF(Table1[[#This Row],[Sales]]=MAX(Table1[Sales]), Table1[[#This Row],[Sales]], NA())</f>
        <v>#N/A</v>
      </c>
      <c r="V391">
        <v>2</v>
      </c>
      <c r="W391">
        <v>0</v>
      </c>
      <c r="X391">
        <v>5595.37</v>
      </c>
      <c r="Y391" s="3">
        <f>YEAR(Table1[[#This Row],[Order Date]])</f>
        <v>2024</v>
      </c>
      <c r="Z391" s="3" t="str">
        <f>TEXT(Table1[[#This Row],[Order Date]],"MMM")</f>
        <v>Jun</v>
      </c>
      <c r="AA391" s="3">
        <f>DAY(Table1[[#This Row],[Order Date]])</f>
        <v>10</v>
      </c>
    </row>
    <row r="392" spans="1:27" x14ac:dyDescent="0.35">
      <c r="A392" s="1">
        <v>391</v>
      </c>
      <c r="B392" s="1" t="s">
        <v>1860</v>
      </c>
      <c r="C392" s="1" t="s">
        <v>1861</v>
      </c>
      <c r="D392" s="1" t="s">
        <v>1565</v>
      </c>
      <c r="E392" t="s">
        <v>115</v>
      </c>
      <c r="F392" t="s">
        <v>1862</v>
      </c>
      <c r="G392" t="s">
        <v>122</v>
      </c>
      <c r="H392" t="s">
        <v>27</v>
      </c>
      <c r="I392" s="1" t="s">
        <v>28</v>
      </c>
      <c r="J392" t="s">
        <v>42</v>
      </c>
      <c r="K392" t="s">
        <v>43</v>
      </c>
      <c r="L392" s="1">
        <v>969548</v>
      </c>
      <c r="M392" s="1" t="s">
        <v>44</v>
      </c>
      <c r="N392" t="s">
        <v>1863</v>
      </c>
      <c r="O392" t="s">
        <v>68</v>
      </c>
      <c r="P392" t="s">
        <v>69</v>
      </c>
      <c r="Q392" t="s">
        <v>70</v>
      </c>
      <c r="R392">
        <v>51151.33</v>
      </c>
      <c r="S392" s="25" t="e">
        <f>IF(Table1[[#This Row],[Sales]]=MIN(Table1[Sales]), Table1[[#This Row],[Sales]], NA())</f>
        <v>#N/A</v>
      </c>
      <c r="T392" s="25">
        <f>IF(AND(Table1[[#This Row],[Sales]]&lt;&gt;MIN(Table1[Sales]),Table1[[#This Row],[Sales]]&lt;&gt;MAX(Table1[Sales])), Table1[[#This Row],[Sales]], NA())</f>
        <v>51151.33</v>
      </c>
      <c r="U392" s="25" t="e">
        <f>IF(Table1[[#This Row],[Sales]]=MAX(Table1[Sales]), Table1[[#This Row],[Sales]], NA())</f>
        <v>#N/A</v>
      </c>
      <c r="V392">
        <v>4</v>
      </c>
      <c r="W392">
        <v>0.3</v>
      </c>
      <c r="X392">
        <v>255.76</v>
      </c>
      <c r="Y392" s="3">
        <f>YEAR(Table1[[#This Row],[Order Date]])</f>
        <v>2022</v>
      </c>
      <c r="Z392" s="3" t="str">
        <f>TEXT(Table1[[#This Row],[Order Date]],"MMM")</f>
        <v>Aug</v>
      </c>
      <c r="AA392" s="3">
        <f>DAY(Table1[[#This Row],[Order Date]])</f>
        <v>23</v>
      </c>
    </row>
    <row r="393" spans="1:27" x14ac:dyDescent="0.35">
      <c r="A393" s="1">
        <v>392</v>
      </c>
      <c r="B393" s="1" t="s">
        <v>1864</v>
      </c>
      <c r="C393" s="1" t="s">
        <v>973</v>
      </c>
      <c r="D393" s="1" t="s">
        <v>1865</v>
      </c>
      <c r="E393" t="s">
        <v>38</v>
      </c>
      <c r="F393" t="s">
        <v>1866</v>
      </c>
      <c r="G393" t="s">
        <v>26</v>
      </c>
      <c r="H393" t="s">
        <v>41</v>
      </c>
      <c r="I393" s="1" t="s">
        <v>28</v>
      </c>
      <c r="J393" t="s">
        <v>42</v>
      </c>
      <c r="K393" t="s">
        <v>43</v>
      </c>
      <c r="L393" s="1">
        <v>450809</v>
      </c>
      <c r="M393" s="1" t="s">
        <v>44</v>
      </c>
      <c r="N393" t="s">
        <v>1867</v>
      </c>
      <c r="O393" t="s">
        <v>32</v>
      </c>
      <c r="P393" t="s">
        <v>33</v>
      </c>
      <c r="Q393" t="s">
        <v>34</v>
      </c>
      <c r="R393">
        <v>45618.67</v>
      </c>
      <c r="S393" s="25" t="e">
        <f>IF(Table1[[#This Row],[Sales]]=MIN(Table1[Sales]), Table1[[#This Row],[Sales]], NA())</f>
        <v>#N/A</v>
      </c>
      <c r="T393" s="25">
        <f>IF(AND(Table1[[#This Row],[Sales]]&lt;&gt;MIN(Table1[Sales]),Table1[[#This Row],[Sales]]&lt;&gt;MAX(Table1[Sales])), Table1[[#This Row],[Sales]], NA())</f>
        <v>45618.67</v>
      </c>
      <c r="U393" s="25" t="e">
        <f>IF(Table1[[#This Row],[Sales]]=MAX(Table1[Sales]), Table1[[#This Row],[Sales]], NA())</f>
        <v>#N/A</v>
      </c>
      <c r="V393">
        <v>6</v>
      </c>
      <c r="W393">
        <v>0</v>
      </c>
      <c r="X393">
        <v>3649.49</v>
      </c>
      <c r="Y393" s="3">
        <f>YEAR(Table1[[#This Row],[Order Date]])</f>
        <v>2021</v>
      </c>
      <c r="Z393" s="3" t="str">
        <f>TEXT(Table1[[#This Row],[Order Date]],"MMM")</f>
        <v>Oct</v>
      </c>
      <c r="AA393" s="3">
        <f>DAY(Table1[[#This Row],[Order Date]])</f>
        <v>29</v>
      </c>
    </row>
    <row r="394" spans="1:27" x14ac:dyDescent="0.35">
      <c r="A394" s="1">
        <v>393</v>
      </c>
      <c r="B394" s="1" t="s">
        <v>1868</v>
      </c>
      <c r="C394" s="1" t="s">
        <v>1371</v>
      </c>
      <c r="D394" s="1" t="s">
        <v>1869</v>
      </c>
      <c r="E394" t="s">
        <v>115</v>
      </c>
      <c r="F394" t="s">
        <v>1870</v>
      </c>
      <c r="G394" t="s">
        <v>26</v>
      </c>
      <c r="H394" t="s">
        <v>94</v>
      </c>
      <c r="I394" s="1" t="s">
        <v>28</v>
      </c>
      <c r="J394" t="s">
        <v>53</v>
      </c>
      <c r="K394" t="s">
        <v>54</v>
      </c>
      <c r="L394" s="1">
        <v>919790</v>
      </c>
      <c r="M394" s="1" t="s">
        <v>55</v>
      </c>
      <c r="N394" t="s">
        <v>1871</v>
      </c>
      <c r="O394" t="s">
        <v>46</v>
      </c>
      <c r="P394" t="s">
        <v>47</v>
      </c>
      <c r="Q394" t="s">
        <v>48</v>
      </c>
      <c r="R394">
        <v>94919.61</v>
      </c>
      <c r="S394" s="25" t="e">
        <f>IF(Table1[[#This Row],[Sales]]=MIN(Table1[Sales]), Table1[[#This Row],[Sales]], NA())</f>
        <v>#N/A</v>
      </c>
      <c r="T394" s="25">
        <f>IF(AND(Table1[[#This Row],[Sales]]&lt;&gt;MIN(Table1[Sales]),Table1[[#This Row],[Sales]]&lt;&gt;MAX(Table1[Sales])), Table1[[#This Row],[Sales]], NA())</f>
        <v>94919.61</v>
      </c>
      <c r="U394" s="25" t="e">
        <f>IF(Table1[[#This Row],[Sales]]=MAX(Table1[Sales]), Table1[[#This Row],[Sales]], NA())</f>
        <v>#N/A</v>
      </c>
      <c r="V394">
        <v>7</v>
      </c>
      <c r="W394">
        <v>0.2</v>
      </c>
      <c r="X394">
        <v>2847.59</v>
      </c>
      <c r="Y394" s="3">
        <f>YEAR(Table1[[#This Row],[Order Date]])</f>
        <v>2024</v>
      </c>
      <c r="Z394" s="3" t="str">
        <f>TEXT(Table1[[#This Row],[Order Date]],"MMM")</f>
        <v>Jun</v>
      </c>
      <c r="AA394" s="3">
        <f>DAY(Table1[[#This Row],[Order Date]])</f>
        <v>7</v>
      </c>
    </row>
    <row r="395" spans="1:27" x14ac:dyDescent="0.35">
      <c r="A395" s="1">
        <v>394</v>
      </c>
      <c r="B395" s="1" t="s">
        <v>1872</v>
      </c>
      <c r="C395" s="1" t="s">
        <v>1873</v>
      </c>
      <c r="D395" s="1" t="s">
        <v>1569</v>
      </c>
      <c r="E395" t="s">
        <v>62</v>
      </c>
      <c r="F395" t="s">
        <v>1874</v>
      </c>
      <c r="G395" t="s">
        <v>26</v>
      </c>
      <c r="H395" t="s">
        <v>41</v>
      </c>
      <c r="I395" s="1" t="s">
        <v>28</v>
      </c>
      <c r="J395" t="s">
        <v>64</v>
      </c>
      <c r="K395" t="s">
        <v>65</v>
      </c>
      <c r="L395" s="1">
        <v>608368</v>
      </c>
      <c r="M395" s="1" t="s">
        <v>66</v>
      </c>
      <c r="N395" t="s">
        <v>1875</v>
      </c>
      <c r="O395" t="s">
        <v>32</v>
      </c>
      <c r="P395" t="s">
        <v>33</v>
      </c>
      <c r="Q395" t="s">
        <v>34</v>
      </c>
      <c r="R395">
        <v>24596.49</v>
      </c>
      <c r="S395" s="25" t="e">
        <f>IF(Table1[[#This Row],[Sales]]=MIN(Table1[Sales]), Table1[[#This Row],[Sales]], NA())</f>
        <v>#N/A</v>
      </c>
      <c r="T395" s="25">
        <f>IF(AND(Table1[[#This Row],[Sales]]&lt;&gt;MIN(Table1[Sales]),Table1[[#This Row],[Sales]]&lt;&gt;MAX(Table1[Sales])), Table1[[#This Row],[Sales]], NA())</f>
        <v>24596.49</v>
      </c>
      <c r="U395" s="25" t="e">
        <f>IF(Table1[[#This Row],[Sales]]=MAX(Table1[Sales]), Table1[[#This Row],[Sales]], NA())</f>
        <v>#N/A</v>
      </c>
      <c r="V395">
        <v>2</v>
      </c>
      <c r="W395">
        <v>0.1</v>
      </c>
      <c r="X395">
        <v>1352.81</v>
      </c>
      <c r="Y395" s="3">
        <f>YEAR(Table1[[#This Row],[Order Date]])</f>
        <v>2021</v>
      </c>
      <c r="Z395" s="3" t="str">
        <f>TEXT(Table1[[#This Row],[Order Date]],"MMM")</f>
        <v>Jan</v>
      </c>
      <c r="AA395" s="3">
        <f>DAY(Table1[[#This Row],[Order Date]])</f>
        <v>14</v>
      </c>
    </row>
    <row r="396" spans="1:27" x14ac:dyDescent="0.35">
      <c r="A396" s="1">
        <v>395</v>
      </c>
      <c r="B396" s="1" t="s">
        <v>1876</v>
      </c>
      <c r="C396" s="1" t="s">
        <v>1877</v>
      </c>
      <c r="D396" s="1" t="s">
        <v>206</v>
      </c>
      <c r="E396" t="s">
        <v>24</v>
      </c>
      <c r="F396" t="s">
        <v>1878</v>
      </c>
      <c r="G396" t="s">
        <v>40</v>
      </c>
      <c r="H396" t="s">
        <v>27</v>
      </c>
      <c r="I396" s="1" t="s">
        <v>28</v>
      </c>
      <c r="J396" t="s">
        <v>64</v>
      </c>
      <c r="K396" t="s">
        <v>65</v>
      </c>
      <c r="L396" s="1">
        <v>567984</v>
      </c>
      <c r="M396" s="1" t="s">
        <v>66</v>
      </c>
      <c r="N396" t="s">
        <v>1879</v>
      </c>
      <c r="O396" t="s">
        <v>68</v>
      </c>
      <c r="P396" t="s">
        <v>69</v>
      </c>
      <c r="Q396" t="s">
        <v>70</v>
      </c>
      <c r="R396">
        <v>55247.03</v>
      </c>
      <c r="S396" s="25" t="e">
        <f>IF(Table1[[#This Row],[Sales]]=MIN(Table1[Sales]), Table1[[#This Row],[Sales]], NA())</f>
        <v>#N/A</v>
      </c>
      <c r="T396" s="25">
        <f>IF(AND(Table1[[#This Row],[Sales]]&lt;&gt;MIN(Table1[Sales]),Table1[[#This Row],[Sales]]&lt;&gt;MAX(Table1[Sales])), Table1[[#This Row],[Sales]], NA())</f>
        <v>55247.03</v>
      </c>
      <c r="U396" s="25" t="e">
        <f>IF(Table1[[#This Row],[Sales]]=MAX(Table1[Sales]), Table1[[#This Row],[Sales]], NA())</f>
        <v>#N/A</v>
      </c>
      <c r="V396">
        <v>10</v>
      </c>
      <c r="W396">
        <v>0.2</v>
      </c>
      <c r="X396">
        <v>1657.41</v>
      </c>
      <c r="Y396" s="3">
        <f>YEAR(Table1[[#This Row],[Order Date]])</f>
        <v>2023</v>
      </c>
      <c r="Z396" s="3" t="str">
        <f>TEXT(Table1[[#This Row],[Order Date]],"MMM")</f>
        <v>Oct</v>
      </c>
      <c r="AA396" s="3">
        <f>DAY(Table1[[#This Row],[Order Date]])</f>
        <v>27</v>
      </c>
    </row>
    <row r="397" spans="1:27" x14ac:dyDescent="0.35">
      <c r="A397" s="1">
        <v>396</v>
      </c>
      <c r="B397" s="1" t="s">
        <v>1880</v>
      </c>
      <c r="C397" s="1" t="s">
        <v>1370</v>
      </c>
      <c r="D397" s="1" t="s">
        <v>1856</v>
      </c>
      <c r="E397" t="s">
        <v>38</v>
      </c>
      <c r="F397" t="s">
        <v>1881</v>
      </c>
      <c r="G397" t="s">
        <v>26</v>
      </c>
      <c r="H397" t="s">
        <v>94</v>
      </c>
      <c r="I397" s="1" t="s">
        <v>28</v>
      </c>
      <c r="J397" t="s">
        <v>42</v>
      </c>
      <c r="K397" t="s">
        <v>43</v>
      </c>
      <c r="L397" s="1">
        <v>369223</v>
      </c>
      <c r="M397" s="1" t="s">
        <v>44</v>
      </c>
      <c r="N397" t="s">
        <v>1882</v>
      </c>
      <c r="O397" t="s">
        <v>68</v>
      </c>
      <c r="P397" t="s">
        <v>69</v>
      </c>
      <c r="Q397" t="s">
        <v>70</v>
      </c>
      <c r="R397">
        <v>23258.73</v>
      </c>
      <c r="S397" s="25" t="e">
        <f>IF(Table1[[#This Row],[Sales]]=MIN(Table1[Sales]), Table1[[#This Row],[Sales]], NA())</f>
        <v>#N/A</v>
      </c>
      <c r="T397" s="25">
        <f>IF(AND(Table1[[#This Row],[Sales]]&lt;&gt;MIN(Table1[Sales]),Table1[[#This Row],[Sales]]&lt;&gt;MAX(Table1[Sales])), Table1[[#This Row],[Sales]], NA())</f>
        <v>23258.73</v>
      </c>
      <c r="U397" s="25" t="e">
        <f>IF(Table1[[#This Row],[Sales]]=MAX(Table1[Sales]), Table1[[#This Row],[Sales]], NA())</f>
        <v>#N/A</v>
      </c>
      <c r="V397">
        <v>5</v>
      </c>
      <c r="W397">
        <v>0</v>
      </c>
      <c r="X397">
        <v>1860.7</v>
      </c>
      <c r="Y397" s="3">
        <f>YEAR(Table1[[#This Row],[Order Date]])</f>
        <v>2024</v>
      </c>
      <c r="Z397" s="3" t="str">
        <f>TEXT(Table1[[#This Row],[Order Date]],"MMM")</f>
        <v>Jun</v>
      </c>
      <c r="AA397" s="3">
        <f>DAY(Table1[[#This Row],[Order Date]])</f>
        <v>6</v>
      </c>
    </row>
    <row r="398" spans="1:27" x14ac:dyDescent="0.35">
      <c r="A398" s="1">
        <v>397</v>
      </c>
      <c r="B398" s="1" t="s">
        <v>1883</v>
      </c>
      <c r="C398" s="1" t="s">
        <v>305</v>
      </c>
      <c r="D398" s="1" t="s">
        <v>1631</v>
      </c>
      <c r="E398" t="s">
        <v>62</v>
      </c>
      <c r="F398" t="s">
        <v>1884</v>
      </c>
      <c r="G398" t="s">
        <v>93</v>
      </c>
      <c r="H398" t="s">
        <v>27</v>
      </c>
      <c r="I398" s="1" t="s">
        <v>28</v>
      </c>
      <c r="J398" t="s">
        <v>128</v>
      </c>
      <c r="K398" t="s">
        <v>129</v>
      </c>
      <c r="L398" s="1">
        <v>741139</v>
      </c>
      <c r="M398" s="1" t="s">
        <v>66</v>
      </c>
      <c r="N398" t="s">
        <v>1885</v>
      </c>
      <c r="O398" t="s">
        <v>46</v>
      </c>
      <c r="P398" t="s">
        <v>47</v>
      </c>
      <c r="Q398" t="s">
        <v>48</v>
      </c>
      <c r="R398">
        <v>8593.7800000000007</v>
      </c>
      <c r="S398" s="25" t="e">
        <f>IF(Table1[[#This Row],[Sales]]=MIN(Table1[Sales]), Table1[[#This Row],[Sales]], NA())</f>
        <v>#N/A</v>
      </c>
      <c r="T398" s="25">
        <f>IF(AND(Table1[[#This Row],[Sales]]&lt;&gt;MIN(Table1[Sales]),Table1[[#This Row],[Sales]]&lt;&gt;MAX(Table1[Sales])), Table1[[#This Row],[Sales]], NA())</f>
        <v>8593.7800000000007</v>
      </c>
      <c r="U398" s="25" t="e">
        <f>IF(Table1[[#This Row],[Sales]]=MAX(Table1[Sales]), Table1[[#This Row],[Sales]], NA())</f>
        <v>#N/A</v>
      </c>
      <c r="V398">
        <v>1</v>
      </c>
      <c r="W398">
        <v>0.2</v>
      </c>
      <c r="X398">
        <v>257.81</v>
      </c>
      <c r="Y398" s="3">
        <f>YEAR(Table1[[#This Row],[Order Date]])</f>
        <v>2024</v>
      </c>
      <c r="Z398" s="3" t="str">
        <f>TEXT(Table1[[#This Row],[Order Date]],"MMM")</f>
        <v>Dec</v>
      </c>
      <c r="AA398" s="3">
        <f>DAY(Table1[[#This Row],[Order Date]])</f>
        <v>2</v>
      </c>
    </row>
    <row r="399" spans="1:27" x14ac:dyDescent="0.35">
      <c r="A399" s="1">
        <v>398</v>
      </c>
      <c r="B399" s="1" t="s">
        <v>1886</v>
      </c>
      <c r="C399" s="1" t="s">
        <v>1887</v>
      </c>
      <c r="D399" s="1" t="s">
        <v>1888</v>
      </c>
      <c r="E399" t="s">
        <v>38</v>
      </c>
      <c r="F399" t="s">
        <v>1889</v>
      </c>
      <c r="G399" t="s">
        <v>81</v>
      </c>
      <c r="H399" t="s">
        <v>27</v>
      </c>
      <c r="I399" s="1" t="s">
        <v>28</v>
      </c>
      <c r="J399" t="s">
        <v>29</v>
      </c>
      <c r="K399" t="s">
        <v>29</v>
      </c>
      <c r="L399" s="1">
        <v>658355</v>
      </c>
      <c r="M399" s="1" t="s">
        <v>30</v>
      </c>
      <c r="N399" t="s">
        <v>1890</v>
      </c>
      <c r="O399" t="s">
        <v>68</v>
      </c>
      <c r="P399" t="s">
        <v>69</v>
      </c>
      <c r="Q399" t="s">
        <v>70</v>
      </c>
      <c r="R399">
        <v>56061.58</v>
      </c>
      <c r="S399" s="25" t="e">
        <f>IF(Table1[[#This Row],[Sales]]=MIN(Table1[Sales]), Table1[[#This Row],[Sales]], NA())</f>
        <v>#N/A</v>
      </c>
      <c r="T399" s="25">
        <f>IF(AND(Table1[[#This Row],[Sales]]&lt;&gt;MIN(Table1[Sales]),Table1[[#This Row],[Sales]]&lt;&gt;MAX(Table1[Sales])), Table1[[#This Row],[Sales]], NA())</f>
        <v>56061.58</v>
      </c>
      <c r="U399" s="25" t="e">
        <f>IF(Table1[[#This Row],[Sales]]=MAX(Table1[Sales]), Table1[[#This Row],[Sales]], NA())</f>
        <v>#N/A</v>
      </c>
      <c r="V399">
        <v>3</v>
      </c>
      <c r="W399">
        <v>0.1</v>
      </c>
      <c r="X399">
        <v>3083.39</v>
      </c>
      <c r="Y399" s="3">
        <f>YEAR(Table1[[#This Row],[Order Date]])</f>
        <v>2025</v>
      </c>
      <c r="Z399" s="3" t="str">
        <f>TEXT(Table1[[#This Row],[Order Date]],"MMM")</f>
        <v>Mar</v>
      </c>
      <c r="AA399" s="3">
        <f>DAY(Table1[[#This Row],[Order Date]])</f>
        <v>8</v>
      </c>
    </row>
    <row r="400" spans="1:27" x14ac:dyDescent="0.35">
      <c r="A400" s="1">
        <v>399</v>
      </c>
      <c r="B400" s="1" t="s">
        <v>1891</v>
      </c>
      <c r="C400" s="1" t="s">
        <v>428</v>
      </c>
      <c r="D400" s="1" t="s">
        <v>528</v>
      </c>
      <c r="E400" t="s">
        <v>62</v>
      </c>
      <c r="F400" t="s">
        <v>1892</v>
      </c>
      <c r="G400" t="s">
        <v>110</v>
      </c>
      <c r="H400" t="s">
        <v>27</v>
      </c>
      <c r="I400" s="1" t="s">
        <v>28</v>
      </c>
      <c r="J400" t="s">
        <v>128</v>
      </c>
      <c r="K400" t="s">
        <v>129</v>
      </c>
      <c r="L400" s="1">
        <v>626144</v>
      </c>
      <c r="M400" s="1" t="s">
        <v>66</v>
      </c>
      <c r="N400" t="s">
        <v>1893</v>
      </c>
      <c r="O400" t="s">
        <v>32</v>
      </c>
      <c r="P400" t="s">
        <v>33</v>
      </c>
      <c r="Q400" t="s">
        <v>34</v>
      </c>
      <c r="R400">
        <v>14912.18</v>
      </c>
      <c r="S400" s="25" t="e">
        <f>IF(Table1[[#This Row],[Sales]]=MIN(Table1[Sales]), Table1[[#This Row],[Sales]], NA())</f>
        <v>#N/A</v>
      </c>
      <c r="T400" s="25">
        <f>IF(AND(Table1[[#This Row],[Sales]]&lt;&gt;MIN(Table1[Sales]),Table1[[#This Row],[Sales]]&lt;&gt;MAX(Table1[Sales])), Table1[[#This Row],[Sales]], NA())</f>
        <v>14912.18</v>
      </c>
      <c r="U400" s="25" t="e">
        <f>IF(Table1[[#This Row],[Sales]]=MAX(Table1[Sales]), Table1[[#This Row],[Sales]], NA())</f>
        <v>#N/A</v>
      </c>
      <c r="V400">
        <v>9</v>
      </c>
      <c r="W400">
        <v>0.3</v>
      </c>
      <c r="X400">
        <v>74.56</v>
      </c>
      <c r="Y400" s="3">
        <f>YEAR(Table1[[#This Row],[Order Date]])</f>
        <v>2024</v>
      </c>
      <c r="Z400" s="3" t="str">
        <f>TEXT(Table1[[#This Row],[Order Date]],"MMM")</f>
        <v>Aug</v>
      </c>
      <c r="AA400" s="3">
        <f>DAY(Table1[[#This Row],[Order Date]])</f>
        <v>22</v>
      </c>
    </row>
    <row r="401" spans="1:27" x14ac:dyDescent="0.35">
      <c r="A401" s="1">
        <v>400</v>
      </c>
      <c r="B401" s="1" t="s">
        <v>1894</v>
      </c>
      <c r="C401" s="1" t="s">
        <v>1362</v>
      </c>
      <c r="D401" s="1" t="s">
        <v>1895</v>
      </c>
      <c r="E401" t="s">
        <v>38</v>
      </c>
      <c r="F401" t="s">
        <v>1896</v>
      </c>
      <c r="G401" t="s">
        <v>87</v>
      </c>
      <c r="H401" t="s">
        <v>27</v>
      </c>
      <c r="I401" s="1" t="s">
        <v>28</v>
      </c>
      <c r="J401" t="s">
        <v>128</v>
      </c>
      <c r="K401" t="s">
        <v>129</v>
      </c>
      <c r="L401" s="1">
        <v>548771</v>
      </c>
      <c r="M401" s="1" t="s">
        <v>66</v>
      </c>
      <c r="N401" t="s">
        <v>1897</v>
      </c>
      <c r="O401" t="s">
        <v>68</v>
      </c>
      <c r="P401" t="s">
        <v>69</v>
      </c>
      <c r="Q401" t="s">
        <v>70</v>
      </c>
      <c r="R401">
        <v>28348.43</v>
      </c>
      <c r="S401" s="25" t="e">
        <f>IF(Table1[[#This Row],[Sales]]=MIN(Table1[Sales]), Table1[[#This Row],[Sales]], NA())</f>
        <v>#N/A</v>
      </c>
      <c r="T401" s="25">
        <f>IF(AND(Table1[[#This Row],[Sales]]&lt;&gt;MIN(Table1[Sales]),Table1[[#This Row],[Sales]]&lt;&gt;MAX(Table1[Sales])), Table1[[#This Row],[Sales]], NA())</f>
        <v>28348.43</v>
      </c>
      <c r="U401" s="25" t="e">
        <f>IF(Table1[[#This Row],[Sales]]=MAX(Table1[Sales]), Table1[[#This Row],[Sales]], NA())</f>
        <v>#N/A</v>
      </c>
      <c r="V401">
        <v>9</v>
      </c>
      <c r="W401">
        <v>0.1</v>
      </c>
      <c r="X401">
        <v>1559.16</v>
      </c>
      <c r="Y401" s="3">
        <f>YEAR(Table1[[#This Row],[Order Date]])</f>
        <v>2024</v>
      </c>
      <c r="Z401" s="3" t="str">
        <f>TEXT(Table1[[#This Row],[Order Date]],"MMM")</f>
        <v>Aug</v>
      </c>
      <c r="AA401" s="3">
        <f>DAY(Table1[[#This Row],[Order Date]])</f>
        <v>18</v>
      </c>
    </row>
    <row r="402" spans="1:27" x14ac:dyDescent="0.35">
      <c r="A402" s="1">
        <v>401</v>
      </c>
      <c r="B402" s="1" t="s">
        <v>1898</v>
      </c>
      <c r="C402" s="1" t="s">
        <v>1899</v>
      </c>
      <c r="D402" s="1" t="s">
        <v>1900</v>
      </c>
      <c r="E402" t="s">
        <v>115</v>
      </c>
      <c r="F402" t="s">
        <v>1901</v>
      </c>
      <c r="G402" t="s">
        <v>40</v>
      </c>
      <c r="H402" t="s">
        <v>27</v>
      </c>
      <c r="I402" s="1" t="s">
        <v>28</v>
      </c>
      <c r="J402" t="s">
        <v>53</v>
      </c>
      <c r="K402" t="s">
        <v>54</v>
      </c>
      <c r="L402" s="1">
        <v>971795</v>
      </c>
      <c r="M402" s="1" t="s">
        <v>55</v>
      </c>
      <c r="N402" t="s">
        <v>1902</v>
      </c>
      <c r="O402" t="s">
        <v>32</v>
      </c>
      <c r="P402" t="s">
        <v>33</v>
      </c>
      <c r="Q402" t="s">
        <v>34</v>
      </c>
      <c r="R402">
        <v>59655.16</v>
      </c>
      <c r="S402" s="25" t="e">
        <f>IF(Table1[[#This Row],[Sales]]=MIN(Table1[Sales]), Table1[[#This Row],[Sales]], NA())</f>
        <v>#N/A</v>
      </c>
      <c r="T402" s="25">
        <f>IF(AND(Table1[[#This Row],[Sales]]&lt;&gt;MIN(Table1[Sales]),Table1[[#This Row],[Sales]]&lt;&gt;MAX(Table1[Sales])), Table1[[#This Row],[Sales]], NA())</f>
        <v>59655.16</v>
      </c>
      <c r="U402" s="25" t="e">
        <f>IF(Table1[[#This Row],[Sales]]=MAX(Table1[Sales]), Table1[[#This Row],[Sales]], NA())</f>
        <v>#N/A</v>
      </c>
      <c r="V402">
        <v>1</v>
      </c>
      <c r="W402">
        <v>0.2</v>
      </c>
      <c r="X402">
        <v>1789.65</v>
      </c>
      <c r="Y402" s="3">
        <f>YEAR(Table1[[#This Row],[Order Date]])</f>
        <v>2022</v>
      </c>
      <c r="Z402" s="3" t="str">
        <f>TEXT(Table1[[#This Row],[Order Date]],"MMM")</f>
        <v>Oct</v>
      </c>
      <c r="AA402" s="3">
        <f>DAY(Table1[[#This Row],[Order Date]])</f>
        <v>12</v>
      </c>
    </row>
    <row r="403" spans="1:27" x14ac:dyDescent="0.35">
      <c r="A403" s="1">
        <v>402</v>
      </c>
      <c r="B403" s="1" t="s">
        <v>1903</v>
      </c>
      <c r="C403" s="1" t="s">
        <v>1904</v>
      </c>
      <c r="D403" s="1" t="s">
        <v>784</v>
      </c>
      <c r="E403" t="s">
        <v>24</v>
      </c>
      <c r="F403" t="s">
        <v>1905</v>
      </c>
      <c r="G403" t="s">
        <v>75</v>
      </c>
      <c r="H403" t="s">
        <v>94</v>
      </c>
      <c r="I403" s="1" t="s">
        <v>28</v>
      </c>
      <c r="J403" t="s">
        <v>53</v>
      </c>
      <c r="K403" t="s">
        <v>54</v>
      </c>
      <c r="L403" s="1">
        <v>534082</v>
      </c>
      <c r="M403" s="1" t="s">
        <v>55</v>
      </c>
      <c r="N403" t="s">
        <v>1906</v>
      </c>
      <c r="O403" t="s">
        <v>32</v>
      </c>
      <c r="P403" t="s">
        <v>33</v>
      </c>
      <c r="Q403" t="s">
        <v>34</v>
      </c>
      <c r="R403">
        <v>88061.49</v>
      </c>
      <c r="S403" s="25" t="e">
        <f>IF(Table1[[#This Row],[Sales]]=MIN(Table1[Sales]), Table1[[#This Row],[Sales]], NA())</f>
        <v>#N/A</v>
      </c>
      <c r="T403" s="25">
        <f>IF(AND(Table1[[#This Row],[Sales]]&lt;&gt;MIN(Table1[Sales]),Table1[[#This Row],[Sales]]&lt;&gt;MAX(Table1[Sales])), Table1[[#This Row],[Sales]], NA())</f>
        <v>88061.49</v>
      </c>
      <c r="U403" s="25" t="e">
        <f>IF(Table1[[#This Row],[Sales]]=MAX(Table1[Sales]), Table1[[#This Row],[Sales]], NA())</f>
        <v>#N/A</v>
      </c>
      <c r="V403">
        <v>6</v>
      </c>
      <c r="W403">
        <v>0</v>
      </c>
      <c r="X403">
        <v>7044.92</v>
      </c>
      <c r="Y403" s="3">
        <f>YEAR(Table1[[#This Row],[Order Date]])</f>
        <v>2021</v>
      </c>
      <c r="Z403" s="3" t="str">
        <f>TEXT(Table1[[#This Row],[Order Date]],"MMM")</f>
        <v>Nov</v>
      </c>
      <c r="AA403" s="3">
        <f>DAY(Table1[[#This Row],[Order Date]])</f>
        <v>4</v>
      </c>
    </row>
    <row r="404" spans="1:27" x14ac:dyDescent="0.35">
      <c r="A404" s="1">
        <v>403</v>
      </c>
      <c r="B404" s="1" t="s">
        <v>1907</v>
      </c>
      <c r="C404" s="1" t="s">
        <v>653</v>
      </c>
      <c r="D404" s="1" t="s">
        <v>1908</v>
      </c>
      <c r="E404" t="s">
        <v>62</v>
      </c>
      <c r="F404" t="s">
        <v>1909</v>
      </c>
      <c r="G404" t="s">
        <v>26</v>
      </c>
      <c r="H404" t="s">
        <v>41</v>
      </c>
      <c r="I404" s="1" t="s">
        <v>28</v>
      </c>
      <c r="J404" t="s">
        <v>53</v>
      </c>
      <c r="K404" t="s">
        <v>54</v>
      </c>
      <c r="L404" s="1">
        <v>505852</v>
      </c>
      <c r="M404" s="1" t="s">
        <v>55</v>
      </c>
      <c r="N404" t="s">
        <v>1910</v>
      </c>
      <c r="O404" t="s">
        <v>32</v>
      </c>
      <c r="P404" t="s">
        <v>33</v>
      </c>
      <c r="Q404" t="s">
        <v>34</v>
      </c>
      <c r="R404">
        <v>59299.88</v>
      </c>
      <c r="S404" s="25" t="e">
        <f>IF(Table1[[#This Row],[Sales]]=MIN(Table1[Sales]), Table1[[#This Row],[Sales]], NA())</f>
        <v>#N/A</v>
      </c>
      <c r="T404" s="25">
        <f>IF(AND(Table1[[#This Row],[Sales]]&lt;&gt;MIN(Table1[Sales]),Table1[[#This Row],[Sales]]&lt;&gt;MAX(Table1[Sales])), Table1[[#This Row],[Sales]], NA())</f>
        <v>59299.88</v>
      </c>
      <c r="U404" s="25" t="e">
        <f>IF(Table1[[#This Row],[Sales]]=MAX(Table1[Sales]), Table1[[#This Row],[Sales]], NA())</f>
        <v>#N/A</v>
      </c>
      <c r="V404">
        <v>10</v>
      </c>
      <c r="W404">
        <v>0.2</v>
      </c>
      <c r="X404">
        <v>1779</v>
      </c>
      <c r="Y404" s="3">
        <f>YEAR(Table1[[#This Row],[Order Date]])</f>
        <v>2024</v>
      </c>
      <c r="Z404" s="3" t="str">
        <f>TEXT(Table1[[#This Row],[Order Date]],"MMM")</f>
        <v>May</v>
      </c>
      <c r="AA404" s="3">
        <f>DAY(Table1[[#This Row],[Order Date]])</f>
        <v>4</v>
      </c>
    </row>
    <row r="405" spans="1:27" x14ac:dyDescent="0.35">
      <c r="A405" s="1">
        <v>404</v>
      </c>
      <c r="B405" s="1" t="s">
        <v>1911</v>
      </c>
      <c r="C405" s="1" t="s">
        <v>1912</v>
      </c>
      <c r="D405" s="1" t="s">
        <v>1913</v>
      </c>
      <c r="E405" t="s">
        <v>24</v>
      </c>
      <c r="F405" t="s">
        <v>1914</v>
      </c>
      <c r="G405" t="s">
        <v>26</v>
      </c>
      <c r="H405" t="s">
        <v>41</v>
      </c>
      <c r="I405" s="1" t="s">
        <v>28</v>
      </c>
      <c r="J405" t="s">
        <v>42</v>
      </c>
      <c r="K405" t="s">
        <v>43</v>
      </c>
      <c r="L405" s="1">
        <v>550908</v>
      </c>
      <c r="M405" s="1" t="s">
        <v>44</v>
      </c>
      <c r="N405" t="s">
        <v>1915</v>
      </c>
      <c r="O405" t="s">
        <v>32</v>
      </c>
      <c r="P405" t="s">
        <v>33</v>
      </c>
      <c r="Q405" t="s">
        <v>34</v>
      </c>
      <c r="R405">
        <v>80001.649999999994</v>
      </c>
      <c r="S405" s="25" t="e">
        <f>IF(Table1[[#This Row],[Sales]]=MIN(Table1[Sales]), Table1[[#This Row],[Sales]], NA())</f>
        <v>#N/A</v>
      </c>
      <c r="T405" s="25">
        <f>IF(AND(Table1[[#This Row],[Sales]]&lt;&gt;MIN(Table1[Sales]),Table1[[#This Row],[Sales]]&lt;&gt;MAX(Table1[Sales])), Table1[[#This Row],[Sales]], NA())</f>
        <v>80001.649999999994</v>
      </c>
      <c r="U405" s="25" t="e">
        <f>IF(Table1[[#This Row],[Sales]]=MAX(Table1[Sales]), Table1[[#This Row],[Sales]], NA())</f>
        <v>#N/A</v>
      </c>
      <c r="V405">
        <v>3</v>
      </c>
      <c r="W405">
        <v>0.1</v>
      </c>
      <c r="X405">
        <v>4400.09</v>
      </c>
      <c r="Y405" s="3">
        <f>YEAR(Table1[[#This Row],[Order Date]])</f>
        <v>2022</v>
      </c>
      <c r="Z405" s="3" t="str">
        <f>TEXT(Table1[[#This Row],[Order Date]],"MMM")</f>
        <v>Jan</v>
      </c>
      <c r="AA405" s="3">
        <f>DAY(Table1[[#This Row],[Order Date]])</f>
        <v>26</v>
      </c>
    </row>
    <row r="406" spans="1:27" x14ac:dyDescent="0.35">
      <c r="A406" s="1">
        <v>405</v>
      </c>
      <c r="B406" s="1" t="s">
        <v>1916</v>
      </c>
      <c r="C406" s="1" t="s">
        <v>1917</v>
      </c>
      <c r="D406" s="1" t="s">
        <v>1918</v>
      </c>
      <c r="E406" t="s">
        <v>38</v>
      </c>
      <c r="F406" t="s">
        <v>1919</v>
      </c>
      <c r="G406" t="s">
        <v>40</v>
      </c>
      <c r="H406" t="s">
        <v>41</v>
      </c>
      <c r="I406" s="1" t="s">
        <v>28</v>
      </c>
      <c r="J406" t="s">
        <v>29</v>
      </c>
      <c r="K406" t="s">
        <v>29</v>
      </c>
      <c r="L406" s="1">
        <v>272771</v>
      </c>
      <c r="M406" s="1" t="s">
        <v>30</v>
      </c>
      <c r="N406" t="s">
        <v>1920</v>
      </c>
      <c r="O406" t="s">
        <v>68</v>
      </c>
      <c r="P406" t="s">
        <v>69</v>
      </c>
      <c r="Q406" t="s">
        <v>70</v>
      </c>
      <c r="R406">
        <v>84458.78</v>
      </c>
      <c r="S406" s="25" t="e">
        <f>IF(Table1[[#This Row],[Sales]]=MIN(Table1[Sales]), Table1[[#This Row],[Sales]], NA())</f>
        <v>#N/A</v>
      </c>
      <c r="T406" s="25">
        <f>IF(AND(Table1[[#This Row],[Sales]]&lt;&gt;MIN(Table1[Sales]),Table1[[#This Row],[Sales]]&lt;&gt;MAX(Table1[Sales])), Table1[[#This Row],[Sales]], NA())</f>
        <v>84458.78</v>
      </c>
      <c r="U406" s="25" t="e">
        <f>IF(Table1[[#This Row],[Sales]]=MAX(Table1[Sales]), Table1[[#This Row],[Sales]], NA())</f>
        <v>#N/A</v>
      </c>
      <c r="V406">
        <v>4</v>
      </c>
      <c r="W406">
        <v>0.3</v>
      </c>
      <c r="X406">
        <v>422.29</v>
      </c>
      <c r="Y406" s="3">
        <f>YEAR(Table1[[#This Row],[Order Date]])</f>
        <v>2021</v>
      </c>
      <c r="Z406" s="3" t="str">
        <f>TEXT(Table1[[#This Row],[Order Date]],"MMM")</f>
        <v>Sep</v>
      </c>
      <c r="AA406" s="3">
        <f>DAY(Table1[[#This Row],[Order Date]])</f>
        <v>28</v>
      </c>
    </row>
    <row r="407" spans="1:27" x14ac:dyDescent="0.35">
      <c r="A407" s="1">
        <v>406</v>
      </c>
      <c r="B407" s="1" t="s">
        <v>1921</v>
      </c>
      <c r="C407" s="1" t="s">
        <v>144</v>
      </c>
      <c r="D407" s="1" t="s">
        <v>1228</v>
      </c>
      <c r="E407" t="s">
        <v>115</v>
      </c>
      <c r="F407" t="s">
        <v>1922</v>
      </c>
      <c r="G407" t="s">
        <v>140</v>
      </c>
      <c r="H407" t="s">
        <v>94</v>
      </c>
      <c r="I407" s="1" t="s">
        <v>28</v>
      </c>
      <c r="J407" t="s">
        <v>53</v>
      </c>
      <c r="K407" t="s">
        <v>54</v>
      </c>
      <c r="L407" s="1">
        <v>745318</v>
      </c>
      <c r="M407" s="1" t="s">
        <v>55</v>
      </c>
      <c r="N407" t="s">
        <v>1923</v>
      </c>
      <c r="O407" t="s">
        <v>32</v>
      </c>
      <c r="P407" t="s">
        <v>33</v>
      </c>
      <c r="Q407" t="s">
        <v>34</v>
      </c>
      <c r="R407">
        <v>19307.87</v>
      </c>
      <c r="S407" s="25" t="e">
        <f>IF(Table1[[#This Row],[Sales]]=MIN(Table1[Sales]), Table1[[#This Row],[Sales]], NA())</f>
        <v>#N/A</v>
      </c>
      <c r="T407" s="25">
        <f>IF(AND(Table1[[#This Row],[Sales]]&lt;&gt;MIN(Table1[Sales]),Table1[[#This Row],[Sales]]&lt;&gt;MAX(Table1[Sales])), Table1[[#This Row],[Sales]], NA())</f>
        <v>19307.87</v>
      </c>
      <c r="U407" s="25" t="e">
        <f>IF(Table1[[#This Row],[Sales]]=MAX(Table1[Sales]), Table1[[#This Row],[Sales]], NA())</f>
        <v>#N/A</v>
      </c>
      <c r="V407">
        <v>7</v>
      </c>
      <c r="W407">
        <v>0.3</v>
      </c>
      <c r="X407">
        <v>96.54</v>
      </c>
      <c r="Y407" s="3">
        <f>YEAR(Table1[[#This Row],[Order Date]])</f>
        <v>2025</v>
      </c>
      <c r="Z407" s="3" t="str">
        <f>TEXT(Table1[[#This Row],[Order Date]],"MMM")</f>
        <v>Oct</v>
      </c>
      <c r="AA407" s="3">
        <f>DAY(Table1[[#This Row],[Order Date]])</f>
        <v>26</v>
      </c>
    </row>
    <row r="408" spans="1:27" x14ac:dyDescent="0.35">
      <c r="A408" s="1">
        <v>407</v>
      </c>
      <c r="B408" s="1" t="s">
        <v>1924</v>
      </c>
      <c r="C408" s="1" t="s">
        <v>185</v>
      </c>
      <c r="D408" s="1" t="s">
        <v>1925</v>
      </c>
      <c r="E408" t="s">
        <v>62</v>
      </c>
      <c r="F408" t="s">
        <v>1926</v>
      </c>
      <c r="G408" t="s">
        <v>87</v>
      </c>
      <c r="H408" t="s">
        <v>41</v>
      </c>
      <c r="I408" s="1" t="s">
        <v>28</v>
      </c>
      <c r="J408" t="s">
        <v>42</v>
      </c>
      <c r="K408" t="s">
        <v>43</v>
      </c>
      <c r="L408" s="1">
        <v>859090</v>
      </c>
      <c r="M408" s="1" t="s">
        <v>44</v>
      </c>
      <c r="N408" t="s">
        <v>1927</v>
      </c>
      <c r="O408" t="s">
        <v>32</v>
      </c>
      <c r="P408" t="s">
        <v>33</v>
      </c>
      <c r="Q408" t="s">
        <v>34</v>
      </c>
      <c r="R408">
        <v>2944.8</v>
      </c>
      <c r="S408" s="25" t="e">
        <f>IF(Table1[[#This Row],[Sales]]=MIN(Table1[Sales]), Table1[[#This Row],[Sales]], NA())</f>
        <v>#N/A</v>
      </c>
      <c r="T408" s="25">
        <f>IF(AND(Table1[[#This Row],[Sales]]&lt;&gt;MIN(Table1[Sales]),Table1[[#This Row],[Sales]]&lt;&gt;MAX(Table1[Sales])), Table1[[#This Row],[Sales]], NA())</f>
        <v>2944.8</v>
      </c>
      <c r="U408" s="25" t="e">
        <f>IF(Table1[[#This Row],[Sales]]=MAX(Table1[Sales]), Table1[[#This Row],[Sales]], NA())</f>
        <v>#N/A</v>
      </c>
      <c r="V408">
        <v>1</v>
      </c>
      <c r="W408">
        <v>0.2</v>
      </c>
      <c r="X408">
        <v>88.34</v>
      </c>
      <c r="Y408" s="3">
        <f>YEAR(Table1[[#This Row],[Order Date]])</f>
        <v>2022</v>
      </c>
      <c r="Z408" s="3" t="str">
        <f>TEXT(Table1[[#This Row],[Order Date]],"MMM")</f>
        <v>Feb</v>
      </c>
      <c r="AA408" s="3">
        <f>DAY(Table1[[#This Row],[Order Date]])</f>
        <v>9</v>
      </c>
    </row>
    <row r="409" spans="1:27" x14ac:dyDescent="0.35">
      <c r="A409" s="1">
        <v>408</v>
      </c>
      <c r="B409" s="1" t="s">
        <v>1928</v>
      </c>
      <c r="C409" s="1" t="s">
        <v>1299</v>
      </c>
      <c r="D409" s="1" t="s">
        <v>1929</v>
      </c>
      <c r="E409" t="s">
        <v>115</v>
      </c>
      <c r="F409" t="s">
        <v>1930</v>
      </c>
      <c r="G409" t="s">
        <v>81</v>
      </c>
      <c r="H409" t="s">
        <v>27</v>
      </c>
      <c r="I409" s="1" t="s">
        <v>28</v>
      </c>
      <c r="J409" t="s">
        <v>42</v>
      </c>
      <c r="K409" t="s">
        <v>43</v>
      </c>
      <c r="L409" s="1">
        <v>898674</v>
      </c>
      <c r="M409" s="1" t="s">
        <v>44</v>
      </c>
      <c r="N409" t="s">
        <v>1931</v>
      </c>
      <c r="O409" t="s">
        <v>68</v>
      </c>
      <c r="P409" t="s">
        <v>69</v>
      </c>
      <c r="Q409" t="s">
        <v>70</v>
      </c>
      <c r="R409">
        <v>12241.1</v>
      </c>
      <c r="S409" s="25" t="e">
        <f>IF(Table1[[#This Row],[Sales]]=MIN(Table1[Sales]), Table1[[#This Row],[Sales]], NA())</f>
        <v>#N/A</v>
      </c>
      <c r="T409" s="25">
        <f>IF(AND(Table1[[#This Row],[Sales]]&lt;&gt;MIN(Table1[Sales]),Table1[[#This Row],[Sales]]&lt;&gt;MAX(Table1[Sales])), Table1[[#This Row],[Sales]], NA())</f>
        <v>12241.1</v>
      </c>
      <c r="U409" s="25" t="e">
        <f>IF(Table1[[#This Row],[Sales]]=MAX(Table1[Sales]), Table1[[#This Row],[Sales]], NA())</f>
        <v>#N/A</v>
      </c>
      <c r="V409">
        <v>2</v>
      </c>
      <c r="W409">
        <v>0.1</v>
      </c>
      <c r="X409">
        <v>673.26</v>
      </c>
      <c r="Y409" s="3">
        <f>YEAR(Table1[[#This Row],[Order Date]])</f>
        <v>2022</v>
      </c>
      <c r="Z409" s="3" t="str">
        <f>TEXT(Table1[[#This Row],[Order Date]],"MMM")</f>
        <v>Feb</v>
      </c>
      <c r="AA409" s="3">
        <f>DAY(Table1[[#This Row],[Order Date]])</f>
        <v>1</v>
      </c>
    </row>
    <row r="410" spans="1:27" x14ac:dyDescent="0.35">
      <c r="A410" s="1">
        <v>409</v>
      </c>
      <c r="B410" s="1" t="s">
        <v>1932</v>
      </c>
      <c r="C410" s="1" t="s">
        <v>1933</v>
      </c>
      <c r="D410" s="1" t="s">
        <v>1934</v>
      </c>
      <c r="E410" t="s">
        <v>115</v>
      </c>
      <c r="F410" t="s">
        <v>1935</v>
      </c>
      <c r="G410" t="s">
        <v>26</v>
      </c>
      <c r="H410" t="s">
        <v>41</v>
      </c>
      <c r="I410" s="1" t="s">
        <v>28</v>
      </c>
      <c r="J410" t="s">
        <v>64</v>
      </c>
      <c r="K410" t="s">
        <v>65</v>
      </c>
      <c r="L410" s="1">
        <v>597245</v>
      </c>
      <c r="M410" s="1" t="s">
        <v>66</v>
      </c>
      <c r="N410" t="s">
        <v>1936</v>
      </c>
      <c r="O410" t="s">
        <v>46</v>
      </c>
      <c r="P410" t="s">
        <v>57</v>
      </c>
      <c r="Q410" t="s">
        <v>58</v>
      </c>
      <c r="R410">
        <v>24865.58</v>
      </c>
      <c r="S410" s="25" t="e">
        <f>IF(Table1[[#This Row],[Sales]]=MIN(Table1[Sales]), Table1[[#This Row],[Sales]], NA())</f>
        <v>#N/A</v>
      </c>
      <c r="T410" s="25">
        <f>IF(AND(Table1[[#This Row],[Sales]]&lt;&gt;MIN(Table1[Sales]),Table1[[#This Row],[Sales]]&lt;&gt;MAX(Table1[Sales])), Table1[[#This Row],[Sales]], NA())</f>
        <v>24865.58</v>
      </c>
      <c r="U410" s="25" t="e">
        <f>IF(Table1[[#This Row],[Sales]]=MAX(Table1[Sales]), Table1[[#This Row],[Sales]], NA())</f>
        <v>#N/A</v>
      </c>
      <c r="V410">
        <v>5</v>
      </c>
      <c r="W410">
        <v>0.2</v>
      </c>
      <c r="X410">
        <v>745.97</v>
      </c>
      <c r="Y410" s="3">
        <f>YEAR(Table1[[#This Row],[Order Date]])</f>
        <v>2025</v>
      </c>
      <c r="Z410" s="3" t="str">
        <f>TEXT(Table1[[#This Row],[Order Date]],"MMM")</f>
        <v>Jul</v>
      </c>
      <c r="AA410" s="3">
        <f>DAY(Table1[[#This Row],[Order Date]])</f>
        <v>21</v>
      </c>
    </row>
    <row r="411" spans="1:27" x14ac:dyDescent="0.35">
      <c r="A411" s="1">
        <v>410</v>
      </c>
      <c r="B411" s="1" t="s">
        <v>1937</v>
      </c>
      <c r="C411" s="1" t="s">
        <v>1938</v>
      </c>
      <c r="D411" s="1" t="s">
        <v>1939</v>
      </c>
      <c r="E411" t="s">
        <v>24</v>
      </c>
      <c r="F411" t="s">
        <v>1940</v>
      </c>
      <c r="G411" t="s">
        <v>40</v>
      </c>
      <c r="H411" t="s">
        <v>94</v>
      </c>
      <c r="I411" s="1" t="s">
        <v>28</v>
      </c>
      <c r="J411" t="s">
        <v>29</v>
      </c>
      <c r="K411" t="s">
        <v>29</v>
      </c>
      <c r="L411" s="1">
        <v>386711</v>
      </c>
      <c r="M411" s="1" t="s">
        <v>30</v>
      </c>
      <c r="N411" t="s">
        <v>1941</v>
      </c>
      <c r="O411" t="s">
        <v>68</v>
      </c>
      <c r="P411" t="s">
        <v>69</v>
      </c>
      <c r="Q411" t="s">
        <v>70</v>
      </c>
      <c r="R411">
        <v>86787.74</v>
      </c>
      <c r="S411" s="25" t="e">
        <f>IF(Table1[[#This Row],[Sales]]=MIN(Table1[Sales]), Table1[[#This Row],[Sales]], NA())</f>
        <v>#N/A</v>
      </c>
      <c r="T411" s="25">
        <f>IF(AND(Table1[[#This Row],[Sales]]&lt;&gt;MIN(Table1[Sales]),Table1[[#This Row],[Sales]]&lt;&gt;MAX(Table1[Sales])), Table1[[#This Row],[Sales]], NA())</f>
        <v>86787.74</v>
      </c>
      <c r="U411" s="25" t="e">
        <f>IF(Table1[[#This Row],[Sales]]=MAX(Table1[Sales]), Table1[[#This Row],[Sales]], NA())</f>
        <v>#N/A</v>
      </c>
      <c r="V411">
        <v>2</v>
      </c>
      <c r="W411">
        <v>0.2</v>
      </c>
      <c r="X411">
        <v>2603.63</v>
      </c>
      <c r="Y411" s="3">
        <f>YEAR(Table1[[#This Row],[Order Date]])</f>
        <v>2021</v>
      </c>
      <c r="Z411" s="3" t="str">
        <f>TEXT(Table1[[#This Row],[Order Date]],"MMM")</f>
        <v>Jan</v>
      </c>
      <c r="AA411" s="3">
        <f>DAY(Table1[[#This Row],[Order Date]])</f>
        <v>5</v>
      </c>
    </row>
    <row r="412" spans="1:27" x14ac:dyDescent="0.35">
      <c r="A412" s="1">
        <v>411</v>
      </c>
      <c r="B412" s="1" t="s">
        <v>1942</v>
      </c>
      <c r="C412" s="1" t="s">
        <v>1943</v>
      </c>
      <c r="D412" s="1" t="s">
        <v>1944</v>
      </c>
      <c r="E412" t="s">
        <v>38</v>
      </c>
      <c r="F412" t="s">
        <v>1945</v>
      </c>
      <c r="G412" t="s">
        <v>122</v>
      </c>
      <c r="H412" t="s">
        <v>41</v>
      </c>
      <c r="I412" s="1" t="s">
        <v>28</v>
      </c>
      <c r="J412" t="s">
        <v>64</v>
      </c>
      <c r="K412" t="s">
        <v>65</v>
      </c>
      <c r="L412" s="1">
        <v>406217</v>
      </c>
      <c r="M412" s="1" t="s">
        <v>66</v>
      </c>
      <c r="N412" t="s">
        <v>1946</v>
      </c>
      <c r="O412" t="s">
        <v>46</v>
      </c>
      <c r="P412" t="s">
        <v>47</v>
      </c>
      <c r="Q412" t="s">
        <v>48</v>
      </c>
      <c r="R412">
        <v>57972.11</v>
      </c>
      <c r="S412" s="25" t="e">
        <f>IF(Table1[[#This Row],[Sales]]=MIN(Table1[Sales]), Table1[[#This Row],[Sales]], NA())</f>
        <v>#N/A</v>
      </c>
      <c r="T412" s="25">
        <f>IF(AND(Table1[[#This Row],[Sales]]&lt;&gt;MIN(Table1[Sales]),Table1[[#This Row],[Sales]]&lt;&gt;MAX(Table1[Sales])), Table1[[#This Row],[Sales]], NA())</f>
        <v>57972.11</v>
      </c>
      <c r="U412" s="25" t="e">
        <f>IF(Table1[[#This Row],[Sales]]=MAX(Table1[Sales]), Table1[[#This Row],[Sales]], NA())</f>
        <v>#N/A</v>
      </c>
      <c r="V412">
        <v>3</v>
      </c>
      <c r="W412">
        <v>0.3</v>
      </c>
      <c r="X412">
        <v>289.86</v>
      </c>
      <c r="Y412" s="3">
        <f>YEAR(Table1[[#This Row],[Order Date]])</f>
        <v>2024</v>
      </c>
      <c r="Z412" s="3" t="str">
        <f>TEXT(Table1[[#This Row],[Order Date]],"MMM")</f>
        <v>Apr</v>
      </c>
      <c r="AA412" s="3">
        <f>DAY(Table1[[#This Row],[Order Date]])</f>
        <v>18</v>
      </c>
    </row>
    <row r="413" spans="1:27" x14ac:dyDescent="0.35">
      <c r="A413" s="1">
        <v>412</v>
      </c>
      <c r="B413" s="1" t="s">
        <v>1947</v>
      </c>
      <c r="C413" s="1" t="s">
        <v>1948</v>
      </c>
      <c r="D413" s="1" t="s">
        <v>1949</v>
      </c>
      <c r="E413" t="s">
        <v>62</v>
      </c>
      <c r="F413" t="s">
        <v>1950</v>
      </c>
      <c r="G413" t="s">
        <v>26</v>
      </c>
      <c r="H413" t="s">
        <v>41</v>
      </c>
      <c r="I413" s="1" t="s">
        <v>28</v>
      </c>
      <c r="J413" t="s">
        <v>42</v>
      </c>
      <c r="K413" t="s">
        <v>43</v>
      </c>
      <c r="L413" s="1">
        <v>745312</v>
      </c>
      <c r="M413" s="1" t="s">
        <v>44</v>
      </c>
      <c r="N413" t="s">
        <v>1951</v>
      </c>
      <c r="O413" t="s">
        <v>46</v>
      </c>
      <c r="P413" t="s">
        <v>47</v>
      </c>
      <c r="Q413" t="s">
        <v>48</v>
      </c>
      <c r="R413">
        <v>92932.3</v>
      </c>
      <c r="S413" s="25" t="e">
        <f>IF(Table1[[#This Row],[Sales]]=MIN(Table1[Sales]), Table1[[#This Row],[Sales]], NA())</f>
        <v>#N/A</v>
      </c>
      <c r="T413" s="25">
        <f>IF(AND(Table1[[#This Row],[Sales]]&lt;&gt;MIN(Table1[Sales]),Table1[[#This Row],[Sales]]&lt;&gt;MAX(Table1[Sales])), Table1[[#This Row],[Sales]], NA())</f>
        <v>92932.3</v>
      </c>
      <c r="U413" s="25" t="e">
        <f>IF(Table1[[#This Row],[Sales]]=MAX(Table1[Sales]), Table1[[#This Row],[Sales]], NA())</f>
        <v>#N/A</v>
      </c>
      <c r="V413">
        <v>2</v>
      </c>
      <c r="W413">
        <v>0</v>
      </c>
      <c r="X413">
        <v>7434.58</v>
      </c>
      <c r="Y413" s="3">
        <f>YEAR(Table1[[#This Row],[Order Date]])</f>
        <v>2022</v>
      </c>
      <c r="Z413" s="3" t="str">
        <f>TEXT(Table1[[#This Row],[Order Date]],"MMM")</f>
        <v>Jan</v>
      </c>
      <c r="AA413" s="3">
        <f>DAY(Table1[[#This Row],[Order Date]])</f>
        <v>8</v>
      </c>
    </row>
    <row r="414" spans="1:27" x14ac:dyDescent="0.35">
      <c r="A414" s="1">
        <v>413</v>
      </c>
      <c r="B414" s="1" t="s">
        <v>1952</v>
      </c>
      <c r="C414" s="1" t="s">
        <v>1627</v>
      </c>
      <c r="D414" s="1" t="s">
        <v>1736</v>
      </c>
      <c r="E414" t="s">
        <v>62</v>
      </c>
      <c r="F414" t="s">
        <v>1953</v>
      </c>
      <c r="G414" t="s">
        <v>188</v>
      </c>
      <c r="H414" t="s">
        <v>41</v>
      </c>
      <c r="I414" s="1" t="s">
        <v>28</v>
      </c>
      <c r="J414" t="s">
        <v>42</v>
      </c>
      <c r="K414" t="s">
        <v>43</v>
      </c>
      <c r="L414" s="1">
        <v>420328</v>
      </c>
      <c r="M414" s="1" t="s">
        <v>44</v>
      </c>
      <c r="N414" t="s">
        <v>1954</v>
      </c>
      <c r="O414" t="s">
        <v>46</v>
      </c>
      <c r="P414" t="s">
        <v>47</v>
      </c>
      <c r="Q414" t="s">
        <v>48</v>
      </c>
      <c r="R414">
        <v>4435.9399999999996</v>
      </c>
      <c r="S414" s="25" t="e">
        <f>IF(Table1[[#This Row],[Sales]]=MIN(Table1[Sales]), Table1[[#This Row],[Sales]], NA())</f>
        <v>#N/A</v>
      </c>
      <c r="T414" s="25">
        <f>IF(AND(Table1[[#This Row],[Sales]]&lt;&gt;MIN(Table1[Sales]),Table1[[#This Row],[Sales]]&lt;&gt;MAX(Table1[Sales])), Table1[[#This Row],[Sales]], NA())</f>
        <v>4435.9399999999996</v>
      </c>
      <c r="U414" s="25" t="e">
        <f>IF(Table1[[#This Row],[Sales]]=MAX(Table1[Sales]), Table1[[#This Row],[Sales]], NA())</f>
        <v>#N/A</v>
      </c>
      <c r="V414">
        <v>1</v>
      </c>
      <c r="W414">
        <v>0.1</v>
      </c>
      <c r="X414">
        <v>243.98</v>
      </c>
      <c r="Y414" s="3">
        <f>YEAR(Table1[[#This Row],[Order Date]])</f>
        <v>2025</v>
      </c>
      <c r="Z414" s="3" t="str">
        <f>TEXT(Table1[[#This Row],[Order Date]],"MMM")</f>
        <v>Dec</v>
      </c>
      <c r="AA414" s="3">
        <f>DAY(Table1[[#This Row],[Order Date]])</f>
        <v>22</v>
      </c>
    </row>
    <row r="415" spans="1:27" x14ac:dyDescent="0.35">
      <c r="A415" s="1">
        <v>414</v>
      </c>
      <c r="B415" s="1" t="s">
        <v>1955</v>
      </c>
      <c r="C415" s="1" t="s">
        <v>1703</v>
      </c>
      <c r="D415" s="1" t="s">
        <v>1956</v>
      </c>
      <c r="E415" t="s">
        <v>62</v>
      </c>
      <c r="F415" t="s">
        <v>1957</v>
      </c>
      <c r="G415" t="s">
        <v>93</v>
      </c>
      <c r="H415" t="s">
        <v>27</v>
      </c>
      <c r="I415" s="1" t="s">
        <v>28</v>
      </c>
      <c r="J415" t="s">
        <v>53</v>
      </c>
      <c r="K415" t="s">
        <v>54</v>
      </c>
      <c r="L415" s="1">
        <v>779872</v>
      </c>
      <c r="M415" s="1" t="s">
        <v>55</v>
      </c>
      <c r="N415" t="s">
        <v>1958</v>
      </c>
      <c r="O415" t="s">
        <v>32</v>
      </c>
      <c r="P415" t="s">
        <v>33</v>
      </c>
      <c r="Q415" t="s">
        <v>34</v>
      </c>
      <c r="R415">
        <v>12894.19</v>
      </c>
      <c r="S415" s="25" t="e">
        <f>IF(Table1[[#This Row],[Sales]]=MIN(Table1[Sales]), Table1[[#This Row],[Sales]], NA())</f>
        <v>#N/A</v>
      </c>
      <c r="T415" s="25">
        <f>IF(AND(Table1[[#This Row],[Sales]]&lt;&gt;MIN(Table1[Sales]),Table1[[#This Row],[Sales]]&lt;&gt;MAX(Table1[Sales])), Table1[[#This Row],[Sales]], NA())</f>
        <v>12894.19</v>
      </c>
      <c r="U415" s="25" t="e">
        <f>IF(Table1[[#This Row],[Sales]]=MAX(Table1[Sales]), Table1[[#This Row],[Sales]], NA())</f>
        <v>#N/A</v>
      </c>
      <c r="V415">
        <v>6</v>
      </c>
      <c r="W415">
        <v>0</v>
      </c>
      <c r="X415">
        <v>1031.54</v>
      </c>
      <c r="Y415" s="3">
        <f>YEAR(Table1[[#This Row],[Order Date]])</f>
        <v>2024</v>
      </c>
      <c r="Z415" s="3" t="str">
        <f>TEXT(Table1[[#This Row],[Order Date]],"MMM")</f>
        <v>Oct</v>
      </c>
      <c r="AA415" s="3">
        <f>DAY(Table1[[#This Row],[Order Date]])</f>
        <v>5</v>
      </c>
    </row>
    <row r="416" spans="1:27" x14ac:dyDescent="0.35">
      <c r="A416" s="1">
        <v>415</v>
      </c>
      <c r="B416" s="1" t="s">
        <v>1959</v>
      </c>
      <c r="C416" s="1" t="s">
        <v>1960</v>
      </c>
      <c r="D416" s="1" t="s">
        <v>774</v>
      </c>
      <c r="E416" t="s">
        <v>24</v>
      </c>
      <c r="F416" t="s">
        <v>1961</v>
      </c>
      <c r="G416" t="s">
        <v>93</v>
      </c>
      <c r="H416" t="s">
        <v>27</v>
      </c>
      <c r="I416" s="1" t="s">
        <v>28</v>
      </c>
      <c r="J416" t="s">
        <v>53</v>
      </c>
      <c r="K416" t="s">
        <v>54</v>
      </c>
      <c r="L416" s="1">
        <v>843845</v>
      </c>
      <c r="M416" s="1" t="s">
        <v>55</v>
      </c>
      <c r="N416" t="s">
        <v>1962</v>
      </c>
      <c r="O416" t="s">
        <v>46</v>
      </c>
      <c r="P416" t="s">
        <v>57</v>
      </c>
      <c r="Q416" t="s">
        <v>58</v>
      </c>
      <c r="R416">
        <v>38285.72</v>
      </c>
      <c r="S416" s="25" t="e">
        <f>IF(Table1[[#This Row],[Sales]]=MIN(Table1[Sales]), Table1[[#This Row],[Sales]], NA())</f>
        <v>#N/A</v>
      </c>
      <c r="T416" s="25">
        <f>IF(AND(Table1[[#This Row],[Sales]]&lt;&gt;MIN(Table1[Sales]),Table1[[#This Row],[Sales]]&lt;&gt;MAX(Table1[Sales])), Table1[[#This Row],[Sales]], NA())</f>
        <v>38285.72</v>
      </c>
      <c r="U416" s="25" t="e">
        <f>IF(Table1[[#This Row],[Sales]]=MAX(Table1[Sales]), Table1[[#This Row],[Sales]], NA())</f>
        <v>#N/A</v>
      </c>
      <c r="V416">
        <v>5</v>
      </c>
      <c r="W416">
        <v>0.1</v>
      </c>
      <c r="X416">
        <v>2105.71</v>
      </c>
      <c r="Y416" s="3">
        <f>YEAR(Table1[[#This Row],[Order Date]])</f>
        <v>2022</v>
      </c>
      <c r="Z416" s="3" t="str">
        <f>TEXT(Table1[[#This Row],[Order Date]],"MMM")</f>
        <v>Jun</v>
      </c>
      <c r="AA416" s="3">
        <f>DAY(Table1[[#This Row],[Order Date]])</f>
        <v>5</v>
      </c>
    </row>
    <row r="417" spans="1:27" x14ac:dyDescent="0.35">
      <c r="A417" s="1">
        <v>416</v>
      </c>
      <c r="B417" s="1" t="s">
        <v>1963</v>
      </c>
      <c r="C417" s="1" t="s">
        <v>465</v>
      </c>
      <c r="D417" s="1" t="s">
        <v>1964</v>
      </c>
      <c r="E417" t="s">
        <v>38</v>
      </c>
      <c r="F417" t="s">
        <v>1965</v>
      </c>
      <c r="G417" t="s">
        <v>122</v>
      </c>
      <c r="H417" t="s">
        <v>27</v>
      </c>
      <c r="I417" s="1" t="s">
        <v>28</v>
      </c>
      <c r="J417" t="s">
        <v>29</v>
      </c>
      <c r="K417" t="s">
        <v>29</v>
      </c>
      <c r="L417" s="1">
        <v>600464</v>
      </c>
      <c r="M417" s="1" t="s">
        <v>30</v>
      </c>
      <c r="N417" t="s">
        <v>1966</v>
      </c>
      <c r="O417" t="s">
        <v>68</v>
      </c>
      <c r="P417" t="s">
        <v>69</v>
      </c>
      <c r="Q417" t="s">
        <v>70</v>
      </c>
      <c r="R417">
        <v>63426.94</v>
      </c>
      <c r="S417" s="25" t="e">
        <f>IF(Table1[[#This Row],[Sales]]=MIN(Table1[Sales]), Table1[[#This Row],[Sales]], NA())</f>
        <v>#N/A</v>
      </c>
      <c r="T417" s="25">
        <f>IF(AND(Table1[[#This Row],[Sales]]&lt;&gt;MIN(Table1[Sales]),Table1[[#This Row],[Sales]]&lt;&gt;MAX(Table1[Sales])), Table1[[#This Row],[Sales]], NA())</f>
        <v>63426.94</v>
      </c>
      <c r="U417" s="25" t="e">
        <f>IF(Table1[[#This Row],[Sales]]=MAX(Table1[Sales]), Table1[[#This Row],[Sales]], NA())</f>
        <v>#N/A</v>
      </c>
      <c r="V417">
        <v>4</v>
      </c>
      <c r="W417">
        <v>0.3</v>
      </c>
      <c r="X417">
        <v>317.13</v>
      </c>
      <c r="Y417" s="3">
        <f>YEAR(Table1[[#This Row],[Order Date]])</f>
        <v>2025</v>
      </c>
      <c r="Z417" s="3" t="str">
        <f>TEXT(Table1[[#This Row],[Order Date]],"MMM")</f>
        <v>Aug</v>
      </c>
      <c r="AA417" s="3">
        <f>DAY(Table1[[#This Row],[Order Date]])</f>
        <v>9</v>
      </c>
    </row>
    <row r="418" spans="1:27" x14ac:dyDescent="0.35">
      <c r="A418" s="1">
        <v>417</v>
      </c>
      <c r="B418" s="1" t="s">
        <v>1967</v>
      </c>
      <c r="C418" s="1" t="s">
        <v>1968</v>
      </c>
      <c r="D418" s="1" t="s">
        <v>1969</v>
      </c>
      <c r="E418" t="s">
        <v>24</v>
      </c>
      <c r="F418" t="s">
        <v>1970</v>
      </c>
      <c r="G418" t="s">
        <v>122</v>
      </c>
      <c r="H418" t="s">
        <v>41</v>
      </c>
      <c r="I418" s="1" t="s">
        <v>28</v>
      </c>
      <c r="J418" t="s">
        <v>42</v>
      </c>
      <c r="K418" t="s">
        <v>43</v>
      </c>
      <c r="L418" s="1">
        <v>565649</v>
      </c>
      <c r="M418" s="1" t="s">
        <v>44</v>
      </c>
      <c r="N418" t="s">
        <v>1971</v>
      </c>
      <c r="O418" t="s">
        <v>46</v>
      </c>
      <c r="P418" t="s">
        <v>47</v>
      </c>
      <c r="Q418" t="s">
        <v>48</v>
      </c>
      <c r="R418">
        <v>17186.099999999999</v>
      </c>
      <c r="S418" s="25" t="e">
        <f>IF(Table1[[#This Row],[Sales]]=MIN(Table1[Sales]), Table1[[#This Row],[Sales]], NA())</f>
        <v>#N/A</v>
      </c>
      <c r="T418" s="25">
        <f>IF(AND(Table1[[#This Row],[Sales]]&lt;&gt;MIN(Table1[Sales]),Table1[[#This Row],[Sales]]&lt;&gt;MAX(Table1[Sales])), Table1[[#This Row],[Sales]], NA())</f>
        <v>17186.099999999999</v>
      </c>
      <c r="U418" s="25" t="e">
        <f>IF(Table1[[#This Row],[Sales]]=MAX(Table1[Sales]), Table1[[#This Row],[Sales]], NA())</f>
        <v>#N/A</v>
      </c>
      <c r="V418">
        <v>6</v>
      </c>
      <c r="W418">
        <v>0.3</v>
      </c>
      <c r="X418">
        <v>85.93</v>
      </c>
      <c r="Y418" s="3">
        <f>YEAR(Table1[[#This Row],[Order Date]])</f>
        <v>2023</v>
      </c>
      <c r="Z418" s="3" t="str">
        <f>TEXT(Table1[[#This Row],[Order Date]],"MMM")</f>
        <v>Oct</v>
      </c>
      <c r="AA418" s="3">
        <f>DAY(Table1[[#This Row],[Order Date]])</f>
        <v>2</v>
      </c>
    </row>
    <row r="419" spans="1:27" x14ac:dyDescent="0.35">
      <c r="A419" s="1">
        <v>418</v>
      </c>
      <c r="B419" s="1" t="s">
        <v>1972</v>
      </c>
      <c r="C419" s="1" t="s">
        <v>1973</v>
      </c>
      <c r="D419" s="1" t="s">
        <v>1974</v>
      </c>
      <c r="E419" t="s">
        <v>115</v>
      </c>
      <c r="F419" t="s">
        <v>1975</v>
      </c>
      <c r="G419" t="s">
        <v>75</v>
      </c>
      <c r="H419" t="s">
        <v>94</v>
      </c>
      <c r="I419" s="1" t="s">
        <v>28</v>
      </c>
      <c r="J419" t="s">
        <v>64</v>
      </c>
      <c r="K419" t="s">
        <v>65</v>
      </c>
      <c r="L419" s="1">
        <v>956429</v>
      </c>
      <c r="M419" s="1" t="s">
        <v>66</v>
      </c>
      <c r="N419" t="s">
        <v>1976</v>
      </c>
      <c r="O419" t="s">
        <v>46</v>
      </c>
      <c r="P419" t="s">
        <v>47</v>
      </c>
      <c r="Q419" t="s">
        <v>48</v>
      </c>
      <c r="R419">
        <v>9110.4599999999991</v>
      </c>
      <c r="S419" s="25" t="e">
        <f>IF(Table1[[#This Row],[Sales]]=MIN(Table1[Sales]), Table1[[#This Row],[Sales]], NA())</f>
        <v>#N/A</v>
      </c>
      <c r="T419" s="25">
        <f>IF(AND(Table1[[#This Row],[Sales]]&lt;&gt;MIN(Table1[Sales]),Table1[[#This Row],[Sales]]&lt;&gt;MAX(Table1[Sales])), Table1[[#This Row],[Sales]], NA())</f>
        <v>9110.4599999999991</v>
      </c>
      <c r="U419" s="25" t="e">
        <f>IF(Table1[[#This Row],[Sales]]=MAX(Table1[Sales]), Table1[[#This Row],[Sales]], NA())</f>
        <v>#N/A</v>
      </c>
      <c r="V419">
        <v>6</v>
      </c>
      <c r="W419">
        <v>0.3</v>
      </c>
      <c r="X419">
        <v>45.55</v>
      </c>
      <c r="Y419" s="3">
        <f>YEAR(Table1[[#This Row],[Order Date]])</f>
        <v>2021</v>
      </c>
      <c r="Z419" s="3" t="str">
        <f>TEXT(Table1[[#This Row],[Order Date]],"MMM")</f>
        <v>Mar</v>
      </c>
      <c r="AA419" s="3">
        <f>DAY(Table1[[#This Row],[Order Date]])</f>
        <v>4</v>
      </c>
    </row>
    <row r="420" spans="1:27" x14ac:dyDescent="0.35">
      <c r="A420" s="1">
        <v>419</v>
      </c>
      <c r="B420" s="1" t="s">
        <v>1977</v>
      </c>
      <c r="C420" s="1" t="s">
        <v>1933</v>
      </c>
      <c r="D420" s="1" t="s">
        <v>1934</v>
      </c>
      <c r="E420" t="s">
        <v>24</v>
      </c>
      <c r="F420" t="s">
        <v>1978</v>
      </c>
      <c r="G420" t="s">
        <v>26</v>
      </c>
      <c r="H420" t="s">
        <v>94</v>
      </c>
      <c r="I420" s="1" t="s">
        <v>28</v>
      </c>
      <c r="J420" t="s">
        <v>128</v>
      </c>
      <c r="K420" t="s">
        <v>129</v>
      </c>
      <c r="L420" s="1">
        <v>515052</v>
      </c>
      <c r="M420" s="1" t="s">
        <v>66</v>
      </c>
      <c r="N420" t="s">
        <v>1979</v>
      </c>
      <c r="O420" t="s">
        <v>68</v>
      </c>
      <c r="P420" t="s">
        <v>69</v>
      </c>
      <c r="Q420" t="s">
        <v>70</v>
      </c>
      <c r="R420">
        <v>93524.05</v>
      </c>
      <c r="S420" s="25" t="e">
        <f>IF(Table1[[#This Row],[Sales]]=MIN(Table1[Sales]), Table1[[#This Row],[Sales]], NA())</f>
        <v>#N/A</v>
      </c>
      <c r="T420" s="25">
        <f>IF(AND(Table1[[#This Row],[Sales]]&lt;&gt;MIN(Table1[Sales]),Table1[[#This Row],[Sales]]&lt;&gt;MAX(Table1[Sales])), Table1[[#This Row],[Sales]], NA())</f>
        <v>93524.05</v>
      </c>
      <c r="U420" s="25" t="e">
        <f>IF(Table1[[#This Row],[Sales]]=MAX(Table1[Sales]), Table1[[#This Row],[Sales]], NA())</f>
        <v>#N/A</v>
      </c>
      <c r="V420">
        <v>9</v>
      </c>
      <c r="W420">
        <v>0.1</v>
      </c>
      <c r="X420">
        <v>5143.82</v>
      </c>
      <c r="Y420" s="3">
        <f>YEAR(Table1[[#This Row],[Order Date]])</f>
        <v>2025</v>
      </c>
      <c r="Z420" s="3" t="str">
        <f>TEXT(Table1[[#This Row],[Order Date]],"MMM")</f>
        <v>Jul</v>
      </c>
      <c r="AA420" s="3">
        <f>DAY(Table1[[#This Row],[Order Date]])</f>
        <v>21</v>
      </c>
    </row>
    <row r="421" spans="1:27" x14ac:dyDescent="0.35">
      <c r="A421" s="1">
        <v>420</v>
      </c>
      <c r="B421" s="1" t="s">
        <v>1980</v>
      </c>
      <c r="C421" s="1" t="s">
        <v>1981</v>
      </c>
      <c r="D421" s="1" t="s">
        <v>1982</v>
      </c>
      <c r="E421" t="s">
        <v>24</v>
      </c>
      <c r="F421" t="s">
        <v>1983</v>
      </c>
      <c r="G421" t="s">
        <v>40</v>
      </c>
      <c r="H421" t="s">
        <v>94</v>
      </c>
      <c r="I421" s="1" t="s">
        <v>28</v>
      </c>
      <c r="J421" t="s">
        <v>42</v>
      </c>
      <c r="K421" t="s">
        <v>43</v>
      </c>
      <c r="L421" s="1">
        <v>384970</v>
      </c>
      <c r="M421" s="1" t="s">
        <v>44</v>
      </c>
      <c r="N421" t="s">
        <v>1984</v>
      </c>
      <c r="O421" t="s">
        <v>46</v>
      </c>
      <c r="P421" t="s">
        <v>57</v>
      </c>
      <c r="Q421" t="s">
        <v>58</v>
      </c>
      <c r="R421">
        <v>49045.3</v>
      </c>
      <c r="S421" s="25" t="e">
        <f>IF(Table1[[#This Row],[Sales]]=MIN(Table1[Sales]), Table1[[#This Row],[Sales]], NA())</f>
        <v>#N/A</v>
      </c>
      <c r="T421" s="25">
        <f>IF(AND(Table1[[#This Row],[Sales]]&lt;&gt;MIN(Table1[Sales]),Table1[[#This Row],[Sales]]&lt;&gt;MAX(Table1[Sales])), Table1[[#This Row],[Sales]], NA())</f>
        <v>49045.3</v>
      </c>
      <c r="U421" s="25" t="e">
        <f>IF(Table1[[#This Row],[Sales]]=MAX(Table1[Sales]), Table1[[#This Row],[Sales]], NA())</f>
        <v>#N/A</v>
      </c>
      <c r="V421">
        <v>1</v>
      </c>
      <c r="W421">
        <v>0.3</v>
      </c>
      <c r="X421">
        <v>245.23</v>
      </c>
      <c r="Y421" s="3">
        <f>YEAR(Table1[[#This Row],[Order Date]])</f>
        <v>2021</v>
      </c>
      <c r="Z421" s="3" t="str">
        <f>TEXT(Table1[[#This Row],[Order Date]],"MMM")</f>
        <v>Sep</v>
      </c>
      <c r="AA421" s="3">
        <f>DAY(Table1[[#This Row],[Order Date]])</f>
        <v>5</v>
      </c>
    </row>
    <row r="422" spans="1:27" x14ac:dyDescent="0.35">
      <c r="A422" s="1">
        <v>421</v>
      </c>
      <c r="B422" s="1" t="s">
        <v>1985</v>
      </c>
      <c r="C422" s="1" t="s">
        <v>1986</v>
      </c>
      <c r="D422" s="1" t="s">
        <v>1987</v>
      </c>
      <c r="E422" t="s">
        <v>62</v>
      </c>
      <c r="F422" t="s">
        <v>1988</v>
      </c>
      <c r="G422" t="s">
        <v>122</v>
      </c>
      <c r="H422" t="s">
        <v>27</v>
      </c>
      <c r="I422" s="1" t="s">
        <v>28</v>
      </c>
      <c r="J422" t="s">
        <v>53</v>
      </c>
      <c r="K422" t="s">
        <v>54</v>
      </c>
      <c r="L422" s="1">
        <v>147108</v>
      </c>
      <c r="M422" s="1" t="s">
        <v>55</v>
      </c>
      <c r="N422" t="s">
        <v>1989</v>
      </c>
      <c r="O422" t="s">
        <v>68</v>
      </c>
      <c r="P422" t="s">
        <v>69</v>
      </c>
      <c r="Q422" t="s">
        <v>70</v>
      </c>
      <c r="R422">
        <v>34990.75</v>
      </c>
      <c r="S422" s="25" t="e">
        <f>IF(Table1[[#This Row],[Sales]]=MIN(Table1[Sales]), Table1[[#This Row],[Sales]], NA())</f>
        <v>#N/A</v>
      </c>
      <c r="T422" s="25">
        <f>IF(AND(Table1[[#This Row],[Sales]]&lt;&gt;MIN(Table1[Sales]),Table1[[#This Row],[Sales]]&lt;&gt;MAX(Table1[Sales])), Table1[[#This Row],[Sales]], NA())</f>
        <v>34990.75</v>
      </c>
      <c r="U422" s="25" t="e">
        <f>IF(Table1[[#This Row],[Sales]]=MAX(Table1[Sales]), Table1[[#This Row],[Sales]], NA())</f>
        <v>#N/A</v>
      </c>
      <c r="V422">
        <v>5</v>
      </c>
      <c r="W422">
        <v>0.3</v>
      </c>
      <c r="X422">
        <v>174.95</v>
      </c>
      <c r="Y422" s="3">
        <f>YEAR(Table1[[#This Row],[Order Date]])</f>
        <v>2024</v>
      </c>
      <c r="Z422" s="3" t="str">
        <f>TEXT(Table1[[#This Row],[Order Date]],"MMM")</f>
        <v>Nov</v>
      </c>
      <c r="AA422" s="3">
        <f>DAY(Table1[[#This Row],[Order Date]])</f>
        <v>7</v>
      </c>
    </row>
    <row r="423" spans="1:27" x14ac:dyDescent="0.35">
      <c r="A423" s="1">
        <v>422</v>
      </c>
      <c r="B423" s="1" t="s">
        <v>1990</v>
      </c>
      <c r="C423" s="1" t="s">
        <v>1991</v>
      </c>
      <c r="D423" s="1" t="s">
        <v>1992</v>
      </c>
      <c r="E423" t="s">
        <v>24</v>
      </c>
      <c r="F423" t="s">
        <v>1993</v>
      </c>
      <c r="G423" t="s">
        <v>75</v>
      </c>
      <c r="H423" t="s">
        <v>27</v>
      </c>
      <c r="I423" s="1" t="s">
        <v>28</v>
      </c>
      <c r="J423" t="s">
        <v>128</v>
      </c>
      <c r="K423" t="s">
        <v>129</v>
      </c>
      <c r="L423" s="1">
        <v>788714</v>
      </c>
      <c r="M423" s="1" t="s">
        <v>66</v>
      </c>
      <c r="N423" t="s">
        <v>1994</v>
      </c>
      <c r="O423" t="s">
        <v>32</v>
      </c>
      <c r="P423" t="s">
        <v>33</v>
      </c>
      <c r="Q423" t="s">
        <v>34</v>
      </c>
      <c r="R423">
        <v>57741.42</v>
      </c>
      <c r="S423" s="25" t="e">
        <f>IF(Table1[[#This Row],[Sales]]=MIN(Table1[Sales]), Table1[[#This Row],[Sales]], NA())</f>
        <v>#N/A</v>
      </c>
      <c r="T423" s="25">
        <f>IF(AND(Table1[[#This Row],[Sales]]&lt;&gt;MIN(Table1[Sales]),Table1[[#This Row],[Sales]]&lt;&gt;MAX(Table1[Sales])), Table1[[#This Row],[Sales]], NA())</f>
        <v>57741.42</v>
      </c>
      <c r="U423" s="25" t="e">
        <f>IF(Table1[[#This Row],[Sales]]=MAX(Table1[Sales]), Table1[[#This Row],[Sales]], NA())</f>
        <v>#N/A</v>
      </c>
      <c r="V423">
        <v>7</v>
      </c>
      <c r="W423">
        <v>0.3</v>
      </c>
      <c r="X423">
        <v>288.70999999999998</v>
      </c>
      <c r="Y423" s="3">
        <f>YEAR(Table1[[#This Row],[Order Date]])</f>
        <v>2022</v>
      </c>
      <c r="Z423" s="3" t="str">
        <f>TEXT(Table1[[#This Row],[Order Date]],"MMM")</f>
        <v>Aug</v>
      </c>
      <c r="AA423" s="3">
        <f>DAY(Table1[[#This Row],[Order Date]])</f>
        <v>20</v>
      </c>
    </row>
    <row r="424" spans="1:27" x14ac:dyDescent="0.35">
      <c r="A424" s="1">
        <v>423</v>
      </c>
      <c r="B424" s="1" t="s">
        <v>1995</v>
      </c>
      <c r="C424" s="1" t="s">
        <v>1996</v>
      </c>
      <c r="D424" s="1" t="s">
        <v>1943</v>
      </c>
      <c r="E424" t="s">
        <v>115</v>
      </c>
      <c r="F424" t="s">
        <v>1997</v>
      </c>
      <c r="G424" t="s">
        <v>75</v>
      </c>
      <c r="H424" t="s">
        <v>94</v>
      </c>
      <c r="I424" s="1" t="s">
        <v>28</v>
      </c>
      <c r="J424" t="s">
        <v>29</v>
      </c>
      <c r="K424" t="s">
        <v>29</v>
      </c>
      <c r="L424" s="1">
        <v>532387</v>
      </c>
      <c r="M424" s="1" t="s">
        <v>30</v>
      </c>
      <c r="N424" t="s">
        <v>1998</v>
      </c>
      <c r="O424" t="s">
        <v>68</v>
      </c>
      <c r="P424" t="s">
        <v>69</v>
      </c>
      <c r="Q424" t="s">
        <v>70</v>
      </c>
      <c r="R424">
        <v>6255.8</v>
      </c>
      <c r="S424" s="25" t="e">
        <f>IF(Table1[[#This Row],[Sales]]=MIN(Table1[Sales]), Table1[[#This Row],[Sales]], NA())</f>
        <v>#N/A</v>
      </c>
      <c r="T424" s="25">
        <f>IF(AND(Table1[[#This Row],[Sales]]&lt;&gt;MIN(Table1[Sales]),Table1[[#This Row],[Sales]]&lt;&gt;MAX(Table1[Sales])), Table1[[#This Row],[Sales]], NA())</f>
        <v>6255.8</v>
      </c>
      <c r="U424" s="25" t="e">
        <f>IF(Table1[[#This Row],[Sales]]=MAX(Table1[Sales]), Table1[[#This Row],[Sales]], NA())</f>
        <v>#N/A</v>
      </c>
      <c r="V424">
        <v>6</v>
      </c>
      <c r="W424">
        <v>0.1</v>
      </c>
      <c r="X424">
        <v>344.07</v>
      </c>
      <c r="Y424" s="3">
        <f>YEAR(Table1[[#This Row],[Order Date]])</f>
        <v>2024</v>
      </c>
      <c r="Z424" s="3" t="str">
        <f>TEXT(Table1[[#This Row],[Order Date]],"MMM")</f>
        <v>Apr</v>
      </c>
      <c r="AA424" s="3">
        <f>DAY(Table1[[#This Row],[Order Date]])</f>
        <v>12</v>
      </c>
    </row>
    <row r="425" spans="1:27" x14ac:dyDescent="0.35">
      <c r="A425" s="1">
        <v>424</v>
      </c>
      <c r="B425" s="1" t="s">
        <v>1999</v>
      </c>
      <c r="C425" s="1" t="s">
        <v>2000</v>
      </c>
      <c r="D425" s="1" t="s">
        <v>2001</v>
      </c>
      <c r="E425" t="s">
        <v>115</v>
      </c>
      <c r="F425" t="s">
        <v>2002</v>
      </c>
      <c r="G425" t="s">
        <v>40</v>
      </c>
      <c r="H425" t="s">
        <v>94</v>
      </c>
      <c r="I425" s="1" t="s">
        <v>28</v>
      </c>
      <c r="J425" t="s">
        <v>53</v>
      </c>
      <c r="K425" t="s">
        <v>54</v>
      </c>
      <c r="L425" s="1">
        <v>930092</v>
      </c>
      <c r="M425" s="1" t="s">
        <v>55</v>
      </c>
      <c r="N425" t="s">
        <v>2003</v>
      </c>
      <c r="O425" t="s">
        <v>32</v>
      </c>
      <c r="P425" t="s">
        <v>33</v>
      </c>
      <c r="Q425" t="s">
        <v>34</v>
      </c>
      <c r="R425">
        <v>97065.22</v>
      </c>
      <c r="S425" s="25" t="e">
        <f>IF(Table1[[#This Row],[Sales]]=MIN(Table1[Sales]), Table1[[#This Row],[Sales]], NA())</f>
        <v>#N/A</v>
      </c>
      <c r="T425" s="25">
        <f>IF(AND(Table1[[#This Row],[Sales]]&lt;&gt;MIN(Table1[Sales]),Table1[[#This Row],[Sales]]&lt;&gt;MAX(Table1[Sales])), Table1[[#This Row],[Sales]], NA())</f>
        <v>97065.22</v>
      </c>
      <c r="U425" s="25" t="e">
        <f>IF(Table1[[#This Row],[Sales]]=MAX(Table1[Sales]), Table1[[#This Row],[Sales]], NA())</f>
        <v>#N/A</v>
      </c>
      <c r="V425">
        <v>6</v>
      </c>
      <c r="W425">
        <v>0</v>
      </c>
      <c r="X425">
        <v>7765.22</v>
      </c>
      <c r="Y425" s="3">
        <f>YEAR(Table1[[#This Row],[Order Date]])</f>
        <v>2023</v>
      </c>
      <c r="Z425" s="3" t="str">
        <f>TEXT(Table1[[#This Row],[Order Date]],"MMM")</f>
        <v>Jun</v>
      </c>
      <c r="AA425" s="3">
        <f>DAY(Table1[[#This Row],[Order Date]])</f>
        <v>26</v>
      </c>
    </row>
    <row r="426" spans="1:27" x14ac:dyDescent="0.35">
      <c r="A426" s="1">
        <v>425</v>
      </c>
      <c r="B426" s="1" t="s">
        <v>2004</v>
      </c>
      <c r="C426" s="1" t="s">
        <v>1938</v>
      </c>
      <c r="D426" s="1" t="s">
        <v>2005</v>
      </c>
      <c r="E426" t="s">
        <v>24</v>
      </c>
      <c r="F426" t="s">
        <v>2006</v>
      </c>
      <c r="G426" t="s">
        <v>81</v>
      </c>
      <c r="H426" t="s">
        <v>27</v>
      </c>
      <c r="I426" s="1" t="s">
        <v>28</v>
      </c>
      <c r="J426" t="s">
        <v>42</v>
      </c>
      <c r="K426" t="s">
        <v>43</v>
      </c>
      <c r="L426" s="1">
        <v>203940</v>
      </c>
      <c r="M426" s="1" t="s">
        <v>44</v>
      </c>
      <c r="N426" t="s">
        <v>2007</v>
      </c>
      <c r="O426" t="s">
        <v>46</v>
      </c>
      <c r="P426" t="s">
        <v>47</v>
      </c>
      <c r="Q426" t="s">
        <v>48</v>
      </c>
      <c r="R426">
        <v>47054</v>
      </c>
      <c r="S426" s="25" t="e">
        <f>IF(Table1[[#This Row],[Sales]]=MIN(Table1[Sales]), Table1[[#This Row],[Sales]], NA())</f>
        <v>#N/A</v>
      </c>
      <c r="T426" s="25">
        <f>IF(AND(Table1[[#This Row],[Sales]]&lt;&gt;MIN(Table1[Sales]),Table1[[#This Row],[Sales]]&lt;&gt;MAX(Table1[Sales])), Table1[[#This Row],[Sales]], NA())</f>
        <v>47054</v>
      </c>
      <c r="U426" s="25" t="e">
        <f>IF(Table1[[#This Row],[Sales]]=MAX(Table1[Sales]), Table1[[#This Row],[Sales]], NA())</f>
        <v>#N/A</v>
      </c>
      <c r="V426">
        <v>5</v>
      </c>
      <c r="W426">
        <v>0.1</v>
      </c>
      <c r="X426">
        <v>2587.9699999999998</v>
      </c>
      <c r="Y426" s="3">
        <f>YEAR(Table1[[#This Row],[Order Date]])</f>
        <v>2021</v>
      </c>
      <c r="Z426" s="3" t="str">
        <f>TEXT(Table1[[#This Row],[Order Date]],"MMM")</f>
        <v>Jan</v>
      </c>
      <c r="AA426" s="3">
        <f>DAY(Table1[[#This Row],[Order Date]])</f>
        <v>5</v>
      </c>
    </row>
    <row r="427" spans="1:27" x14ac:dyDescent="0.35">
      <c r="A427" s="1">
        <v>426</v>
      </c>
      <c r="B427" s="1" t="s">
        <v>2008</v>
      </c>
      <c r="C427" s="1" t="s">
        <v>1560</v>
      </c>
      <c r="D427" s="1" t="s">
        <v>2009</v>
      </c>
      <c r="E427" t="s">
        <v>38</v>
      </c>
      <c r="F427" t="s">
        <v>2010</v>
      </c>
      <c r="G427" t="s">
        <v>122</v>
      </c>
      <c r="H427" t="s">
        <v>27</v>
      </c>
      <c r="I427" s="1" t="s">
        <v>28</v>
      </c>
      <c r="J427" t="s">
        <v>128</v>
      </c>
      <c r="K427" t="s">
        <v>129</v>
      </c>
      <c r="L427" s="1">
        <v>402901</v>
      </c>
      <c r="M427" s="1" t="s">
        <v>66</v>
      </c>
      <c r="N427" t="s">
        <v>2011</v>
      </c>
      <c r="O427" t="s">
        <v>32</v>
      </c>
      <c r="P427" t="s">
        <v>33</v>
      </c>
      <c r="Q427" t="s">
        <v>34</v>
      </c>
      <c r="R427">
        <v>48342.37</v>
      </c>
      <c r="S427" s="25" t="e">
        <f>IF(Table1[[#This Row],[Sales]]=MIN(Table1[Sales]), Table1[[#This Row],[Sales]], NA())</f>
        <v>#N/A</v>
      </c>
      <c r="T427" s="25">
        <f>IF(AND(Table1[[#This Row],[Sales]]&lt;&gt;MIN(Table1[Sales]),Table1[[#This Row],[Sales]]&lt;&gt;MAX(Table1[Sales])), Table1[[#This Row],[Sales]], NA())</f>
        <v>48342.37</v>
      </c>
      <c r="U427" s="25" t="e">
        <f>IF(Table1[[#This Row],[Sales]]=MAX(Table1[Sales]), Table1[[#This Row],[Sales]], NA())</f>
        <v>#N/A</v>
      </c>
      <c r="V427">
        <v>6</v>
      </c>
      <c r="W427">
        <v>0.2</v>
      </c>
      <c r="X427">
        <v>1450.27</v>
      </c>
      <c r="Y427" s="3">
        <f>YEAR(Table1[[#This Row],[Order Date]])</f>
        <v>2024</v>
      </c>
      <c r="Z427" s="3" t="str">
        <f>TEXT(Table1[[#This Row],[Order Date]],"MMM")</f>
        <v>Jul</v>
      </c>
      <c r="AA427" s="3">
        <f>DAY(Table1[[#This Row],[Order Date]])</f>
        <v>27</v>
      </c>
    </row>
    <row r="428" spans="1:27" x14ac:dyDescent="0.35">
      <c r="A428" s="1">
        <v>427</v>
      </c>
      <c r="B428" s="1" t="s">
        <v>2012</v>
      </c>
      <c r="C428" s="1" t="s">
        <v>1490</v>
      </c>
      <c r="D428" s="1" t="s">
        <v>2013</v>
      </c>
      <c r="E428" t="s">
        <v>62</v>
      </c>
      <c r="F428" t="s">
        <v>2014</v>
      </c>
      <c r="G428" t="s">
        <v>87</v>
      </c>
      <c r="H428" t="s">
        <v>27</v>
      </c>
      <c r="I428" s="1" t="s">
        <v>28</v>
      </c>
      <c r="J428" t="s">
        <v>53</v>
      </c>
      <c r="K428" t="s">
        <v>54</v>
      </c>
      <c r="L428" s="1">
        <v>795950</v>
      </c>
      <c r="M428" s="1" t="s">
        <v>55</v>
      </c>
      <c r="N428" t="s">
        <v>2015</v>
      </c>
      <c r="O428" t="s">
        <v>46</v>
      </c>
      <c r="P428" t="s">
        <v>57</v>
      </c>
      <c r="Q428" t="s">
        <v>58</v>
      </c>
      <c r="R428">
        <v>15956.96</v>
      </c>
      <c r="S428" s="25" t="e">
        <f>IF(Table1[[#This Row],[Sales]]=MIN(Table1[Sales]), Table1[[#This Row],[Sales]], NA())</f>
        <v>#N/A</v>
      </c>
      <c r="T428" s="25">
        <f>IF(AND(Table1[[#This Row],[Sales]]&lt;&gt;MIN(Table1[Sales]),Table1[[#This Row],[Sales]]&lt;&gt;MAX(Table1[Sales])), Table1[[#This Row],[Sales]], NA())</f>
        <v>15956.96</v>
      </c>
      <c r="U428" s="25" t="e">
        <f>IF(Table1[[#This Row],[Sales]]=MAX(Table1[Sales]), Table1[[#This Row],[Sales]], NA())</f>
        <v>#N/A</v>
      </c>
      <c r="V428">
        <v>9</v>
      </c>
      <c r="W428">
        <v>0.1</v>
      </c>
      <c r="X428">
        <v>877.63</v>
      </c>
      <c r="Y428" s="3">
        <f>YEAR(Table1[[#This Row],[Order Date]])</f>
        <v>2024</v>
      </c>
      <c r="Z428" s="3" t="str">
        <f>TEXT(Table1[[#This Row],[Order Date]],"MMM")</f>
        <v>Sep</v>
      </c>
      <c r="AA428" s="3">
        <f>DAY(Table1[[#This Row],[Order Date]])</f>
        <v>29</v>
      </c>
    </row>
    <row r="429" spans="1:27" x14ac:dyDescent="0.35">
      <c r="A429" s="1">
        <v>428</v>
      </c>
      <c r="B429" s="1" t="s">
        <v>2016</v>
      </c>
      <c r="C429" s="1" t="s">
        <v>2017</v>
      </c>
      <c r="D429" s="1" t="s">
        <v>90</v>
      </c>
      <c r="E429" t="s">
        <v>24</v>
      </c>
      <c r="F429" t="s">
        <v>2018</v>
      </c>
      <c r="G429" t="s">
        <v>26</v>
      </c>
      <c r="H429" t="s">
        <v>94</v>
      </c>
      <c r="I429" s="1" t="s">
        <v>28</v>
      </c>
      <c r="J429" t="s">
        <v>42</v>
      </c>
      <c r="K429" t="s">
        <v>43</v>
      </c>
      <c r="L429" s="1">
        <v>550098</v>
      </c>
      <c r="M429" s="1" t="s">
        <v>44</v>
      </c>
      <c r="N429" t="s">
        <v>2019</v>
      </c>
      <c r="O429" t="s">
        <v>68</v>
      </c>
      <c r="P429" t="s">
        <v>69</v>
      </c>
      <c r="Q429" t="s">
        <v>70</v>
      </c>
      <c r="R429">
        <v>26146.97</v>
      </c>
      <c r="S429" s="25" t="e">
        <f>IF(Table1[[#This Row],[Sales]]=MIN(Table1[Sales]), Table1[[#This Row],[Sales]], NA())</f>
        <v>#N/A</v>
      </c>
      <c r="T429" s="25">
        <f>IF(AND(Table1[[#This Row],[Sales]]&lt;&gt;MIN(Table1[Sales]),Table1[[#This Row],[Sales]]&lt;&gt;MAX(Table1[Sales])), Table1[[#This Row],[Sales]], NA())</f>
        <v>26146.97</v>
      </c>
      <c r="U429" s="25" t="e">
        <f>IF(Table1[[#This Row],[Sales]]=MAX(Table1[Sales]), Table1[[#This Row],[Sales]], NA())</f>
        <v>#N/A</v>
      </c>
      <c r="V429">
        <v>2</v>
      </c>
      <c r="W429">
        <v>0.3</v>
      </c>
      <c r="X429">
        <v>130.72999999999999</v>
      </c>
      <c r="Y429" s="3">
        <f>YEAR(Table1[[#This Row],[Order Date]])</f>
        <v>2023</v>
      </c>
      <c r="Z429" s="3" t="str">
        <f>TEXT(Table1[[#This Row],[Order Date]],"MMM")</f>
        <v>Aug</v>
      </c>
      <c r="AA429" s="3">
        <f>DAY(Table1[[#This Row],[Order Date]])</f>
        <v>24</v>
      </c>
    </row>
    <row r="430" spans="1:27" x14ac:dyDescent="0.35">
      <c r="A430" s="1">
        <v>429</v>
      </c>
      <c r="B430" s="1" t="s">
        <v>2020</v>
      </c>
      <c r="C430" s="1" t="s">
        <v>2021</v>
      </c>
      <c r="D430" s="1" t="s">
        <v>1308</v>
      </c>
      <c r="E430" t="s">
        <v>115</v>
      </c>
      <c r="F430" t="s">
        <v>2022</v>
      </c>
      <c r="G430" t="s">
        <v>122</v>
      </c>
      <c r="H430" t="s">
        <v>27</v>
      </c>
      <c r="I430" s="1" t="s">
        <v>28</v>
      </c>
      <c r="J430" t="s">
        <v>29</v>
      </c>
      <c r="K430" t="s">
        <v>29</v>
      </c>
      <c r="L430" s="1">
        <v>113841</v>
      </c>
      <c r="M430" s="1" t="s">
        <v>30</v>
      </c>
      <c r="N430" t="s">
        <v>2023</v>
      </c>
      <c r="O430" t="s">
        <v>46</v>
      </c>
      <c r="P430" t="s">
        <v>47</v>
      </c>
      <c r="Q430" t="s">
        <v>48</v>
      </c>
      <c r="R430">
        <v>55949.21</v>
      </c>
      <c r="S430" s="25" t="e">
        <f>IF(Table1[[#This Row],[Sales]]=MIN(Table1[Sales]), Table1[[#This Row],[Sales]], NA())</f>
        <v>#N/A</v>
      </c>
      <c r="T430" s="25">
        <f>IF(AND(Table1[[#This Row],[Sales]]&lt;&gt;MIN(Table1[Sales]),Table1[[#This Row],[Sales]]&lt;&gt;MAX(Table1[Sales])), Table1[[#This Row],[Sales]], NA())</f>
        <v>55949.21</v>
      </c>
      <c r="U430" s="25" t="e">
        <f>IF(Table1[[#This Row],[Sales]]=MAX(Table1[Sales]), Table1[[#This Row],[Sales]], NA())</f>
        <v>#N/A</v>
      </c>
      <c r="V430">
        <v>10</v>
      </c>
      <c r="W430">
        <v>0.2</v>
      </c>
      <c r="X430">
        <v>1678.48</v>
      </c>
      <c r="Y430" s="3">
        <f>YEAR(Table1[[#This Row],[Order Date]])</f>
        <v>2022</v>
      </c>
      <c r="Z430" s="3" t="str">
        <f>TEXT(Table1[[#This Row],[Order Date]],"MMM")</f>
        <v>Nov</v>
      </c>
      <c r="AA430" s="3">
        <f>DAY(Table1[[#This Row],[Order Date]])</f>
        <v>23</v>
      </c>
    </row>
    <row r="431" spans="1:27" x14ac:dyDescent="0.35">
      <c r="A431" s="1">
        <v>430</v>
      </c>
      <c r="B431" s="1" t="s">
        <v>2024</v>
      </c>
      <c r="C431" s="1" t="s">
        <v>884</v>
      </c>
      <c r="D431" s="1" t="s">
        <v>2025</v>
      </c>
      <c r="E431" t="s">
        <v>115</v>
      </c>
      <c r="F431" t="s">
        <v>2026</v>
      </c>
      <c r="G431" t="s">
        <v>87</v>
      </c>
      <c r="H431" t="s">
        <v>41</v>
      </c>
      <c r="I431" s="1" t="s">
        <v>28</v>
      </c>
      <c r="J431" t="s">
        <v>64</v>
      </c>
      <c r="K431" t="s">
        <v>65</v>
      </c>
      <c r="L431" s="1">
        <v>960599</v>
      </c>
      <c r="M431" s="1" t="s">
        <v>66</v>
      </c>
      <c r="N431" t="s">
        <v>2027</v>
      </c>
      <c r="O431" t="s">
        <v>46</v>
      </c>
      <c r="P431" t="s">
        <v>57</v>
      </c>
      <c r="Q431" t="s">
        <v>58</v>
      </c>
      <c r="R431">
        <v>99197.119999999995</v>
      </c>
      <c r="S431" s="25" t="e">
        <f>IF(Table1[[#This Row],[Sales]]=MIN(Table1[Sales]), Table1[[#This Row],[Sales]], NA())</f>
        <v>#N/A</v>
      </c>
      <c r="T431" s="25">
        <f>IF(AND(Table1[[#This Row],[Sales]]&lt;&gt;MIN(Table1[Sales]),Table1[[#This Row],[Sales]]&lt;&gt;MAX(Table1[Sales])), Table1[[#This Row],[Sales]], NA())</f>
        <v>99197.119999999995</v>
      </c>
      <c r="U431" s="25" t="e">
        <f>IF(Table1[[#This Row],[Sales]]=MAX(Table1[Sales]), Table1[[#This Row],[Sales]], NA())</f>
        <v>#N/A</v>
      </c>
      <c r="V431">
        <v>5</v>
      </c>
      <c r="W431">
        <v>0.3</v>
      </c>
      <c r="X431">
        <v>495.99</v>
      </c>
      <c r="Y431" s="3">
        <f>YEAR(Table1[[#This Row],[Order Date]])</f>
        <v>2023</v>
      </c>
      <c r="Z431" s="3" t="str">
        <f>TEXT(Table1[[#This Row],[Order Date]],"MMM")</f>
        <v>Oct</v>
      </c>
      <c r="AA431" s="3">
        <f>DAY(Table1[[#This Row],[Order Date]])</f>
        <v>10</v>
      </c>
    </row>
    <row r="432" spans="1:27" x14ac:dyDescent="0.35">
      <c r="A432" s="1">
        <v>431</v>
      </c>
      <c r="B432" s="1" t="s">
        <v>2028</v>
      </c>
      <c r="C432" s="1" t="s">
        <v>2029</v>
      </c>
      <c r="D432" s="1" t="s">
        <v>2030</v>
      </c>
      <c r="E432" t="s">
        <v>62</v>
      </c>
      <c r="F432" t="s">
        <v>2031</v>
      </c>
      <c r="G432" t="s">
        <v>188</v>
      </c>
      <c r="H432" t="s">
        <v>27</v>
      </c>
      <c r="I432" s="1" t="s">
        <v>28</v>
      </c>
      <c r="J432" t="s">
        <v>42</v>
      </c>
      <c r="K432" t="s">
        <v>43</v>
      </c>
      <c r="L432" s="1">
        <v>962439</v>
      </c>
      <c r="M432" s="1" t="s">
        <v>44</v>
      </c>
      <c r="N432" t="s">
        <v>2032</v>
      </c>
      <c r="O432" t="s">
        <v>46</v>
      </c>
      <c r="P432" t="s">
        <v>57</v>
      </c>
      <c r="Q432" t="s">
        <v>58</v>
      </c>
      <c r="R432">
        <v>36624.660000000003</v>
      </c>
      <c r="S432" s="25" t="e">
        <f>IF(Table1[[#This Row],[Sales]]=MIN(Table1[Sales]), Table1[[#This Row],[Sales]], NA())</f>
        <v>#N/A</v>
      </c>
      <c r="T432" s="25">
        <f>IF(AND(Table1[[#This Row],[Sales]]&lt;&gt;MIN(Table1[Sales]),Table1[[#This Row],[Sales]]&lt;&gt;MAX(Table1[Sales])), Table1[[#This Row],[Sales]], NA())</f>
        <v>36624.660000000003</v>
      </c>
      <c r="U432" s="25" t="e">
        <f>IF(Table1[[#This Row],[Sales]]=MAX(Table1[Sales]), Table1[[#This Row],[Sales]], NA())</f>
        <v>#N/A</v>
      </c>
      <c r="V432">
        <v>8</v>
      </c>
      <c r="W432">
        <v>0.3</v>
      </c>
      <c r="X432">
        <v>183.12</v>
      </c>
      <c r="Y432" s="3">
        <f>YEAR(Table1[[#This Row],[Order Date]])</f>
        <v>2022</v>
      </c>
      <c r="Z432" s="3" t="str">
        <f>TEXT(Table1[[#This Row],[Order Date]],"MMM")</f>
        <v>Mar</v>
      </c>
      <c r="AA432" s="3">
        <f>DAY(Table1[[#This Row],[Order Date]])</f>
        <v>24</v>
      </c>
    </row>
    <row r="433" spans="1:27" x14ac:dyDescent="0.35">
      <c r="A433" s="1">
        <v>432</v>
      </c>
      <c r="B433" s="1" t="s">
        <v>2033</v>
      </c>
      <c r="C433" s="1" t="s">
        <v>2001</v>
      </c>
      <c r="D433" s="1" t="s">
        <v>756</v>
      </c>
      <c r="E433" t="s">
        <v>62</v>
      </c>
      <c r="F433" t="s">
        <v>2034</v>
      </c>
      <c r="G433" t="s">
        <v>93</v>
      </c>
      <c r="H433" t="s">
        <v>41</v>
      </c>
      <c r="I433" s="1" t="s">
        <v>28</v>
      </c>
      <c r="J433" t="s">
        <v>128</v>
      </c>
      <c r="K433" t="s">
        <v>129</v>
      </c>
      <c r="L433" s="1">
        <v>453126</v>
      </c>
      <c r="M433" s="1" t="s">
        <v>66</v>
      </c>
      <c r="N433" t="s">
        <v>2035</v>
      </c>
      <c r="O433" t="s">
        <v>46</v>
      </c>
      <c r="P433" t="s">
        <v>47</v>
      </c>
      <c r="Q433" t="s">
        <v>48</v>
      </c>
      <c r="R433">
        <v>23667.26</v>
      </c>
      <c r="S433" s="25" t="e">
        <f>IF(Table1[[#This Row],[Sales]]=MIN(Table1[Sales]), Table1[[#This Row],[Sales]], NA())</f>
        <v>#N/A</v>
      </c>
      <c r="T433" s="25">
        <f>IF(AND(Table1[[#This Row],[Sales]]&lt;&gt;MIN(Table1[Sales]),Table1[[#This Row],[Sales]]&lt;&gt;MAX(Table1[Sales])), Table1[[#This Row],[Sales]], NA())</f>
        <v>23667.26</v>
      </c>
      <c r="U433" s="25" t="e">
        <f>IF(Table1[[#This Row],[Sales]]=MAX(Table1[Sales]), Table1[[#This Row],[Sales]], NA())</f>
        <v>#N/A</v>
      </c>
      <c r="V433">
        <v>2</v>
      </c>
      <c r="W433">
        <v>0</v>
      </c>
      <c r="X433">
        <v>1893.38</v>
      </c>
      <c r="Y433" s="3">
        <f>YEAR(Table1[[#This Row],[Order Date]])</f>
        <v>2023</v>
      </c>
      <c r="Z433" s="3" t="str">
        <f>TEXT(Table1[[#This Row],[Order Date]],"MMM")</f>
        <v>Jul</v>
      </c>
      <c r="AA433" s="3">
        <f>DAY(Table1[[#This Row],[Order Date]])</f>
        <v>2</v>
      </c>
    </row>
    <row r="434" spans="1:27" x14ac:dyDescent="0.35">
      <c r="A434" s="1">
        <v>433</v>
      </c>
      <c r="B434" s="1" t="s">
        <v>2036</v>
      </c>
      <c r="C434" s="1" t="s">
        <v>2037</v>
      </c>
      <c r="D434" s="1" t="s">
        <v>2038</v>
      </c>
      <c r="E434" t="s">
        <v>38</v>
      </c>
      <c r="F434" t="s">
        <v>2039</v>
      </c>
      <c r="G434" t="s">
        <v>75</v>
      </c>
      <c r="H434" t="s">
        <v>41</v>
      </c>
      <c r="I434" s="1" t="s">
        <v>28</v>
      </c>
      <c r="J434" t="s">
        <v>42</v>
      </c>
      <c r="K434" t="s">
        <v>43</v>
      </c>
      <c r="L434" s="1">
        <v>544029</v>
      </c>
      <c r="M434" s="1" t="s">
        <v>44</v>
      </c>
      <c r="N434" t="s">
        <v>2040</v>
      </c>
      <c r="O434" t="s">
        <v>68</v>
      </c>
      <c r="P434" t="s">
        <v>69</v>
      </c>
      <c r="Q434" t="s">
        <v>70</v>
      </c>
      <c r="R434">
        <v>27149.32</v>
      </c>
      <c r="S434" s="25" t="e">
        <f>IF(Table1[[#This Row],[Sales]]=MIN(Table1[Sales]), Table1[[#This Row],[Sales]], NA())</f>
        <v>#N/A</v>
      </c>
      <c r="T434" s="25">
        <f>IF(AND(Table1[[#This Row],[Sales]]&lt;&gt;MIN(Table1[Sales]),Table1[[#This Row],[Sales]]&lt;&gt;MAX(Table1[Sales])), Table1[[#This Row],[Sales]], NA())</f>
        <v>27149.32</v>
      </c>
      <c r="U434" s="25" t="e">
        <f>IF(Table1[[#This Row],[Sales]]=MAX(Table1[Sales]), Table1[[#This Row],[Sales]], NA())</f>
        <v>#N/A</v>
      </c>
      <c r="V434">
        <v>5</v>
      </c>
      <c r="W434">
        <v>0.2</v>
      </c>
      <c r="X434">
        <v>814.48</v>
      </c>
      <c r="Y434" s="3">
        <f>YEAR(Table1[[#This Row],[Order Date]])</f>
        <v>2025</v>
      </c>
      <c r="Z434" s="3" t="str">
        <f>TEXT(Table1[[#This Row],[Order Date]],"MMM")</f>
        <v>Jun</v>
      </c>
      <c r="AA434" s="3">
        <f>DAY(Table1[[#This Row],[Order Date]])</f>
        <v>6</v>
      </c>
    </row>
    <row r="435" spans="1:27" x14ac:dyDescent="0.35">
      <c r="A435" s="1">
        <v>434</v>
      </c>
      <c r="B435" s="1" t="s">
        <v>2041</v>
      </c>
      <c r="C435" s="1" t="s">
        <v>2042</v>
      </c>
      <c r="D435" s="1" t="s">
        <v>2043</v>
      </c>
      <c r="E435" t="s">
        <v>62</v>
      </c>
      <c r="F435" t="s">
        <v>2044</v>
      </c>
      <c r="G435" t="s">
        <v>140</v>
      </c>
      <c r="H435" t="s">
        <v>94</v>
      </c>
      <c r="I435" s="1" t="s">
        <v>28</v>
      </c>
      <c r="J435" t="s">
        <v>128</v>
      </c>
      <c r="K435" t="s">
        <v>129</v>
      </c>
      <c r="L435" s="1">
        <v>916947</v>
      </c>
      <c r="M435" s="1" t="s">
        <v>66</v>
      </c>
      <c r="N435" t="s">
        <v>2045</v>
      </c>
      <c r="O435" t="s">
        <v>46</v>
      </c>
      <c r="P435" t="s">
        <v>47</v>
      </c>
      <c r="Q435" t="s">
        <v>48</v>
      </c>
      <c r="R435">
        <v>34596.99</v>
      </c>
      <c r="S435" s="25" t="e">
        <f>IF(Table1[[#This Row],[Sales]]=MIN(Table1[Sales]), Table1[[#This Row],[Sales]], NA())</f>
        <v>#N/A</v>
      </c>
      <c r="T435" s="25">
        <f>IF(AND(Table1[[#This Row],[Sales]]&lt;&gt;MIN(Table1[Sales]),Table1[[#This Row],[Sales]]&lt;&gt;MAX(Table1[Sales])), Table1[[#This Row],[Sales]], NA())</f>
        <v>34596.99</v>
      </c>
      <c r="U435" s="25" t="e">
        <f>IF(Table1[[#This Row],[Sales]]=MAX(Table1[Sales]), Table1[[#This Row],[Sales]], NA())</f>
        <v>#N/A</v>
      </c>
      <c r="V435">
        <v>3</v>
      </c>
      <c r="W435">
        <v>0</v>
      </c>
      <c r="X435">
        <v>2767.76</v>
      </c>
      <c r="Y435" s="3">
        <f>YEAR(Table1[[#This Row],[Order Date]])</f>
        <v>2021</v>
      </c>
      <c r="Z435" s="3" t="str">
        <f>TEXT(Table1[[#This Row],[Order Date]],"MMM")</f>
        <v>Feb</v>
      </c>
      <c r="AA435" s="3">
        <f>DAY(Table1[[#This Row],[Order Date]])</f>
        <v>16</v>
      </c>
    </row>
    <row r="436" spans="1:27" x14ac:dyDescent="0.35">
      <c r="A436" s="1">
        <v>435</v>
      </c>
      <c r="B436" s="1" t="s">
        <v>2046</v>
      </c>
      <c r="C436" s="1" t="s">
        <v>2047</v>
      </c>
      <c r="D436" s="1" t="s">
        <v>2048</v>
      </c>
      <c r="E436" t="s">
        <v>115</v>
      </c>
      <c r="F436" t="s">
        <v>2049</v>
      </c>
      <c r="G436" t="s">
        <v>122</v>
      </c>
      <c r="H436" t="s">
        <v>94</v>
      </c>
      <c r="I436" s="1" t="s">
        <v>28</v>
      </c>
      <c r="J436" t="s">
        <v>128</v>
      </c>
      <c r="K436" t="s">
        <v>129</v>
      </c>
      <c r="L436" s="1">
        <v>779898</v>
      </c>
      <c r="M436" s="1" t="s">
        <v>66</v>
      </c>
      <c r="N436" t="s">
        <v>2050</v>
      </c>
      <c r="O436" t="s">
        <v>32</v>
      </c>
      <c r="P436" t="s">
        <v>33</v>
      </c>
      <c r="Q436" t="s">
        <v>34</v>
      </c>
      <c r="R436">
        <v>56936.99</v>
      </c>
      <c r="S436" s="25" t="e">
        <f>IF(Table1[[#This Row],[Sales]]=MIN(Table1[Sales]), Table1[[#This Row],[Sales]], NA())</f>
        <v>#N/A</v>
      </c>
      <c r="T436" s="25">
        <f>IF(AND(Table1[[#This Row],[Sales]]&lt;&gt;MIN(Table1[Sales]),Table1[[#This Row],[Sales]]&lt;&gt;MAX(Table1[Sales])), Table1[[#This Row],[Sales]], NA())</f>
        <v>56936.99</v>
      </c>
      <c r="U436" s="25" t="e">
        <f>IF(Table1[[#This Row],[Sales]]=MAX(Table1[Sales]), Table1[[#This Row],[Sales]], NA())</f>
        <v>#N/A</v>
      </c>
      <c r="V436">
        <v>9</v>
      </c>
      <c r="W436">
        <v>0.1</v>
      </c>
      <c r="X436">
        <v>3131.53</v>
      </c>
      <c r="Y436" s="3">
        <f>YEAR(Table1[[#This Row],[Order Date]])</f>
        <v>2025</v>
      </c>
      <c r="Z436" s="3" t="str">
        <f>TEXT(Table1[[#This Row],[Order Date]],"MMM")</f>
        <v>Oct</v>
      </c>
      <c r="AA436" s="3">
        <f>DAY(Table1[[#This Row],[Order Date]])</f>
        <v>5</v>
      </c>
    </row>
    <row r="437" spans="1:27" x14ac:dyDescent="0.35">
      <c r="A437" s="1">
        <v>436</v>
      </c>
      <c r="B437" s="1" t="s">
        <v>2051</v>
      </c>
      <c r="C437" s="1" t="s">
        <v>1106</v>
      </c>
      <c r="D437" s="1" t="s">
        <v>185</v>
      </c>
      <c r="E437" t="s">
        <v>24</v>
      </c>
      <c r="F437" t="s">
        <v>2052</v>
      </c>
      <c r="G437" t="s">
        <v>110</v>
      </c>
      <c r="H437" t="s">
        <v>94</v>
      </c>
      <c r="I437" s="1" t="s">
        <v>28</v>
      </c>
      <c r="J437" t="s">
        <v>42</v>
      </c>
      <c r="K437" t="s">
        <v>43</v>
      </c>
      <c r="L437" s="1">
        <v>657785</v>
      </c>
      <c r="M437" s="1" t="s">
        <v>44</v>
      </c>
      <c r="N437" t="s">
        <v>2053</v>
      </c>
      <c r="O437" t="s">
        <v>46</v>
      </c>
      <c r="P437" t="s">
        <v>57</v>
      </c>
      <c r="Q437" t="s">
        <v>58</v>
      </c>
      <c r="R437">
        <v>57112.29</v>
      </c>
      <c r="S437" s="25" t="e">
        <f>IF(Table1[[#This Row],[Sales]]=MIN(Table1[Sales]), Table1[[#This Row],[Sales]], NA())</f>
        <v>#N/A</v>
      </c>
      <c r="T437" s="25">
        <f>IF(AND(Table1[[#This Row],[Sales]]&lt;&gt;MIN(Table1[Sales]),Table1[[#This Row],[Sales]]&lt;&gt;MAX(Table1[Sales])), Table1[[#This Row],[Sales]], NA())</f>
        <v>57112.29</v>
      </c>
      <c r="U437" s="25" t="e">
        <f>IF(Table1[[#This Row],[Sales]]=MAX(Table1[Sales]), Table1[[#This Row],[Sales]], NA())</f>
        <v>#N/A</v>
      </c>
      <c r="V437">
        <v>8</v>
      </c>
      <c r="W437">
        <v>0</v>
      </c>
      <c r="X437">
        <v>4568.9799999999996</v>
      </c>
      <c r="Y437" s="3">
        <f>YEAR(Table1[[#This Row],[Order Date]])</f>
        <v>2022</v>
      </c>
      <c r="Z437" s="3" t="str">
        <f>TEXT(Table1[[#This Row],[Order Date]],"MMM")</f>
        <v>Feb</v>
      </c>
      <c r="AA437" s="3">
        <f>DAY(Table1[[#This Row],[Order Date]])</f>
        <v>5</v>
      </c>
    </row>
    <row r="438" spans="1:27" x14ac:dyDescent="0.35">
      <c r="A438" s="1">
        <v>437</v>
      </c>
      <c r="B438" s="1" t="s">
        <v>2054</v>
      </c>
      <c r="C438" s="1" t="s">
        <v>568</v>
      </c>
      <c r="D438" s="1" t="s">
        <v>2055</v>
      </c>
      <c r="E438" t="s">
        <v>115</v>
      </c>
      <c r="F438" t="s">
        <v>2056</v>
      </c>
      <c r="G438" t="s">
        <v>122</v>
      </c>
      <c r="H438" t="s">
        <v>27</v>
      </c>
      <c r="I438" s="1" t="s">
        <v>28</v>
      </c>
      <c r="J438" t="s">
        <v>53</v>
      </c>
      <c r="K438" t="s">
        <v>54</v>
      </c>
      <c r="L438" s="1">
        <v>424705</v>
      </c>
      <c r="M438" s="1" t="s">
        <v>55</v>
      </c>
      <c r="N438" t="s">
        <v>2057</v>
      </c>
      <c r="O438" t="s">
        <v>46</v>
      </c>
      <c r="P438" t="s">
        <v>57</v>
      </c>
      <c r="Q438" t="s">
        <v>58</v>
      </c>
      <c r="R438">
        <v>42452.66</v>
      </c>
      <c r="S438" s="25" t="e">
        <f>IF(Table1[[#This Row],[Sales]]=MIN(Table1[Sales]), Table1[[#This Row],[Sales]], NA())</f>
        <v>#N/A</v>
      </c>
      <c r="T438" s="25">
        <f>IF(AND(Table1[[#This Row],[Sales]]&lt;&gt;MIN(Table1[Sales]),Table1[[#This Row],[Sales]]&lt;&gt;MAX(Table1[Sales])), Table1[[#This Row],[Sales]], NA())</f>
        <v>42452.66</v>
      </c>
      <c r="U438" s="25" t="e">
        <f>IF(Table1[[#This Row],[Sales]]=MAX(Table1[Sales]), Table1[[#This Row],[Sales]], NA())</f>
        <v>#N/A</v>
      </c>
      <c r="V438">
        <v>6</v>
      </c>
      <c r="W438">
        <v>0</v>
      </c>
      <c r="X438">
        <v>3396.21</v>
      </c>
      <c r="Y438" s="3">
        <f>YEAR(Table1[[#This Row],[Order Date]])</f>
        <v>2022</v>
      </c>
      <c r="Z438" s="3" t="str">
        <f>TEXT(Table1[[#This Row],[Order Date]],"MMM")</f>
        <v>Oct</v>
      </c>
      <c r="AA438" s="3">
        <f>DAY(Table1[[#This Row],[Order Date]])</f>
        <v>6</v>
      </c>
    </row>
    <row r="439" spans="1:27" x14ac:dyDescent="0.35">
      <c r="A439" s="1">
        <v>438</v>
      </c>
      <c r="B439" s="1" t="s">
        <v>2058</v>
      </c>
      <c r="C439" s="1" t="s">
        <v>1353</v>
      </c>
      <c r="D439" s="1" t="s">
        <v>667</v>
      </c>
      <c r="E439" t="s">
        <v>24</v>
      </c>
      <c r="F439" t="s">
        <v>2059</v>
      </c>
      <c r="G439" t="s">
        <v>26</v>
      </c>
      <c r="H439" t="s">
        <v>94</v>
      </c>
      <c r="I439" s="1" t="s">
        <v>28</v>
      </c>
      <c r="J439" t="s">
        <v>64</v>
      </c>
      <c r="K439" t="s">
        <v>65</v>
      </c>
      <c r="L439" s="1">
        <v>253453</v>
      </c>
      <c r="M439" s="1" t="s">
        <v>66</v>
      </c>
      <c r="N439" t="s">
        <v>2060</v>
      </c>
      <c r="O439" t="s">
        <v>46</v>
      </c>
      <c r="P439" t="s">
        <v>57</v>
      </c>
      <c r="Q439" t="s">
        <v>58</v>
      </c>
      <c r="R439">
        <v>35128.33</v>
      </c>
      <c r="S439" s="25" t="e">
        <f>IF(Table1[[#This Row],[Sales]]=MIN(Table1[Sales]), Table1[[#This Row],[Sales]], NA())</f>
        <v>#N/A</v>
      </c>
      <c r="T439" s="25">
        <f>IF(AND(Table1[[#This Row],[Sales]]&lt;&gt;MIN(Table1[Sales]),Table1[[#This Row],[Sales]]&lt;&gt;MAX(Table1[Sales])), Table1[[#This Row],[Sales]], NA())</f>
        <v>35128.33</v>
      </c>
      <c r="U439" s="25" t="e">
        <f>IF(Table1[[#This Row],[Sales]]=MAX(Table1[Sales]), Table1[[#This Row],[Sales]], NA())</f>
        <v>#N/A</v>
      </c>
      <c r="V439">
        <v>3</v>
      </c>
      <c r="W439">
        <v>0.1</v>
      </c>
      <c r="X439">
        <v>1932.06</v>
      </c>
      <c r="Y439" s="3">
        <f>YEAR(Table1[[#This Row],[Order Date]])</f>
        <v>2025</v>
      </c>
      <c r="Z439" s="3" t="str">
        <f>TEXT(Table1[[#This Row],[Order Date]],"MMM")</f>
        <v>Feb</v>
      </c>
      <c r="AA439" s="3">
        <f>DAY(Table1[[#This Row],[Order Date]])</f>
        <v>12</v>
      </c>
    </row>
    <row r="440" spans="1:27" x14ac:dyDescent="0.35">
      <c r="A440" s="1">
        <v>439</v>
      </c>
      <c r="B440" s="1" t="s">
        <v>2061</v>
      </c>
      <c r="C440" s="1" t="s">
        <v>2062</v>
      </c>
      <c r="D440" s="1" t="s">
        <v>2063</v>
      </c>
      <c r="E440" t="s">
        <v>62</v>
      </c>
      <c r="F440" t="s">
        <v>2064</v>
      </c>
      <c r="G440" t="s">
        <v>122</v>
      </c>
      <c r="H440" t="s">
        <v>94</v>
      </c>
      <c r="I440" s="1" t="s">
        <v>28</v>
      </c>
      <c r="J440" t="s">
        <v>128</v>
      </c>
      <c r="K440" t="s">
        <v>129</v>
      </c>
      <c r="L440" s="1">
        <v>915741</v>
      </c>
      <c r="M440" s="1" t="s">
        <v>66</v>
      </c>
      <c r="N440" t="s">
        <v>2065</v>
      </c>
      <c r="O440" t="s">
        <v>46</v>
      </c>
      <c r="P440" t="s">
        <v>57</v>
      </c>
      <c r="Q440" t="s">
        <v>58</v>
      </c>
      <c r="R440">
        <v>59359.34</v>
      </c>
      <c r="S440" s="25" t="e">
        <f>IF(Table1[[#This Row],[Sales]]=MIN(Table1[Sales]), Table1[[#This Row],[Sales]], NA())</f>
        <v>#N/A</v>
      </c>
      <c r="T440" s="25">
        <f>IF(AND(Table1[[#This Row],[Sales]]&lt;&gt;MIN(Table1[Sales]),Table1[[#This Row],[Sales]]&lt;&gt;MAX(Table1[Sales])), Table1[[#This Row],[Sales]], NA())</f>
        <v>59359.34</v>
      </c>
      <c r="U440" s="25" t="e">
        <f>IF(Table1[[#This Row],[Sales]]=MAX(Table1[Sales]), Table1[[#This Row],[Sales]], NA())</f>
        <v>#N/A</v>
      </c>
      <c r="V440">
        <v>1</v>
      </c>
      <c r="W440">
        <v>0.1</v>
      </c>
      <c r="X440">
        <v>3264.76</v>
      </c>
      <c r="Y440" s="3">
        <f>YEAR(Table1[[#This Row],[Order Date]])</f>
        <v>2022</v>
      </c>
      <c r="Z440" s="3" t="str">
        <f>TEXT(Table1[[#This Row],[Order Date]],"MMM")</f>
        <v>Dec</v>
      </c>
      <c r="AA440" s="3">
        <f>DAY(Table1[[#This Row],[Order Date]])</f>
        <v>9</v>
      </c>
    </row>
    <row r="441" spans="1:27" x14ac:dyDescent="0.35">
      <c r="A441" s="1">
        <v>440</v>
      </c>
      <c r="B441" s="1" t="s">
        <v>2066</v>
      </c>
      <c r="C441" s="1" t="s">
        <v>2067</v>
      </c>
      <c r="D441" s="1" t="s">
        <v>1917</v>
      </c>
      <c r="E441" t="s">
        <v>115</v>
      </c>
      <c r="F441" t="s">
        <v>2068</v>
      </c>
      <c r="G441" t="s">
        <v>26</v>
      </c>
      <c r="H441" t="s">
        <v>41</v>
      </c>
      <c r="I441" s="1" t="s">
        <v>28</v>
      </c>
      <c r="J441" t="s">
        <v>64</v>
      </c>
      <c r="K441" t="s">
        <v>65</v>
      </c>
      <c r="L441" s="1">
        <v>911975</v>
      </c>
      <c r="M441" s="1" t="s">
        <v>66</v>
      </c>
      <c r="N441" t="s">
        <v>2069</v>
      </c>
      <c r="O441" t="s">
        <v>46</v>
      </c>
      <c r="P441" t="s">
        <v>47</v>
      </c>
      <c r="Q441" t="s">
        <v>48</v>
      </c>
      <c r="R441">
        <v>85277.119999999995</v>
      </c>
      <c r="S441" s="25" t="e">
        <f>IF(Table1[[#This Row],[Sales]]=MIN(Table1[Sales]), Table1[[#This Row],[Sales]], NA())</f>
        <v>#N/A</v>
      </c>
      <c r="T441" s="25">
        <f>IF(AND(Table1[[#This Row],[Sales]]&lt;&gt;MIN(Table1[Sales]),Table1[[#This Row],[Sales]]&lt;&gt;MAX(Table1[Sales])), Table1[[#This Row],[Sales]], NA())</f>
        <v>85277.119999999995</v>
      </c>
      <c r="U441" s="25" t="e">
        <f>IF(Table1[[#This Row],[Sales]]=MAX(Table1[Sales]), Table1[[#This Row],[Sales]], NA())</f>
        <v>#N/A</v>
      </c>
      <c r="V441">
        <v>9</v>
      </c>
      <c r="W441">
        <v>0.1</v>
      </c>
      <c r="X441">
        <v>4690.24</v>
      </c>
      <c r="Y441" s="3">
        <f>YEAR(Table1[[#This Row],[Order Date]])</f>
        <v>2021</v>
      </c>
      <c r="Z441" s="3" t="str">
        <f>TEXT(Table1[[#This Row],[Order Date]],"MMM")</f>
        <v>Sep</v>
      </c>
      <c r="AA441" s="3">
        <f>DAY(Table1[[#This Row],[Order Date]])</f>
        <v>22</v>
      </c>
    </row>
    <row r="442" spans="1:27" x14ac:dyDescent="0.35">
      <c r="A442" s="1">
        <v>441</v>
      </c>
      <c r="B442" s="1" t="s">
        <v>2070</v>
      </c>
      <c r="C442" s="1" t="s">
        <v>1991</v>
      </c>
      <c r="D442" s="1" t="s">
        <v>2071</v>
      </c>
      <c r="E442" t="s">
        <v>62</v>
      </c>
      <c r="F442" t="s">
        <v>2072</v>
      </c>
      <c r="G442" t="s">
        <v>75</v>
      </c>
      <c r="H442" t="s">
        <v>94</v>
      </c>
      <c r="I442" s="1" t="s">
        <v>28</v>
      </c>
      <c r="J442" t="s">
        <v>53</v>
      </c>
      <c r="K442" t="s">
        <v>54</v>
      </c>
      <c r="L442" s="1">
        <v>549781</v>
      </c>
      <c r="M442" s="1" t="s">
        <v>55</v>
      </c>
      <c r="N442" t="s">
        <v>2073</v>
      </c>
      <c r="O442" t="s">
        <v>46</v>
      </c>
      <c r="P442" t="s">
        <v>47</v>
      </c>
      <c r="Q442" t="s">
        <v>48</v>
      </c>
      <c r="R442">
        <v>59492.06</v>
      </c>
      <c r="S442" s="25" t="e">
        <f>IF(Table1[[#This Row],[Sales]]=MIN(Table1[Sales]), Table1[[#This Row],[Sales]], NA())</f>
        <v>#N/A</v>
      </c>
      <c r="T442" s="25">
        <f>IF(AND(Table1[[#This Row],[Sales]]&lt;&gt;MIN(Table1[Sales]),Table1[[#This Row],[Sales]]&lt;&gt;MAX(Table1[Sales])), Table1[[#This Row],[Sales]], NA())</f>
        <v>59492.06</v>
      </c>
      <c r="U442" s="25" t="e">
        <f>IF(Table1[[#This Row],[Sales]]=MAX(Table1[Sales]), Table1[[#This Row],[Sales]], NA())</f>
        <v>#N/A</v>
      </c>
      <c r="V442">
        <v>1</v>
      </c>
      <c r="W442">
        <v>0.3</v>
      </c>
      <c r="X442">
        <v>297.45999999999998</v>
      </c>
      <c r="Y442" s="3">
        <f>YEAR(Table1[[#This Row],[Order Date]])</f>
        <v>2022</v>
      </c>
      <c r="Z442" s="3" t="str">
        <f>TEXT(Table1[[#This Row],[Order Date]],"MMM")</f>
        <v>Aug</v>
      </c>
      <c r="AA442" s="3">
        <f>DAY(Table1[[#This Row],[Order Date]])</f>
        <v>20</v>
      </c>
    </row>
    <row r="443" spans="1:27" x14ac:dyDescent="0.35">
      <c r="A443" s="1">
        <v>442</v>
      </c>
      <c r="B443" s="1" t="s">
        <v>2074</v>
      </c>
      <c r="C443" s="1" t="s">
        <v>2075</v>
      </c>
      <c r="D443" s="1" t="s">
        <v>2076</v>
      </c>
      <c r="E443" t="s">
        <v>24</v>
      </c>
      <c r="F443" t="s">
        <v>2077</v>
      </c>
      <c r="G443" t="s">
        <v>40</v>
      </c>
      <c r="H443" t="s">
        <v>27</v>
      </c>
      <c r="I443" s="1" t="s">
        <v>28</v>
      </c>
      <c r="J443" t="s">
        <v>64</v>
      </c>
      <c r="K443" t="s">
        <v>65</v>
      </c>
      <c r="L443" s="1">
        <v>485342</v>
      </c>
      <c r="M443" s="1" t="s">
        <v>66</v>
      </c>
      <c r="N443" t="s">
        <v>2078</v>
      </c>
      <c r="O443" t="s">
        <v>46</v>
      </c>
      <c r="P443" t="s">
        <v>57</v>
      </c>
      <c r="Q443" t="s">
        <v>58</v>
      </c>
      <c r="R443">
        <v>38612.18</v>
      </c>
      <c r="S443" s="25" t="e">
        <f>IF(Table1[[#This Row],[Sales]]=MIN(Table1[Sales]), Table1[[#This Row],[Sales]], NA())</f>
        <v>#N/A</v>
      </c>
      <c r="T443" s="25">
        <f>IF(AND(Table1[[#This Row],[Sales]]&lt;&gt;MIN(Table1[Sales]),Table1[[#This Row],[Sales]]&lt;&gt;MAX(Table1[Sales])), Table1[[#This Row],[Sales]], NA())</f>
        <v>38612.18</v>
      </c>
      <c r="U443" s="25" t="e">
        <f>IF(Table1[[#This Row],[Sales]]=MAX(Table1[Sales]), Table1[[#This Row],[Sales]], NA())</f>
        <v>#N/A</v>
      </c>
      <c r="V443">
        <v>4</v>
      </c>
      <c r="W443">
        <v>0</v>
      </c>
      <c r="X443">
        <v>3088.97</v>
      </c>
      <c r="Y443" s="3">
        <f>YEAR(Table1[[#This Row],[Order Date]])</f>
        <v>2025</v>
      </c>
      <c r="Z443" s="3" t="str">
        <f>TEXT(Table1[[#This Row],[Order Date]],"MMM")</f>
        <v>Jan</v>
      </c>
      <c r="AA443" s="3">
        <f>DAY(Table1[[#This Row],[Order Date]])</f>
        <v>17</v>
      </c>
    </row>
    <row r="444" spans="1:27" x14ac:dyDescent="0.35">
      <c r="A444" s="1">
        <v>443</v>
      </c>
      <c r="B444" s="1" t="s">
        <v>2079</v>
      </c>
      <c r="C444" s="1" t="s">
        <v>1009</v>
      </c>
      <c r="D444" s="1" t="s">
        <v>929</v>
      </c>
      <c r="E444" t="s">
        <v>62</v>
      </c>
      <c r="F444" t="s">
        <v>2080</v>
      </c>
      <c r="G444" t="s">
        <v>81</v>
      </c>
      <c r="H444" t="s">
        <v>94</v>
      </c>
      <c r="I444" s="1" t="s">
        <v>28</v>
      </c>
      <c r="J444" t="s">
        <v>128</v>
      </c>
      <c r="K444" t="s">
        <v>129</v>
      </c>
      <c r="L444" s="1">
        <v>924381</v>
      </c>
      <c r="M444" s="1" t="s">
        <v>66</v>
      </c>
      <c r="N444" t="s">
        <v>2081</v>
      </c>
      <c r="O444" t="s">
        <v>46</v>
      </c>
      <c r="P444" t="s">
        <v>57</v>
      </c>
      <c r="Q444" t="s">
        <v>58</v>
      </c>
      <c r="R444">
        <v>97010.44</v>
      </c>
      <c r="S444" s="25" t="e">
        <f>IF(Table1[[#This Row],[Sales]]=MIN(Table1[Sales]), Table1[[#This Row],[Sales]], NA())</f>
        <v>#N/A</v>
      </c>
      <c r="T444" s="25">
        <f>IF(AND(Table1[[#This Row],[Sales]]&lt;&gt;MIN(Table1[Sales]),Table1[[#This Row],[Sales]]&lt;&gt;MAX(Table1[Sales])), Table1[[#This Row],[Sales]], NA())</f>
        <v>97010.44</v>
      </c>
      <c r="U444" s="25" t="e">
        <f>IF(Table1[[#This Row],[Sales]]=MAX(Table1[Sales]), Table1[[#This Row],[Sales]], NA())</f>
        <v>#N/A</v>
      </c>
      <c r="V444">
        <v>2</v>
      </c>
      <c r="W444">
        <v>0.3</v>
      </c>
      <c r="X444">
        <v>485.05</v>
      </c>
      <c r="Y444" s="3">
        <f>YEAR(Table1[[#This Row],[Order Date]])</f>
        <v>2025</v>
      </c>
      <c r="Z444" s="3" t="str">
        <f>TEXT(Table1[[#This Row],[Order Date]],"MMM")</f>
        <v>Aug</v>
      </c>
      <c r="AA444" s="3">
        <f>DAY(Table1[[#This Row],[Order Date]])</f>
        <v>28</v>
      </c>
    </row>
    <row r="445" spans="1:27" x14ac:dyDescent="0.35">
      <c r="A445" s="1">
        <v>444</v>
      </c>
      <c r="B445" s="1" t="s">
        <v>2082</v>
      </c>
      <c r="C445" s="1" t="s">
        <v>2083</v>
      </c>
      <c r="D445" s="1" t="s">
        <v>476</v>
      </c>
      <c r="E445" t="s">
        <v>24</v>
      </c>
      <c r="F445" t="s">
        <v>2084</v>
      </c>
      <c r="G445" t="s">
        <v>87</v>
      </c>
      <c r="H445" t="s">
        <v>94</v>
      </c>
      <c r="I445" s="1" t="s">
        <v>28</v>
      </c>
      <c r="J445" t="s">
        <v>29</v>
      </c>
      <c r="K445" t="s">
        <v>29</v>
      </c>
      <c r="L445" s="1">
        <v>580419</v>
      </c>
      <c r="M445" s="1" t="s">
        <v>30</v>
      </c>
      <c r="N445" t="s">
        <v>2085</v>
      </c>
      <c r="O445" t="s">
        <v>46</v>
      </c>
      <c r="P445" t="s">
        <v>47</v>
      </c>
      <c r="Q445" t="s">
        <v>48</v>
      </c>
      <c r="R445">
        <v>8178.68</v>
      </c>
      <c r="S445" s="25" t="e">
        <f>IF(Table1[[#This Row],[Sales]]=MIN(Table1[Sales]), Table1[[#This Row],[Sales]], NA())</f>
        <v>#N/A</v>
      </c>
      <c r="T445" s="25">
        <f>IF(AND(Table1[[#This Row],[Sales]]&lt;&gt;MIN(Table1[Sales]),Table1[[#This Row],[Sales]]&lt;&gt;MAX(Table1[Sales])), Table1[[#This Row],[Sales]], NA())</f>
        <v>8178.68</v>
      </c>
      <c r="U445" s="25" t="e">
        <f>IF(Table1[[#This Row],[Sales]]=MAX(Table1[Sales]), Table1[[#This Row],[Sales]], NA())</f>
        <v>#N/A</v>
      </c>
      <c r="V445">
        <v>9</v>
      </c>
      <c r="W445">
        <v>0.1</v>
      </c>
      <c r="X445">
        <v>449.83</v>
      </c>
      <c r="Y445" s="3">
        <f>YEAR(Table1[[#This Row],[Order Date]])</f>
        <v>2024</v>
      </c>
      <c r="Z445" s="3" t="str">
        <f>TEXT(Table1[[#This Row],[Order Date]],"MMM")</f>
        <v>Oct</v>
      </c>
      <c r="AA445" s="3">
        <f>DAY(Table1[[#This Row],[Order Date]])</f>
        <v>12</v>
      </c>
    </row>
    <row r="446" spans="1:27" x14ac:dyDescent="0.35">
      <c r="A446" s="1">
        <v>445</v>
      </c>
      <c r="B446" s="1" t="s">
        <v>2086</v>
      </c>
      <c r="C446" s="1" t="s">
        <v>2087</v>
      </c>
      <c r="D446" s="1" t="s">
        <v>2088</v>
      </c>
      <c r="E446" t="s">
        <v>62</v>
      </c>
      <c r="F446" t="s">
        <v>2089</v>
      </c>
      <c r="G446" t="s">
        <v>110</v>
      </c>
      <c r="H446" t="s">
        <v>27</v>
      </c>
      <c r="I446" s="1" t="s">
        <v>28</v>
      </c>
      <c r="J446" t="s">
        <v>53</v>
      </c>
      <c r="K446" t="s">
        <v>54</v>
      </c>
      <c r="L446" s="1">
        <v>901284</v>
      </c>
      <c r="M446" s="1" t="s">
        <v>55</v>
      </c>
      <c r="N446" t="s">
        <v>2090</v>
      </c>
      <c r="O446" t="s">
        <v>68</v>
      </c>
      <c r="P446" t="s">
        <v>69</v>
      </c>
      <c r="Q446" t="s">
        <v>70</v>
      </c>
      <c r="R446">
        <v>47452.71</v>
      </c>
      <c r="S446" s="25" t="e">
        <f>IF(Table1[[#This Row],[Sales]]=MIN(Table1[Sales]), Table1[[#This Row],[Sales]], NA())</f>
        <v>#N/A</v>
      </c>
      <c r="T446" s="25">
        <f>IF(AND(Table1[[#This Row],[Sales]]&lt;&gt;MIN(Table1[Sales]),Table1[[#This Row],[Sales]]&lt;&gt;MAX(Table1[Sales])), Table1[[#This Row],[Sales]], NA())</f>
        <v>47452.71</v>
      </c>
      <c r="U446" s="25" t="e">
        <f>IF(Table1[[#This Row],[Sales]]=MAX(Table1[Sales]), Table1[[#This Row],[Sales]], NA())</f>
        <v>#N/A</v>
      </c>
      <c r="V446">
        <v>10</v>
      </c>
      <c r="W446">
        <v>0.2</v>
      </c>
      <c r="X446">
        <v>1423.58</v>
      </c>
      <c r="Y446" s="3">
        <f>YEAR(Table1[[#This Row],[Order Date]])</f>
        <v>2025</v>
      </c>
      <c r="Z446" s="3" t="str">
        <f>TEXT(Table1[[#This Row],[Order Date]],"MMM")</f>
        <v>Dec</v>
      </c>
      <c r="AA446" s="3">
        <f>DAY(Table1[[#This Row],[Order Date]])</f>
        <v>4</v>
      </c>
    </row>
    <row r="447" spans="1:27" x14ac:dyDescent="0.35">
      <c r="A447" s="1">
        <v>446</v>
      </c>
      <c r="B447" s="1" t="s">
        <v>2091</v>
      </c>
      <c r="C447" s="1" t="s">
        <v>2092</v>
      </c>
      <c r="D447" s="1" t="s">
        <v>232</v>
      </c>
      <c r="E447" t="s">
        <v>38</v>
      </c>
      <c r="F447" t="s">
        <v>2093</v>
      </c>
      <c r="G447" t="s">
        <v>93</v>
      </c>
      <c r="H447" t="s">
        <v>41</v>
      </c>
      <c r="I447" s="1" t="s">
        <v>28</v>
      </c>
      <c r="J447" t="s">
        <v>53</v>
      </c>
      <c r="K447" t="s">
        <v>54</v>
      </c>
      <c r="L447" s="1">
        <v>180846</v>
      </c>
      <c r="M447" s="1" t="s">
        <v>55</v>
      </c>
      <c r="N447" t="s">
        <v>2094</v>
      </c>
      <c r="O447" t="s">
        <v>32</v>
      </c>
      <c r="P447" t="s">
        <v>33</v>
      </c>
      <c r="Q447" t="s">
        <v>34</v>
      </c>
      <c r="R447">
        <v>31622.49</v>
      </c>
      <c r="S447" s="25" t="e">
        <f>IF(Table1[[#This Row],[Sales]]=MIN(Table1[Sales]), Table1[[#This Row],[Sales]], NA())</f>
        <v>#N/A</v>
      </c>
      <c r="T447" s="25">
        <f>IF(AND(Table1[[#This Row],[Sales]]&lt;&gt;MIN(Table1[Sales]),Table1[[#This Row],[Sales]]&lt;&gt;MAX(Table1[Sales])), Table1[[#This Row],[Sales]], NA())</f>
        <v>31622.49</v>
      </c>
      <c r="U447" s="25" t="e">
        <f>IF(Table1[[#This Row],[Sales]]=MAX(Table1[Sales]), Table1[[#This Row],[Sales]], NA())</f>
        <v>#N/A</v>
      </c>
      <c r="V447">
        <v>3</v>
      </c>
      <c r="W447">
        <v>0.3</v>
      </c>
      <c r="X447">
        <v>158.11000000000001</v>
      </c>
      <c r="Y447" s="3">
        <f>YEAR(Table1[[#This Row],[Order Date]])</f>
        <v>2021</v>
      </c>
      <c r="Z447" s="3" t="str">
        <f>TEXT(Table1[[#This Row],[Order Date]],"MMM")</f>
        <v>Oct</v>
      </c>
      <c r="AA447" s="3">
        <f>DAY(Table1[[#This Row],[Order Date]])</f>
        <v>13</v>
      </c>
    </row>
    <row r="448" spans="1:27" x14ac:dyDescent="0.35">
      <c r="A448" s="1">
        <v>447</v>
      </c>
      <c r="B448" s="1" t="s">
        <v>2095</v>
      </c>
      <c r="C448" s="1" t="s">
        <v>2096</v>
      </c>
      <c r="D448" s="1" t="s">
        <v>2097</v>
      </c>
      <c r="E448" t="s">
        <v>62</v>
      </c>
      <c r="F448" t="s">
        <v>2098</v>
      </c>
      <c r="G448" t="s">
        <v>81</v>
      </c>
      <c r="H448" t="s">
        <v>94</v>
      </c>
      <c r="I448" s="1" t="s">
        <v>28</v>
      </c>
      <c r="J448" t="s">
        <v>128</v>
      </c>
      <c r="K448" t="s">
        <v>129</v>
      </c>
      <c r="L448" s="1">
        <v>206068</v>
      </c>
      <c r="M448" s="1" t="s">
        <v>66</v>
      </c>
      <c r="N448" t="s">
        <v>2099</v>
      </c>
      <c r="O448" t="s">
        <v>32</v>
      </c>
      <c r="P448" t="s">
        <v>33</v>
      </c>
      <c r="Q448" t="s">
        <v>34</v>
      </c>
      <c r="R448">
        <v>17193.689999999999</v>
      </c>
      <c r="S448" s="25" t="e">
        <f>IF(Table1[[#This Row],[Sales]]=MIN(Table1[Sales]), Table1[[#This Row],[Sales]], NA())</f>
        <v>#N/A</v>
      </c>
      <c r="T448" s="25">
        <f>IF(AND(Table1[[#This Row],[Sales]]&lt;&gt;MIN(Table1[Sales]),Table1[[#This Row],[Sales]]&lt;&gt;MAX(Table1[Sales])), Table1[[#This Row],[Sales]], NA())</f>
        <v>17193.689999999999</v>
      </c>
      <c r="U448" s="25" t="e">
        <f>IF(Table1[[#This Row],[Sales]]=MAX(Table1[Sales]), Table1[[#This Row],[Sales]], NA())</f>
        <v>#N/A</v>
      </c>
      <c r="V448">
        <v>8</v>
      </c>
      <c r="W448">
        <v>0</v>
      </c>
      <c r="X448">
        <v>1375.5</v>
      </c>
      <c r="Y448" s="3">
        <f>YEAR(Table1[[#This Row],[Order Date]])</f>
        <v>2024</v>
      </c>
      <c r="Z448" s="3" t="str">
        <f>TEXT(Table1[[#This Row],[Order Date]],"MMM")</f>
        <v>Mar</v>
      </c>
      <c r="AA448" s="3">
        <f>DAY(Table1[[#This Row],[Order Date]])</f>
        <v>15</v>
      </c>
    </row>
    <row r="449" spans="1:27" x14ac:dyDescent="0.35">
      <c r="A449" s="1">
        <v>448</v>
      </c>
      <c r="B449" s="1" t="s">
        <v>2100</v>
      </c>
      <c r="C449" s="1" t="s">
        <v>770</v>
      </c>
      <c r="D449" s="1" t="s">
        <v>652</v>
      </c>
      <c r="E449" t="s">
        <v>24</v>
      </c>
      <c r="F449" t="s">
        <v>2101</v>
      </c>
      <c r="G449" t="s">
        <v>81</v>
      </c>
      <c r="H449" t="s">
        <v>94</v>
      </c>
      <c r="I449" s="1" t="s">
        <v>28</v>
      </c>
      <c r="J449" t="s">
        <v>64</v>
      </c>
      <c r="K449" t="s">
        <v>65</v>
      </c>
      <c r="L449" s="1">
        <v>593207</v>
      </c>
      <c r="M449" s="1" t="s">
        <v>66</v>
      </c>
      <c r="N449" t="s">
        <v>2102</v>
      </c>
      <c r="O449" t="s">
        <v>46</v>
      </c>
      <c r="P449" t="s">
        <v>57</v>
      </c>
      <c r="Q449" t="s">
        <v>58</v>
      </c>
      <c r="R449">
        <v>25009.23</v>
      </c>
      <c r="S449" s="25" t="e">
        <f>IF(Table1[[#This Row],[Sales]]=MIN(Table1[Sales]), Table1[[#This Row],[Sales]], NA())</f>
        <v>#N/A</v>
      </c>
      <c r="T449" s="25">
        <f>IF(AND(Table1[[#This Row],[Sales]]&lt;&gt;MIN(Table1[Sales]),Table1[[#This Row],[Sales]]&lt;&gt;MAX(Table1[Sales])), Table1[[#This Row],[Sales]], NA())</f>
        <v>25009.23</v>
      </c>
      <c r="U449" s="25" t="e">
        <f>IF(Table1[[#This Row],[Sales]]=MAX(Table1[Sales]), Table1[[#This Row],[Sales]], NA())</f>
        <v>#N/A</v>
      </c>
      <c r="V449">
        <v>8</v>
      </c>
      <c r="W449">
        <v>0.3</v>
      </c>
      <c r="X449">
        <v>125.05</v>
      </c>
      <c r="Y449" s="3">
        <f>YEAR(Table1[[#This Row],[Order Date]])</f>
        <v>2024</v>
      </c>
      <c r="Z449" s="3" t="str">
        <f>TEXT(Table1[[#This Row],[Order Date]],"MMM")</f>
        <v>Apr</v>
      </c>
      <c r="AA449" s="3">
        <f>DAY(Table1[[#This Row],[Order Date]])</f>
        <v>22</v>
      </c>
    </row>
    <row r="450" spans="1:27" x14ac:dyDescent="0.35">
      <c r="A450" s="1">
        <v>449</v>
      </c>
      <c r="B450" s="1" t="s">
        <v>2103</v>
      </c>
      <c r="C450" s="1" t="s">
        <v>835</v>
      </c>
      <c r="D450" s="1" t="s">
        <v>300</v>
      </c>
      <c r="E450" t="s">
        <v>115</v>
      </c>
      <c r="F450" t="s">
        <v>2104</v>
      </c>
      <c r="G450" t="s">
        <v>93</v>
      </c>
      <c r="H450" t="s">
        <v>41</v>
      </c>
      <c r="I450" s="1" t="s">
        <v>28</v>
      </c>
      <c r="J450" t="s">
        <v>53</v>
      </c>
      <c r="K450" t="s">
        <v>54</v>
      </c>
      <c r="L450" s="1">
        <v>963371</v>
      </c>
      <c r="M450" s="1" t="s">
        <v>55</v>
      </c>
      <c r="N450" t="s">
        <v>2105</v>
      </c>
      <c r="O450" t="s">
        <v>32</v>
      </c>
      <c r="P450" t="s">
        <v>33</v>
      </c>
      <c r="Q450" t="s">
        <v>34</v>
      </c>
      <c r="R450">
        <v>39297.83</v>
      </c>
      <c r="S450" s="25" t="e">
        <f>IF(Table1[[#This Row],[Sales]]=MIN(Table1[Sales]), Table1[[#This Row],[Sales]], NA())</f>
        <v>#N/A</v>
      </c>
      <c r="T450" s="25">
        <f>IF(AND(Table1[[#This Row],[Sales]]&lt;&gt;MIN(Table1[Sales]),Table1[[#This Row],[Sales]]&lt;&gt;MAX(Table1[Sales])), Table1[[#This Row],[Sales]], NA())</f>
        <v>39297.83</v>
      </c>
      <c r="U450" s="25" t="e">
        <f>IF(Table1[[#This Row],[Sales]]=MAX(Table1[Sales]), Table1[[#This Row],[Sales]], NA())</f>
        <v>#N/A</v>
      </c>
      <c r="V450">
        <v>1</v>
      </c>
      <c r="W450">
        <v>0.1</v>
      </c>
      <c r="X450">
        <v>2161.38</v>
      </c>
      <c r="Y450" s="3">
        <f>YEAR(Table1[[#This Row],[Order Date]])</f>
        <v>2023</v>
      </c>
      <c r="Z450" s="3" t="str">
        <f>TEXT(Table1[[#This Row],[Order Date]],"MMM")</f>
        <v>Mar</v>
      </c>
      <c r="AA450" s="3">
        <f>DAY(Table1[[#This Row],[Order Date]])</f>
        <v>25</v>
      </c>
    </row>
    <row r="451" spans="1:27" x14ac:dyDescent="0.35">
      <c r="A451" s="1">
        <v>450</v>
      </c>
      <c r="B451" s="1" t="s">
        <v>2106</v>
      </c>
      <c r="C451" s="1" t="s">
        <v>2107</v>
      </c>
      <c r="D451" s="1" t="s">
        <v>1908</v>
      </c>
      <c r="E451" t="s">
        <v>115</v>
      </c>
      <c r="F451" t="s">
        <v>2108</v>
      </c>
      <c r="G451" t="s">
        <v>81</v>
      </c>
      <c r="H451" t="s">
        <v>41</v>
      </c>
      <c r="I451" s="1" t="s">
        <v>28</v>
      </c>
      <c r="J451" t="s">
        <v>128</v>
      </c>
      <c r="K451" t="s">
        <v>129</v>
      </c>
      <c r="L451" s="1">
        <v>381329</v>
      </c>
      <c r="M451" s="1" t="s">
        <v>66</v>
      </c>
      <c r="N451" t="s">
        <v>2109</v>
      </c>
      <c r="O451" t="s">
        <v>46</v>
      </c>
      <c r="P451" t="s">
        <v>57</v>
      </c>
      <c r="Q451" t="s">
        <v>58</v>
      </c>
      <c r="R451">
        <v>31348.23</v>
      </c>
      <c r="S451" s="25" t="e">
        <f>IF(Table1[[#This Row],[Sales]]=MIN(Table1[Sales]), Table1[[#This Row],[Sales]], NA())</f>
        <v>#N/A</v>
      </c>
      <c r="T451" s="25">
        <f>IF(AND(Table1[[#This Row],[Sales]]&lt;&gt;MIN(Table1[Sales]),Table1[[#This Row],[Sales]]&lt;&gt;MAX(Table1[Sales])), Table1[[#This Row],[Sales]], NA())</f>
        <v>31348.23</v>
      </c>
      <c r="U451" s="25" t="e">
        <f>IF(Table1[[#This Row],[Sales]]=MAX(Table1[Sales]), Table1[[#This Row],[Sales]], NA())</f>
        <v>#N/A</v>
      </c>
      <c r="V451">
        <v>1</v>
      </c>
      <c r="W451">
        <v>0</v>
      </c>
      <c r="X451">
        <v>2507.86</v>
      </c>
      <c r="Y451" s="3">
        <f>YEAR(Table1[[#This Row],[Order Date]])</f>
        <v>2024</v>
      </c>
      <c r="Z451" s="3" t="str">
        <f>TEXT(Table1[[#This Row],[Order Date]],"MMM")</f>
        <v>May</v>
      </c>
      <c r="AA451" s="3">
        <f>DAY(Table1[[#This Row],[Order Date]])</f>
        <v>3</v>
      </c>
    </row>
    <row r="452" spans="1:27" x14ac:dyDescent="0.35">
      <c r="A452" s="1">
        <v>451</v>
      </c>
      <c r="B452" s="1" t="s">
        <v>2110</v>
      </c>
      <c r="C452" s="1" t="s">
        <v>2111</v>
      </c>
      <c r="D452" s="1" t="s">
        <v>702</v>
      </c>
      <c r="E452" t="s">
        <v>24</v>
      </c>
      <c r="F452" t="s">
        <v>2112</v>
      </c>
      <c r="G452" t="s">
        <v>93</v>
      </c>
      <c r="H452" t="s">
        <v>27</v>
      </c>
      <c r="I452" s="1" t="s">
        <v>28</v>
      </c>
      <c r="J452" t="s">
        <v>53</v>
      </c>
      <c r="K452" t="s">
        <v>54</v>
      </c>
      <c r="L452" s="1">
        <v>980960</v>
      </c>
      <c r="M452" s="1" t="s">
        <v>55</v>
      </c>
      <c r="N452" t="s">
        <v>2113</v>
      </c>
      <c r="O452" t="s">
        <v>32</v>
      </c>
      <c r="P452" t="s">
        <v>33</v>
      </c>
      <c r="Q452" t="s">
        <v>34</v>
      </c>
      <c r="R452">
        <v>40078.15</v>
      </c>
      <c r="S452" s="25" t="e">
        <f>IF(Table1[[#This Row],[Sales]]=MIN(Table1[Sales]), Table1[[#This Row],[Sales]], NA())</f>
        <v>#N/A</v>
      </c>
      <c r="T452" s="25">
        <f>IF(AND(Table1[[#This Row],[Sales]]&lt;&gt;MIN(Table1[Sales]),Table1[[#This Row],[Sales]]&lt;&gt;MAX(Table1[Sales])), Table1[[#This Row],[Sales]], NA())</f>
        <v>40078.15</v>
      </c>
      <c r="U452" s="25" t="e">
        <f>IF(Table1[[#This Row],[Sales]]=MAX(Table1[Sales]), Table1[[#This Row],[Sales]], NA())</f>
        <v>#N/A</v>
      </c>
      <c r="V452">
        <v>7</v>
      </c>
      <c r="W452">
        <v>0</v>
      </c>
      <c r="X452">
        <v>3206.25</v>
      </c>
      <c r="Y452" s="3">
        <f>YEAR(Table1[[#This Row],[Order Date]])</f>
        <v>2025</v>
      </c>
      <c r="Z452" s="3" t="str">
        <f>TEXT(Table1[[#This Row],[Order Date]],"MMM")</f>
        <v>Jun</v>
      </c>
      <c r="AA452" s="3">
        <f>DAY(Table1[[#This Row],[Order Date]])</f>
        <v>27</v>
      </c>
    </row>
    <row r="453" spans="1:27" x14ac:dyDescent="0.35">
      <c r="A453" s="1">
        <v>452</v>
      </c>
      <c r="B453" s="1" t="s">
        <v>2114</v>
      </c>
      <c r="C453" s="1" t="s">
        <v>964</v>
      </c>
      <c r="D453" s="1" t="s">
        <v>2115</v>
      </c>
      <c r="E453" t="s">
        <v>115</v>
      </c>
      <c r="F453" t="s">
        <v>2116</v>
      </c>
      <c r="G453" t="s">
        <v>93</v>
      </c>
      <c r="H453" t="s">
        <v>41</v>
      </c>
      <c r="I453" s="1" t="s">
        <v>28</v>
      </c>
      <c r="J453" t="s">
        <v>128</v>
      </c>
      <c r="K453" t="s">
        <v>129</v>
      </c>
      <c r="L453" s="1">
        <v>439526</v>
      </c>
      <c r="M453" s="1" t="s">
        <v>66</v>
      </c>
      <c r="N453" t="s">
        <v>2117</v>
      </c>
      <c r="O453" t="s">
        <v>32</v>
      </c>
      <c r="P453" t="s">
        <v>33</v>
      </c>
      <c r="Q453" t="s">
        <v>34</v>
      </c>
      <c r="R453">
        <v>48465.29</v>
      </c>
      <c r="S453" s="25" t="e">
        <f>IF(Table1[[#This Row],[Sales]]=MIN(Table1[Sales]), Table1[[#This Row],[Sales]], NA())</f>
        <v>#N/A</v>
      </c>
      <c r="T453" s="25">
        <f>IF(AND(Table1[[#This Row],[Sales]]&lt;&gt;MIN(Table1[Sales]),Table1[[#This Row],[Sales]]&lt;&gt;MAX(Table1[Sales])), Table1[[#This Row],[Sales]], NA())</f>
        <v>48465.29</v>
      </c>
      <c r="U453" s="25" t="e">
        <f>IF(Table1[[#This Row],[Sales]]=MAX(Table1[Sales]), Table1[[#This Row],[Sales]], NA())</f>
        <v>#N/A</v>
      </c>
      <c r="V453">
        <v>1</v>
      </c>
      <c r="W453">
        <v>0.2</v>
      </c>
      <c r="X453">
        <v>1453.96</v>
      </c>
      <c r="Y453" s="3">
        <f>YEAR(Table1[[#This Row],[Order Date]])</f>
        <v>2023</v>
      </c>
      <c r="Z453" s="3" t="str">
        <f>TEXT(Table1[[#This Row],[Order Date]],"MMM")</f>
        <v>Jun</v>
      </c>
      <c r="AA453" s="3">
        <f>DAY(Table1[[#This Row],[Order Date]])</f>
        <v>11</v>
      </c>
    </row>
    <row r="454" spans="1:27" x14ac:dyDescent="0.35">
      <c r="A454" s="1">
        <v>453</v>
      </c>
      <c r="B454" s="1" t="s">
        <v>2118</v>
      </c>
      <c r="C454" s="1" t="s">
        <v>2119</v>
      </c>
      <c r="D454" s="1" t="s">
        <v>2120</v>
      </c>
      <c r="E454" t="s">
        <v>62</v>
      </c>
      <c r="F454" t="s">
        <v>2121</v>
      </c>
      <c r="G454" t="s">
        <v>122</v>
      </c>
      <c r="H454" t="s">
        <v>41</v>
      </c>
      <c r="I454" s="1" t="s">
        <v>28</v>
      </c>
      <c r="J454" t="s">
        <v>29</v>
      </c>
      <c r="K454" t="s">
        <v>29</v>
      </c>
      <c r="L454" s="1">
        <v>643228</v>
      </c>
      <c r="M454" s="1" t="s">
        <v>30</v>
      </c>
      <c r="N454" t="s">
        <v>2122</v>
      </c>
      <c r="O454" t="s">
        <v>68</v>
      </c>
      <c r="P454" t="s">
        <v>69</v>
      </c>
      <c r="Q454" t="s">
        <v>70</v>
      </c>
      <c r="R454">
        <v>48421.17</v>
      </c>
      <c r="S454" s="25" t="e">
        <f>IF(Table1[[#This Row],[Sales]]=MIN(Table1[Sales]), Table1[[#This Row],[Sales]], NA())</f>
        <v>#N/A</v>
      </c>
      <c r="T454" s="25">
        <f>IF(AND(Table1[[#This Row],[Sales]]&lt;&gt;MIN(Table1[Sales]),Table1[[#This Row],[Sales]]&lt;&gt;MAX(Table1[Sales])), Table1[[#This Row],[Sales]], NA())</f>
        <v>48421.17</v>
      </c>
      <c r="U454" s="25" t="e">
        <f>IF(Table1[[#This Row],[Sales]]=MAX(Table1[Sales]), Table1[[#This Row],[Sales]], NA())</f>
        <v>#N/A</v>
      </c>
      <c r="V454">
        <v>3</v>
      </c>
      <c r="W454">
        <v>0.3</v>
      </c>
      <c r="X454">
        <v>242.11</v>
      </c>
      <c r="Y454" s="3">
        <f>YEAR(Table1[[#This Row],[Order Date]])</f>
        <v>2023</v>
      </c>
      <c r="Z454" s="3" t="str">
        <f>TEXT(Table1[[#This Row],[Order Date]],"MMM")</f>
        <v>Jul</v>
      </c>
      <c r="AA454" s="3">
        <f>DAY(Table1[[#This Row],[Order Date]])</f>
        <v>18</v>
      </c>
    </row>
    <row r="455" spans="1:27" x14ac:dyDescent="0.35">
      <c r="A455" s="1">
        <v>454</v>
      </c>
      <c r="B455" s="1" t="s">
        <v>2123</v>
      </c>
      <c r="C455" s="1" t="s">
        <v>840</v>
      </c>
      <c r="D455" s="1" t="s">
        <v>2124</v>
      </c>
      <c r="E455" t="s">
        <v>62</v>
      </c>
      <c r="F455" t="s">
        <v>2125</v>
      </c>
      <c r="G455" t="s">
        <v>188</v>
      </c>
      <c r="H455" t="s">
        <v>94</v>
      </c>
      <c r="I455" s="1" t="s">
        <v>28</v>
      </c>
      <c r="J455" t="s">
        <v>64</v>
      </c>
      <c r="K455" t="s">
        <v>65</v>
      </c>
      <c r="L455" s="1">
        <v>933860</v>
      </c>
      <c r="M455" s="1" t="s">
        <v>66</v>
      </c>
      <c r="N455" t="s">
        <v>2126</v>
      </c>
      <c r="O455" t="s">
        <v>46</v>
      </c>
      <c r="P455" t="s">
        <v>57</v>
      </c>
      <c r="Q455" t="s">
        <v>58</v>
      </c>
      <c r="R455">
        <v>28366.07</v>
      </c>
      <c r="S455" s="25" t="e">
        <f>IF(Table1[[#This Row],[Sales]]=MIN(Table1[Sales]), Table1[[#This Row],[Sales]], NA())</f>
        <v>#N/A</v>
      </c>
      <c r="T455" s="25">
        <f>IF(AND(Table1[[#This Row],[Sales]]&lt;&gt;MIN(Table1[Sales]),Table1[[#This Row],[Sales]]&lt;&gt;MAX(Table1[Sales])), Table1[[#This Row],[Sales]], NA())</f>
        <v>28366.07</v>
      </c>
      <c r="U455" s="25" t="e">
        <f>IF(Table1[[#This Row],[Sales]]=MAX(Table1[Sales]), Table1[[#This Row],[Sales]], NA())</f>
        <v>#N/A</v>
      </c>
      <c r="V455">
        <v>8</v>
      </c>
      <c r="W455">
        <v>0.2</v>
      </c>
      <c r="X455">
        <v>850.98</v>
      </c>
      <c r="Y455" s="3">
        <f>YEAR(Table1[[#This Row],[Order Date]])</f>
        <v>2024</v>
      </c>
      <c r="Z455" s="3" t="str">
        <f>TEXT(Table1[[#This Row],[Order Date]],"MMM")</f>
        <v>Feb</v>
      </c>
      <c r="AA455" s="3">
        <f>DAY(Table1[[#This Row],[Order Date]])</f>
        <v>11</v>
      </c>
    </row>
    <row r="456" spans="1:27" x14ac:dyDescent="0.35">
      <c r="A456" s="1">
        <v>455</v>
      </c>
      <c r="B456" s="1" t="s">
        <v>2127</v>
      </c>
      <c r="C456" s="1" t="s">
        <v>1776</v>
      </c>
      <c r="D456" s="1" t="s">
        <v>2128</v>
      </c>
      <c r="E456" t="s">
        <v>24</v>
      </c>
      <c r="F456" t="s">
        <v>2129</v>
      </c>
      <c r="G456" t="s">
        <v>93</v>
      </c>
      <c r="H456" t="s">
        <v>94</v>
      </c>
      <c r="I456" s="1" t="s">
        <v>28</v>
      </c>
      <c r="J456" t="s">
        <v>128</v>
      </c>
      <c r="K456" t="s">
        <v>129</v>
      </c>
      <c r="L456" s="1">
        <v>993988</v>
      </c>
      <c r="M456" s="1" t="s">
        <v>66</v>
      </c>
      <c r="N456" t="s">
        <v>2130</v>
      </c>
      <c r="O456" t="s">
        <v>46</v>
      </c>
      <c r="P456" t="s">
        <v>57</v>
      </c>
      <c r="Q456" t="s">
        <v>58</v>
      </c>
      <c r="R456">
        <v>81669.759999999995</v>
      </c>
      <c r="S456" s="25" t="e">
        <f>IF(Table1[[#This Row],[Sales]]=MIN(Table1[Sales]), Table1[[#This Row],[Sales]], NA())</f>
        <v>#N/A</v>
      </c>
      <c r="T456" s="25">
        <f>IF(AND(Table1[[#This Row],[Sales]]&lt;&gt;MIN(Table1[Sales]),Table1[[#This Row],[Sales]]&lt;&gt;MAX(Table1[Sales])), Table1[[#This Row],[Sales]], NA())</f>
        <v>81669.759999999995</v>
      </c>
      <c r="U456" s="25" t="e">
        <f>IF(Table1[[#This Row],[Sales]]=MAX(Table1[Sales]), Table1[[#This Row],[Sales]], NA())</f>
        <v>#N/A</v>
      </c>
      <c r="V456">
        <v>4</v>
      </c>
      <c r="W456">
        <v>0.3</v>
      </c>
      <c r="X456">
        <v>408.35</v>
      </c>
      <c r="Y456" s="3">
        <f>YEAR(Table1[[#This Row],[Order Date]])</f>
        <v>2021</v>
      </c>
      <c r="Z456" s="3" t="str">
        <f>TEXT(Table1[[#This Row],[Order Date]],"MMM")</f>
        <v>Apr</v>
      </c>
      <c r="AA456" s="3">
        <f>DAY(Table1[[#This Row],[Order Date]])</f>
        <v>28</v>
      </c>
    </row>
    <row r="457" spans="1:27" x14ac:dyDescent="0.35">
      <c r="A457" s="1">
        <v>456</v>
      </c>
      <c r="B457" s="1" t="s">
        <v>2131</v>
      </c>
      <c r="C457" s="1" t="s">
        <v>2132</v>
      </c>
      <c r="D457" s="1" t="s">
        <v>2133</v>
      </c>
      <c r="E457" t="s">
        <v>38</v>
      </c>
      <c r="F457" t="s">
        <v>2134</v>
      </c>
      <c r="G457" t="s">
        <v>40</v>
      </c>
      <c r="H457" t="s">
        <v>27</v>
      </c>
      <c r="I457" s="1" t="s">
        <v>28</v>
      </c>
      <c r="J457" t="s">
        <v>128</v>
      </c>
      <c r="K457" t="s">
        <v>129</v>
      </c>
      <c r="L457" s="1">
        <v>930491</v>
      </c>
      <c r="M457" s="1" t="s">
        <v>66</v>
      </c>
      <c r="N457" t="s">
        <v>2135</v>
      </c>
      <c r="O457" t="s">
        <v>46</v>
      </c>
      <c r="P457" t="s">
        <v>57</v>
      </c>
      <c r="Q457" t="s">
        <v>58</v>
      </c>
      <c r="R457">
        <v>45840.5</v>
      </c>
      <c r="S457" s="25" t="e">
        <f>IF(Table1[[#This Row],[Sales]]=MIN(Table1[Sales]), Table1[[#This Row],[Sales]], NA())</f>
        <v>#N/A</v>
      </c>
      <c r="T457" s="25">
        <f>IF(AND(Table1[[#This Row],[Sales]]&lt;&gt;MIN(Table1[Sales]),Table1[[#This Row],[Sales]]&lt;&gt;MAX(Table1[Sales])), Table1[[#This Row],[Sales]], NA())</f>
        <v>45840.5</v>
      </c>
      <c r="U457" s="25" t="e">
        <f>IF(Table1[[#This Row],[Sales]]=MAX(Table1[Sales]), Table1[[#This Row],[Sales]], NA())</f>
        <v>#N/A</v>
      </c>
      <c r="V457">
        <v>4</v>
      </c>
      <c r="W457">
        <v>0.2</v>
      </c>
      <c r="X457">
        <v>1375.21</v>
      </c>
      <c r="Y457" s="3">
        <f>YEAR(Table1[[#This Row],[Order Date]])</f>
        <v>2024</v>
      </c>
      <c r="Z457" s="3" t="str">
        <f>TEXT(Table1[[#This Row],[Order Date]],"MMM")</f>
        <v>Oct</v>
      </c>
      <c r="AA457" s="3">
        <f>DAY(Table1[[#This Row],[Order Date]])</f>
        <v>30</v>
      </c>
    </row>
    <row r="458" spans="1:27" x14ac:dyDescent="0.35">
      <c r="A458" s="1">
        <v>457</v>
      </c>
      <c r="B458" s="1" t="s">
        <v>2136</v>
      </c>
      <c r="C458" s="1" t="s">
        <v>1765</v>
      </c>
      <c r="D458" s="1" t="s">
        <v>2137</v>
      </c>
      <c r="E458" t="s">
        <v>115</v>
      </c>
      <c r="F458" t="s">
        <v>2138</v>
      </c>
      <c r="G458" t="s">
        <v>81</v>
      </c>
      <c r="H458" t="s">
        <v>94</v>
      </c>
      <c r="I458" s="1" t="s">
        <v>28</v>
      </c>
      <c r="J458" t="s">
        <v>128</v>
      </c>
      <c r="K458" t="s">
        <v>129</v>
      </c>
      <c r="L458" s="1">
        <v>761527</v>
      </c>
      <c r="M458" s="1" t="s">
        <v>66</v>
      </c>
      <c r="N458" t="s">
        <v>2139</v>
      </c>
      <c r="O458" t="s">
        <v>46</v>
      </c>
      <c r="P458" t="s">
        <v>57</v>
      </c>
      <c r="Q458" t="s">
        <v>58</v>
      </c>
      <c r="R458">
        <v>74277.08</v>
      </c>
      <c r="S458" s="25" t="e">
        <f>IF(Table1[[#This Row],[Sales]]=MIN(Table1[Sales]), Table1[[#This Row],[Sales]], NA())</f>
        <v>#N/A</v>
      </c>
      <c r="T458" s="25">
        <f>IF(AND(Table1[[#This Row],[Sales]]&lt;&gt;MIN(Table1[Sales]),Table1[[#This Row],[Sales]]&lt;&gt;MAX(Table1[Sales])), Table1[[#This Row],[Sales]], NA())</f>
        <v>74277.08</v>
      </c>
      <c r="U458" s="25" t="e">
        <f>IF(Table1[[#This Row],[Sales]]=MAX(Table1[Sales]), Table1[[#This Row],[Sales]], NA())</f>
        <v>#N/A</v>
      </c>
      <c r="V458">
        <v>4</v>
      </c>
      <c r="W458">
        <v>0.3</v>
      </c>
      <c r="X458">
        <v>371.39</v>
      </c>
      <c r="Y458" s="3">
        <f>YEAR(Table1[[#This Row],[Order Date]])</f>
        <v>2023</v>
      </c>
      <c r="Z458" s="3" t="str">
        <f>TEXT(Table1[[#This Row],[Order Date]],"MMM")</f>
        <v>Jan</v>
      </c>
      <c r="AA458" s="3">
        <f>DAY(Table1[[#This Row],[Order Date]])</f>
        <v>27</v>
      </c>
    </row>
    <row r="459" spans="1:27" x14ac:dyDescent="0.35">
      <c r="A459" s="1">
        <v>458</v>
      </c>
      <c r="B459" s="1" t="s">
        <v>2140</v>
      </c>
      <c r="C459" s="1" t="s">
        <v>1435</v>
      </c>
      <c r="D459" s="1" t="s">
        <v>2141</v>
      </c>
      <c r="E459" t="s">
        <v>24</v>
      </c>
      <c r="F459" t="s">
        <v>2142</v>
      </c>
      <c r="G459" t="s">
        <v>93</v>
      </c>
      <c r="H459" t="s">
        <v>94</v>
      </c>
      <c r="I459" s="1" t="s">
        <v>28</v>
      </c>
      <c r="J459" t="s">
        <v>64</v>
      </c>
      <c r="K459" t="s">
        <v>65</v>
      </c>
      <c r="L459" s="1">
        <v>796166</v>
      </c>
      <c r="M459" s="1" t="s">
        <v>66</v>
      </c>
      <c r="N459" t="s">
        <v>2143</v>
      </c>
      <c r="O459" t="s">
        <v>46</v>
      </c>
      <c r="P459" t="s">
        <v>57</v>
      </c>
      <c r="Q459" t="s">
        <v>58</v>
      </c>
      <c r="R459">
        <v>57563.59</v>
      </c>
      <c r="S459" s="25" t="e">
        <f>IF(Table1[[#This Row],[Sales]]=MIN(Table1[Sales]), Table1[[#This Row],[Sales]], NA())</f>
        <v>#N/A</v>
      </c>
      <c r="T459" s="25">
        <f>IF(AND(Table1[[#This Row],[Sales]]&lt;&gt;MIN(Table1[Sales]),Table1[[#This Row],[Sales]]&lt;&gt;MAX(Table1[Sales])), Table1[[#This Row],[Sales]], NA())</f>
        <v>57563.59</v>
      </c>
      <c r="U459" s="25" t="e">
        <f>IF(Table1[[#This Row],[Sales]]=MAX(Table1[Sales]), Table1[[#This Row],[Sales]], NA())</f>
        <v>#N/A</v>
      </c>
      <c r="V459">
        <v>6</v>
      </c>
      <c r="W459">
        <v>0.2</v>
      </c>
      <c r="X459">
        <v>1726.91</v>
      </c>
      <c r="Y459" s="3">
        <f>YEAR(Table1[[#This Row],[Order Date]])</f>
        <v>2021</v>
      </c>
      <c r="Z459" s="3" t="str">
        <f>TEXT(Table1[[#This Row],[Order Date]],"MMM")</f>
        <v>Aug</v>
      </c>
      <c r="AA459" s="3">
        <f>DAY(Table1[[#This Row],[Order Date]])</f>
        <v>2</v>
      </c>
    </row>
    <row r="460" spans="1:27" x14ac:dyDescent="0.35">
      <c r="A460" s="1">
        <v>459</v>
      </c>
      <c r="B460" s="1" t="s">
        <v>2144</v>
      </c>
      <c r="C460" s="1" t="s">
        <v>2145</v>
      </c>
      <c r="D460" s="1" t="s">
        <v>2146</v>
      </c>
      <c r="E460" t="s">
        <v>24</v>
      </c>
      <c r="F460" t="s">
        <v>2147</v>
      </c>
      <c r="G460" t="s">
        <v>110</v>
      </c>
      <c r="H460" t="s">
        <v>41</v>
      </c>
      <c r="I460" s="1" t="s">
        <v>28</v>
      </c>
      <c r="J460" t="s">
        <v>128</v>
      </c>
      <c r="K460" t="s">
        <v>129</v>
      </c>
      <c r="L460" s="1">
        <v>347184</v>
      </c>
      <c r="M460" s="1" t="s">
        <v>66</v>
      </c>
      <c r="N460" t="s">
        <v>2148</v>
      </c>
      <c r="O460" t="s">
        <v>46</v>
      </c>
      <c r="P460" t="s">
        <v>57</v>
      </c>
      <c r="Q460" t="s">
        <v>58</v>
      </c>
      <c r="R460">
        <v>37698.370000000003</v>
      </c>
      <c r="S460" s="25" t="e">
        <f>IF(Table1[[#This Row],[Sales]]=MIN(Table1[Sales]), Table1[[#This Row],[Sales]], NA())</f>
        <v>#N/A</v>
      </c>
      <c r="T460" s="25">
        <f>IF(AND(Table1[[#This Row],[Sales]]&lt;&gt;MIN(Table1[Sales]),Table1[[#This Row],[Sales]]&lt;&gt;MAX(Table1[Sales])), Table1[[#This Row],[Sales]], NA())</f>
        <v>37698.370000000003</v>
      </c>
      <c r="U460" s="25" t="e">
        <f>IF(Table1[[#This Row],[Sales]]=MAX(Table1[Sales]), Table1[[#This Row],[Sales]], NA())</f>
        <v>#N/A</v>
      </c>
      <c r="V460">
        <v>4</v>
      </c>
      <c r="W460">
        <v>0</v>
      </c>
      <c r="X460">
        <v>3015.87</v>
      </c>
      <c r="Y460" s="3">
        <f>YEAR(Table1[[#This Row],[Order Date]])</f>
        <v>2023</v>
      </c>
      <c r="Z460" s="3" t="str">
        <f>TEXT(Table1[[#This Row],[Order Date]],"MMM")</f>
        <v>Apr</v>
      </c>
      <c r="AA460" s="3">
        <f>DAY(Table1[[#This Row],[Order Date]])</f>
        <v>7</v>
      </c>
    </row>
    <row r="461" spans="1:27" x14ac:dyDescent="0.35">
      <c r="A461" s="1">
        <v>460</v>
      </c>
      <c r="B461" s="1" t="s">
        <v>2149</v>
      </c>
      <c r="C461" s="1" t="s">
        <v>2150</v>
      </c>
      <c r="D461" s="1" t="s">
        <v>2151</v>
      </c>
      <c r="E461" t="s">
        <v>38</v>
      </c>
      <c r="F461" t="s">
        <v>2152</v>
      </c>
      <c r="G461" t="s">
        <v>87</v>
      </c>
      <c r="H461" t="s">
        <v>94</v>
      </c>
      <c r="I461" s="1" t="s">
        <v>28</v>
      </c>
      <c r="J461" t="s">
        <v>128</v>
      </c>
      <c r="K461" t="s">
        <v>129</v>
      </c>
      <c r="L461" s="1">
        <v>343349</v>
      </c>
      <c r="M461" s="1" t="s">
        <v>66</v>
      </c>
      <c r="N461" t="s">
        <v>2153</v>
      </c>
      <c r="O461" t="s">
        <v>32</v>
      </c>
      <c r="P461" t="s">
        <v>33</v>
      </c>
      <c r="Q461" t="s">
        <v>34</v>
      </c>
      <c r="R461">
        <v>79745.14</v>
      </c>
      <c r="S461" s="25" t="e">
        <f>IF(Table1[[#This Row],[Sales]]=MIN(Table1[Sales]), Table1[[#This Row],[Sales]], NA())</f>
        <v>#N/A</v>
      </c>
      <c r="T461" s="25">
        <f>IF(AND(Table1[[#This Row],[Sales]]&lt;&gt;MIN(Table1[Sales]),Table1[[#This Row],[Sales]]&lt;&gt;MAX(Table1[Sales])), Table1[[#This Row],[Sales]], NA())</f>
        <v>79745.14</v>
      </c>
      <c r="U461" s="25" t="e">
        <f>IF(Table1[[#This Row],[Sales]]=MAX(Table1[Sales]), Table1[[#This Row],[Sales]], NA())</f>
        <v>#N/A</v>
      </c>
      <c r="V461">
        <v>8</v>
      </c>
      <c r="W461">
        <v>0</v>
      </c>
      <c r="X461">
        <v>6379.61</v>
      </c>
      <c r="Y461" s="3">
        <f>YEAR(Table1[[#This Row],[Order Date]])</f>
        <v>2024</v>
      </c>
      <c r="Z461" s="3" t="str">
        <f>TEXT(Table1[[#This Row],[Order Date]],"MMM")</f>
        <v>Jul</v>
      </c>
      <c r="AA461" s="3">
        <f>DAY(Table1[[#This Row],[Order Date]])</f>
        <v>2</v>
      </c>
    </row>
    <row r="462" spans="1:27" x14ac:dyDescent="0.35">
      <c r="A462" s="1">
        <v>461</v>
      </c>
      <c r="B462" s="1" t="s">
        <v>2154</v>
      </c>
      <c r="C462" s="1" t="s">
        <v>2155</v>
      </c>
      <c r="D462" s="1" t="s">
        <v>2156</v>
      </c>
      <c r="E462" t="s">
        <v>38</v>
      </c>
      <c r="F462" t="s">
        <v>2157</v>
      </c>
      <c r="G462" t="s">
        <v>188</v>
      </c>
      <c r="H462" t="s">
        <v>94</v>
      </c>
      <c r="I462" s="1" t="s">
        <v>28</v>
      </c>
      <c r="J462" t="s">
        <v>29</v>
      </c>
      <c r="K462" t="s">
        <v>29</v>
      </c>
      <c r="L462" s="1">
        <v>429606</v>
      </c>
      <c r="M462" s="1" t="s">
        <v>30</v>
      </c>
      <c r="N462" t="s">
        <v>2158</v>
      </c>
      <c r="O462" t="s">
        <v>46</v>
      </c>
      <c r="P462" t="s">
        <v>57</v>
      </c>
      <c r="Q462" t="s">
        <v>58</v>
      </c>
      <c r="R462">
        <v>62973.2</v>
      </c>
      <c r="S462" s="25" t="e">
        <f>IF(Table1[[#This Row],[Sales]]=MIN(Table1[Sales]), Table1[[#This Row],[Sales]], NA())</f>
        <v>#N/A</v>
      </c>
      <c r="T462" s="25">
        <f>IF(AND(Table1[[#This Row],[Sales]]&lt;&gt;MIN(Table1[Sales]),Table1[[#This Row],[Sales]]&lt;&gt;MAX(Table1[Sales])), Table1[[#This Row],[Sales]], NA())</f>
        <v>62973.2</v>
      </c>
      <c r="U462" s="25" t="e">
        <f>IF(Table1[[#This Row],[Sales]]=MAX(Table1[Sales]), Table1[[#This Row],[Sales]], NA())</f>
        <v>#N/A</v>
      </c>
      <c r="V462">
        <v>9</v>
      </c>
      <c r="W462">
        <v>0</v>
      </c>
      <c r="X462">
        <v>5037.8599999999997</v>
      </c>
      <c r="Y462" s="3">
        <f>YEAR(Table1[[#This Row],[Order Date]])</f>
        <v>2023</v>
      </c>
      <c r="Z462" s="3" t="str">
        <f>TEXT(Table1[[#This Row],[Order Date]],"MMM")</f>
        <v>Jan</v>
      </c>
      <c r="AA462" s="3">
        <f>DAY(Table1[[#This Row],[Order Date]])</f>
        <v>13</v>
      </c>
    </row>
    <row r="463" spans="1:27" x14ac:dyDescent="0.35">
      <c r="A463" s="1">
        <v>462</v>
      </c>
      <c r="B463" s="1" t="s">
        <v>2159</v>
      </c>
      <c r="C463" s="1" t="s">
        <v>2160</v>
      </c>
      <c r="D463" s="1" t="s">
        <v>2161</v>
      </c>
      <c r="E463" t="s">
        <v>62</v>
      </c>
      <c r="F463" t="s">
        <v>2162</v>
      </c>
      <c r="G463" t="s">
        <v>26</v>
      </c>
      <c r="H463" t="s">
        <v>94</v>
      </c>
      <c r="I463" s="1" t="s">
        <v>28</v>
      </c>
      <c r="J463" t="s">
        <v>42</v>
      </c>
      <c r="K463" t="s">
        <v>43</v>
      </c>
      <c r="L463" s="1">
        <v>939634</v>
      </c>
      <c r="M463" s="1" t="s">
        <v>44</v>
      </c>
      <c r="N463" t="s">
        <v>2163</v>
      </c>
      <c r="O463" t="s">
        <v>46</v>
      </c>
      <c r="P463" t="s">
        <v>57</v>
      </c>
      <c r="Q463" t="s">
        <v>58</v>
      </c>
      <c r="R463">
        <v>57790.54</v>
      </c>
      <c r="S463" s="25" t="e">
        <f>IF(Table1[[#This Row],[Sales]]=MIN(Table1[Sales]), Table1[[#This Row],[Sales]], NA())</f>
        <v>#N/A</v>
      </c>
      <c r="T463" s="25">
        <f>IF(AND(Table1[[#This Row],[Sales]]&lt;&gt;MIN(Table1[Sales]),Table1[[#This Row],[Sales]]&lt;&gt;MAX(Table1[Sales])), Table1[[#This Row],[Sales]], NA())</f>
        <v>57790.54</v>
      </c>
      <c r="U463" s="25" t="e">
        <f>IF(Table1[[#This Row],[Sales]]=MAX(Table1[Sales]), Table1[[#This Row],[Sales]], NA())</f>
        <v>#N/A</v>
      </c>
      <c r="V463">
        <v>3</v>
      </c>
      <c r="W463">
        <v>0.2</v>
      </c>
      <c r="X463">
        <v>1733.72</v>
      </c>
      <c r="Y463" s="3">
        <f>YEAR(Table1[[#This Row],[Order Date]])</f>
        <v>2023</v>
      </c>
      <c r="Z463" s="3" t="str">
        <f>TEXT(Table1[[#This Row],[Order Date]],"MMM")</f>
        <v>Mar</v>
      </c>
      <c r="AA463" s="3">
        <f>DAY(Table1[[#This Row],[Order Date]])</f>
        <v>4</v>
      </c>
    </row>
    <row r="464" spans="1:27" x14ac:dyDescent="0.35">
      <c r="A464" s="1">
        <v>463</v>
      </c>
      <c r="B464" s="1" t="s">
        <v>2164</v>
      </c>
      <c r="C464" s="1" t="s">
        <v>1760</v>
      </c>
      <c r="D464" s="1" t="s">
        <v>2165</v>
      </c>
      <c r="E464" t="s">
        <v>24</v>
      </c>
      <c r="F464" t="s">
        <v>2166</v>
      </c>
      <c r="G464" t="s">
        <v>81</v>
      </c>
      <c r="H464" t="s">
        <v>94</v>
      </c>
      <c r="I464" s="1" t="s">
        <v>28</v>
      </c>
      <c r="J464" t="s">
        <v>64</v>
      </c>
      <c r="K464" t="s">
        <v>65</v>
      </c>
      <c r="L464" s="1">
        <v>491174</v>
      </c>
      <c r="M464" s="1" t="s">
        <v>66</v>
      </c>
      <c r="N464" t="s">
        <v>2167</v>
      </c>
      <c r="O464" t="s">
        <v>46</v>
      </c>
      <c r="P464" t="s">
        <v>47</v>
      </c>
      <c r="Q464" t="s">
        <v>48</v>
      </c>
      <c r="R464">
        <v>18456.11</v>
      </c>
      <c r="S464" s="25" t="e">
        <f>IF(Table1[[#This Row],[Sales]]=MIN(Table1[Sales]), Table1[[#This Row],[Sales]], NA())</f>
        <v>#N/A</v>
      </c>
      <c r="T464" s="25">
        <f>IF(AND(Table1[[#This Row],[Sales]]&lt;&gt;MIN(Table1[Sales]),Table1[[#This Row],[Sales]]&lt;&gt;MAX(Table1[Sales])), Table1[[#This Row],[Sales]], NA())</f>
        <v>18456.11</v>
      </c>
      <c r="U464" s="25" t="e">
        <f>IF(Table1[[#This Row],[Sales]]=MAX(Table1[Sales]), Table1[[#This Row],[Sales]], NA())</f>
        <v>#N/A</v>
      </c>
      <c r="V464">
        <v>2</v>
      </c>
      <c r="W464">
        <v>0.2</v>
      </c>
      <c r="X464">
        <v>553.67999999999995</v>
      </c>
      <c r="Y464" s="3">
        <f>YEAR(Table1[[#This Row],[Order Date]])</f>
        <v>2024</v>
      </c>
      <c r="Z464" s="3" t="str">
        <f>TEXT(Table1[[#This Row],[Order Date]],"MMM")</f>
        <v>Aug</v>
      </c>
      <c r="AA464" s="3">
        <f>DAY(Table1[[#This Row],[Order Date]])</f>
        <v>27</v>
      </c>
    </row>
    <row r="465" spans="1:27" x14ac:dyDescent="0.35">
      <c r="A465" s="1">
        <v>464</v>
      </c>
      <c r="B465" s="1" t="s">
        <v>2168</v>
      </c>
      <c r="C465" s="1" t="s">
        <v>2169</v>
      </c>
      <c r="D465" s="1" t="s">
        <v>1544</v>
      </c>
      <c r="E465" t="s">
        <v>115</v>
      </c>
      <c r="F465" t="s">
        <v>2170</v>
      </c>
      <c r="G465" t="s">
        <v>110</v>
      </c>
      <c r="H465" t="s">
        <v>94</v>
      </c>
      <c r="I465" s="1" t="s">
        <v>28</v>
      </c>
      <c r="J465" t="s">
        <v>64</v>
      </c>
      <c r="K465" t="s">
        <v>65</v>
      </c>
      <c r="L465" s="1">
        <v>513001</v>
      </c>
      <c r="M465" s="1" t="s">
        <v>66</v>
      </c>
      <c r="N465" t="s">
        <v>2171</v>
      </c>
      <c r="O465" t="s">
        <v>46</v>
      </c>
      <c r="P465" t="s">
        <v>57</v>
      </c>
      <c r="Q465" t="s">
        <v>58</v>
      </c>
      <c r="R465">
        <v>7889.82</v>
      </c>
      <c r="S465" s="25" t="e">
        <f>IF(Table1[[#This Row],[Sales]]=MIN(Table1[Sales]), Table1[[#This Row],[Sales]], NA())</f>
        <v>#N/A</v>
      </c>
      <c r="T465" s="25">
        <f>IF(AND(Table1[[#This Row],[Sales]]&lt;&gt;MIN(Table1[Sales]),Table1[[#This Row],[Sales]]&lt;&gt;MAX(Table1[Sales])), Table1[[#This Row],[Sales]], NA())</f>
        <v>7889.82</v>
      </c>
      <c r="U465" s="25" t="e">
        <f>IF(Table1[[#This Row],[Sales]]=MAX(Table1[Sales]), Table1[[#This Row],[Sales]], NA())</f>
        <v>#N/A</v>
      </c>
      <c r="V465">
        <v>1</v>
      </c>
      <c r="W465">
        <v>0.2</v>
      </c>
      <c r="X465">
        <v>236.69</v>
      </c>
      <c r="Y465" s="3">
        <f>YEAR(Table1[[#This Row],[Order Date]])</f>
        <v>2021</v>
      </c>
      <c r="Z465" s="3" t="str">
        <f>TEXT(Table1[[#This Row],[Order Date]],"MMM")</f>
        <v>Dec</v>
      </c>
      <c r="AA465" s="3">
        <f>DAY(Table1[[#This Row],[Order Date]])</f>
        <v>1</v>
      </c>
    </row>
    <row r="466" spans="1:27" x14ac:dyDescent="0.35">
      <c r="A466" s="1">
        <v>465</v>
      </c>
      <c r="B466" s="1" t="s">
        <v>2172</v>
      </c>
      <c r="C466" s="1" t="s">
        <v>2173</v>
      </c>
      <c r="D466" s="1" t="s">
        <v>840</v>
      </c>
      <c r="E466" t="s">
        <v>115</v>
      </c>
      <c r="F466" t="s">
        <v>2174</v>
      </c>
      <c r="G466" t="s">
        <v>81</v>
      </c>
      <c r="H466" t="s">
        <v>94</v>
      </c>
      <c r="I466" s="1" t="s">
        <v>28</v>
      </c>
      <c r="J466" t="s">
        <v>42</v>
      </c>
      <c r="K466" t="s">
        <v>43</v>
      </c>
      <c r="L466" s="1">
        <v>349466</v>
      </c>
      <c r="M466" s="1" t="s">
        <v>44</v>
      </c>
      <c r="N466" t="s">
        <v>2175</v>
      </c>
      <c r="O466" t="s">
        <v>46</v>
      </c>
      <c r="P466" t="s">
        <v>57</v>
      </c>
      <c r="Q466" t="s">
        <v>58</v>
      </c>
      <c r="R466">
        <v>93732.03</v>
      </c>
      <c r="S466" s="25" t="e">
        <f>IF(Table1[[#This Row],[Sales]]=MIN(Table1[Sales]), Table1[[#This Row],[Sales]], NA())</f>
        <v>#N/A</v>
      </c>
      <c r="T466" s="25">
        <f>IF(AND(Table1[[#This Row],[Sales]]&lt;&gt;MIN(Table1[Sales]),Table1[[#This Row],[Sales]]&lt;&gt;MAX(Table1[Sales])), Table1[[#This Row],[Sales]], NA())</f>
        <v>93732.03</v>
      </c>
      <c r="U466" s="25" t="e">
        <f>IF(Table1[[#This Row],[Sales]]=MAX(Table1[Sales]), Table1[[#This Row],[Sales]], NA())</f>
        <v>#N/A</v>
      </c>
      <c r="V466">
        <v>9</v>
      </c>
      <c r="W466">
        <v>0.2</v>
      </c>
      <c r="X466">
        <v>2811.96</v>
      </c>
      <c r="Y466" s="3">
        <f>YEAR(Table1[[#This Row],[Order Date]])</f>
        <v>2024</v>
      </c>
      <c r="Z466" s="3" t="str">
        <f>TEXT(Table1[[#This Row],[Order Date]],"MMM")</f>
        <v>Feb</v>
      </c>
      <c r="AA466" s="3">
        <f>DAY(Table1[[#This Row],[Order Date]])</f>
        <v>4</v>
      </c>
    </row>
    <row r="467" spans="1:27" x14ac:dyDescent="0.35">
      <c r="A467" s="1">
        <v>466</v>
      </c>
      <c r="B467" s="1" t="s">
        <v>2176</v>
      </c>
      <c r="C467" s="1" t="s">
        <v>98</v>
      </c>
      <c r="D467" s="1" t="s">
        <v>2177</v>
      </c>
      <c r="E467" t="s">
        <v>115</v>
      </c>
      <c r="F467" t="s">
        <v>2178</v>
      </c>
      <c r="G467" t="s">
        <v>122</v>
      </c>
      <c r="H467" t="s">
        <v>94</v>
      </c>
      <c r="I467" s="1" t="s">
        <v>28</v>
      </c>
      <c r="J467" t="s">
        <v>128</v>
      </c>
      <c r="K467" t="s">
        <v>129</v>
      </c>
      <c r="L467" s="1">
        <v>739326</v>
      </c>
      <c r="M467" s="1" t="s">
        <v>66</v>
      </c>
      <c r="N467" t="s">
        <v>2179</v>
      </c>
      <c r="O467" t="s">
        <v>46</v>
      </c>
      <c r="P467" t="s">
        <v>57</v>
      </c>
      <c r="Q467" t="s">
        <v>58</v>
      </c>
      <c r="R467">
        <v>94227.55</v>
      </c>
      <c r="S467" s="25" t="e">
        <f>IF(Table1[[#This Row],[Sales]]=MIN(Table1[Sales]), Table1[[#This Row],[Sales]], NA())</f>
        <v>#N/A</v>
      </c>
      <c r="T467" s="25">
        <f>IF(AND(Table1[[#This Row],[Sales]]&lt;&gt;MIN(Table1[Sales]),Table1[[#This Row],[Sales]]&lt;&gt;MAX(Table1[Sales])), Table1[[#This Row],[Sales]], NA())</f>
        <v>94227.55</v>
      </c>
      <c r="U467" s="25" t="e">
        <f>IF(Table1[[#This Row],[Sales]]=MAX(Table1[Sales]), Table1[[#This Row],[Sales]], NA())</f>
        <v>#N/A</v>
      </c>
      <c r="V467">
        <v>9</v>
      </c>
      <c r="W467">
        <v>0.2</v>
      </c>
      <c r="X467">
        <v>2826.83</v>
      </c>
      <c r="Y467" s="3">
        <f>YEAR(Table1[[#This Row],[Order Date]])</f>
        <v>2024</v>
      </c>
      <c r="Z467" s="3" t="str">
        <f>TEXT(Table1[[#This Row],[Order Date]],"MMM")</f>
        <v>Mar</v>
      </c>
      <c r="AA467" s="3">
        <f>DAY(Table1[[#This Row],[Order Date]])</f>
        <v>14</v>
      </c>
    </row>
    <row r="468" spans="1:27" x14ac:dyDescent="0.35">
      <c r="A468" s="1">
        <v>467</v>
      </c>
      <c r="B468" s="1" t="s">
        <v>2180</v>
      </c>
      <c r="C468" s="1" t="s">
        <v>2181</v>
      </c>
      <c r="D468" s="1" t="s">
        <v>2182</v>
      </c>
      <c r="E468" t="s">
        <v>24</v>
      </c>
      <c r="F468" t="s">
        <v>2183</v>
      </c>
      <c r="G468" t="s">
        <v>110</v>
      </c>
      <c r="H468" t="s">
        <v>94</v>
      </c>
      <c r="I468" s="1" t="s">
        <v>28</v>
      </c>
      <c r="J468" t="s">
        <v>128</v>
      </c>
      <c r="K468" t="s">
        <v>129</v>
      </c>
      <c r="L468" s="1">
        <v>744998</v>
      </c>
      <c r="M468" s="1" t="s">
        <v>66</v>
      </c>
      <c r="N468" t="s">
        <v>2184</v>
      </c>
      <c r="O468" t="s">
        <v>46</v>
      </c>
      <c r="P468" t="s">
        <v>57</v>
      </c>
      <c r="Q468" t="s">
        <v>58</v>
      </c>
      <c r="R468">
        <v>25061.919999999998</v>
      </c>
      <c r="S468" s="25" t="e">
        <f>IF(Table1[[#This Row],[Sales]]=MIN(Table1[Sales]), Table1[[#This Row],[Sales]], NA())</f>
        <v>#N/A</v>
      </c>
      <c r="T468" s="25">
        <f>IF(AND(Table1[[#This Row],[Sales]]&lt;&gt;MIN(Table1[Sales]),Table1[[#This Row],[Sales]]&lt;&gt;MAX(Table1[Sales])), Table1[[#This Row],[Sales]], NA())</f>
        <v>25061.919999999998</v>
      </c>
      <c r="U468" s="25" t="e">
        <f>IF(Table1[[#This Row],[Sales]]=MAX(Table1[Sales]), Table1[[#This Row],[Sales]], NA())</f>
        <v>#N/A</v>
      </c>
      <c r="V468">
        <v>8</v>
      </c>
      <c r="W468">
        <v>0</v>
      </c>
      <c r="X468">
        <v>2004.95</v>
      </c>
      <c r="Y468" s="3">
        <f>YEAR(Table1[[#This Row],[Order Date]])</f>
        <v>2021</v>
      </c>
      <c r="Z468" s="3" t="str">
        <f>TEXT(Table1[[#This Row],[Order Date]],"MMM")</f>
        <v>Feb</v>
      </c>
      <c r="AA468" s="3">
        <f>DAY(Table1[[#This Row],[Order Date]])</f>
        <v>4</v>
      </c>
    </row>
    <row r="469" spans="1:27" x14ac:dyDescent="0.35">
      <c r="A469" s="1">
        <v>468</v>
      </c>
      <c r="B469" s="1" t="s">
        <v>2185</v>
      </c>
      <c r="C469" s="1" t="s">
        <v>851</v>
      </c>
      <c r="D469" s="1" t="s">
        <v>2186</v>
      </c>
      <c r="E469" t="s">
        <v>24</v>
      </c>
      <c r="F469" t="s">
        <v>2187</v>
      </c>
      <c r="G469" t="s">
        <v>75</v>
      </c>
      <c r="H469" t="s">
        <v>41</v>
      </c>
      <c r="I469" s="1" t="s">
        <v>28</v>
      </c>
      <c r="J469" t="s">
        <v>29</v>
      </c>
      <c r="K469" t="s">
        <v>29</v>
      </c>
      <c r="L469" s="1">
        <v>318969</v>
      </c>
      <c r="M469" s="1" t="s">
        <v>30</v>
      </c>
      <c r="N469" t="s">
        <v>2188</v>
      </c>
      <c r="O469" t="s">
        <v>46</v>
      </c>
      <c r="P469" t="s">
        <v>47</v>
      </c>
      <c r="Q469" t="s">
        <v>48</v>
      </c>
      <c r="R469">
        <v>24186.94</v>
      </c>
      <c r="S469" s="25" t="e">
        <f>IF(Table1[[#This Row],[Sales]]=MIN(Table1[Sales]), Table1[[#This Row],[Sales]], NA())</f>
        <v>#N/A</v>
      </c>
      <c r="T469" s="25">
        <f>IF(AND(Table1[[#This Row],[Sales]]&lt;&gt;MIN(Table1[Sales]),Table1[[#This Row],[Sales]]&lt;&gt;MAX(Table1[Sales])), Table1[[#This Row],[Sales]], NA())</f>
        <v>24186.94</v>
      </c>
      <c r="U469" s="25" t="e">
        <f>IF(Table1[[#This Row],[Sales]]=MAX(Table1[Sales]), Table1[[#This Row],[Sales]], NA())</f>
        <v>#N/A</v>
      </c>
      <c r="V469">
        <v>8</v>
      </c>
      <c r="W469">
        <v>0.1</v>
      </c>
      <c r="X469">
        <v>1330.28</v>
      </c>
      <c r="Y469" s="3">
        <f>YEAR(Table1[[#This Row],[Order Date]])</f>
        <v>2024</v>
      </c>
      <c r="Z469" s="3" t="str">
        <f>TEXT(Table1[[#This Row],[Order Date]],"MMM")</f>
        <v>Dec</v>
      </c>
      <c r="AA469" s="3">
        <f>DAY(Table1[[#This Row],[Order Date]])</f>
        <v>24</v>
      </c>
    </row>
    <row r="470" spans="1:27" x14ac:dyDescent="0.35">
      <c r="A470" s="1">
        <v>469</v>
      </c>
      <c r="B470" s="1" t="s">
        <v>2189</v>
      </c>
      <c r="C470" s="1" t="s">
        <v>2021</v>
      </c>
      <c r="D470" s="1" t="s">
        <v>1308</v>
      </c>
      <c r="E470" t="s">
        <v>115</v>
      </c>
      <c r="F470" t="s">
        <v>2190</v>
      </c>
      <c r="G470" t="s">
        <v>93</v>
      </c>
      <c r="H470" t="s">
        <v>27</v>
      </c>
      <c r="I470" s="1" t="s">
        <v>28</v>
      </c>
      <c r="J470" t="s">
        <v>42</v>
      </c>
      <c r="K470" t="s">
        <v>43</v>
      </c>
      <c r="L470" s="1">
        <v>746956</v>
      </c>
      <c r="M470" s="1" t="s">
        <v>44</v>
      </c>
      <c r="N470" t="s">
        <v>2191</v>
      </c>
      <c r="O470" t="s">
        <v>46</v>
      </c>
      <c r="P470" t="s">
        <v>57</v>
      </c>
      <c r="Q470" t="s">
        <v>58</v>
      </c>
      <c r="R470">
        <v>10320.84</v>
      </c>
      <c r="S470" s="25" t="e">
        <f>IF(Table1[[#This Row],[Sales]]=MIN(Table1[Sales]), Table1[[#This Row],[Sales]], NA())</f>
        <v>#N/A</v>
      </c>
      <c r="T470" s="25">
        <f>IF(AND(Table1[[#This Row],[Sales]]&lt;&gt;MIN(Table1[Sales]),Table1[[#This Row],[Sales]]&lt;&gt;MAX(Table1[Sales])), Table1[[#This Row],[Sales]], NA())</f>
        <v>10320.84</v>
      </c>
      <c r="U470" s="25" t="e">
        <f>IF(Table1[[#This Row],[Sales]]=MAX(Table1[Sales]), Table1[[#This Row],[Sales]], NA())</f>
        <v>#N/A</v>
      </c>
      <c r="V470">
        <v>8</v>
      </c>
      <c r="W470">
        <v>0.2</v>
      </c>
      <c r="X470">
        <v>309.63</v>
      </c>
      <c r="Y470" s="3">
        <f>YEAR(Table1[[#This Row],[Order Date]])</f>
        <v>2022</v>
      </c>
      <c r="Z470" s="3" t="str">
        <f>TEXT(Table1[[#This Row],[Order Date]],"MMM")</f>
        <v>Nov</v>
      </c>
      <c r="AA470" s="3">
        <f>DAY(Table1[[#This Row],[Order Date]])</f>
        <v>23</v>
      </c>
    </row>
    <row r="471" spans="1:27" x14ac:dyDescent="0.35">
      <c r="A471" s="1">
        <v>470</v>
      </c>
      <c r="B471" s="1" t="s">
        <v>2192</v>
      </c>
      <c r="C471" s="1" t="s">
        <v>2193</v>
      </c>
      <c r="D471" s="1" t="s">
        <v>747</v>
      </c>
      <c r="E471" t="s">
        <v>115</v>
      </c>
      <c r="F471" t="s">
        <v>2194</v>
      </c>
      <c r="G471" t="s">
        <v>87</v>
      </c>
      <c r="H471" t="s">
        <v>41</v>
      </c>
      <c r="I471" s="1" t="s">
        <v>28</v>
      </c>
      <c r="J471" t="s">
        <v>64</v>
      </c>
      <c r="K471" t="s">
        <v>65</v>
      </c>
      <c r="L471" s="1">
        <v>464259</v>
      </c>
      <c r="M471" s="1" t="s">
        <v>66</v>
      </c>
      <c r="N471" t="s">
        <v>2195</v>
      </c>
      <c r="O471" t="s">
        <v>32</v>
      </c>
      <c r="P471" t="s">
        <v>33</v>
      </c>
      <c r="Q471" t="s">
        <v>34</v>
      </c>
      <c r="R471">
        <v>89549.41</v>
      </c>
      <c r="S471" s="25" t="e">
        <f>IF(Table1[[#This Row],[Sales]]=MIN(Table1[Sales]), Table1[[#This Row],[Sales]], NA())</f>
        <v>#N/A</v>
      </c>
      <c r="T471" s="25">
        <f>IF(AND(Table1[[#This Row],[Sales]]&lt;&gt;MIN(Table1[Sales]),Table1[[#This Row],[Sales]]&lt;&gt;MAX(Table1[Sales])), Table1[[#This Row],[Sales]], NA())</f>
        <v>89549.41</v>
      </c>
      <c r="U471" s="25" t="e">
        <f>IF(Table1[[#This Row],[Sales]]=MAX(Table1[Sales]), Table1[[#This Row],[Sales]], NA())</f>
        <v>#N/A</v>
      </c>
      <c r="V471">
        <v>1</v>
      </c>
      <c r="W471">
        <v>0.1</v>
      </c>
      <c r="X471">
        <v>4925.22</v>
      </c>
      <c r="Y471" s="3">
        <f>YEAR(Table1[[#This Row],[Order Date]])</f>
        <v>2025</v>
      </c>
      <c r="Z471" s="3" t="str">
        <f>TEXT(Table1[[#This Row],[Order Date]],"MMM")</f>
        <v>Jul</v>
      </c>
      <c r="AA471" s="3">
        <f>DAY(Table1[[#This Row],[Order Date]])</f>
        <v>11</v>
      </c>
    </row>
    <row r="472" spans="1:27" x14ac:dyDescent="0.35">
      <c r="A472" s="1">
        <v>471</v>
      </c>
      <c r="B472" s="1" t="s">
        <v>2196</v>
      </c>
      <c r="C472" s="1" t="s">
        <v>271</v>
      </c>
      <c r="D472" s="1" t="s">
        <v>2197</v>
      </c>
      <c r="E472" t="s">
        <v>24</v>
      </c>
      <c r="F472" t="s">
        <v>2198</v>
      </c>
      <c r="G472" t="s">
        <v>26</v>
      </c>
      <c r="H472" t="s">
        <v>94</v>
      </c>
      <c r="I472" s="1" t="s">
        <v>28</v>
      </c>
      <c r="J472" t="s">
        <v>64</v>
      </c>
      <c r="K472" t="s">
        <v>65</v>
      </c>
      <c r="L472" s="1">
        <v>729101</v>
      </c>
      <c r="M472" s="1" t="s">
        <v>66</v>
      </c>
      <c r="N472" t="s">
        <v>2199</v>
      </c>
      <c r="O472" t="s">
        <v>46</v>
      </c>
      <c r="P472" t="s">
        <v>57</v>
      </c>
      <c r="Q472" t="s">
        <v>58</v>
      </c>
      <c r="R472">
        <v>53397.61</v>
      </c>
      <c r="S472" s="25" t="e">
        <f>IF(Table1[[#This Row],[Sales]]=MIN(Table1[Sales]), Table1[[#This Row],[Sales]], NA())</f>
        <v>#N/A</v>
      </c>
      <c r="T472" s="25">
        <f>IF(AND(Table1[[#This Row],[Sales]]&lt;&gt;MIN(Table1[Sales]),Table1[[#This Row],[Sales]]&lt;&gt;MAX(Table1[Sales])), Table1[[#This Row],[Sales]], NA())</f>
        <v>53397.61</v>
      </c>
      <c r="U472" s="25" t="e">
        <f>IF(Table1[[#This Row],[Sales]]=MAX(Table1[Sales]), Table1[[#This Row],[Sales]], NA())</f>
        <v>#N/A</v>
      </c>
      <c r="V472">
        <v>8</v>
      </c>
      <c r="W472">
        <v>0.1</v>
      </c>
      <c r="X472">
        <v>2936.87</v>
      </c>
      <c r="Y472" s="3">
        <f>YEAR(Table1[[#This Row],[Order Date]])</f>
        <v>2025</v>
      </c>
      <c r="Z472" s="3" t="str">
        <f>TEXT(Table1[[#This Row],[Order Date]],"MMM")</f>
        <v>Oct</v>
      </c>
      <c r="AA472" s="3">
        <f>DAY(Table1[[#This Row],[Order Date]])</f>
        <v>29</v>
      </c>
    </row>
    <row r="473" spans="1:27" x14ac:dyDescent="0.35">
      <c r="A473" s="1">
        <v>472</v>
      </c>
      <c r="B473" s="1" t="s">
        <v>2200</v>
      </c>
      <c r="C473" s="1" t="s">
        <v>505</v>
      </c>
      <c r="D473" s="1" t="s">
        <v>2201</v>
      </c>
      <c r="E473" t="s">
        <v>38</v>
      </c>
      <c r="F473" t="s">
        <v>2202</v>
      </c>
      <c r="G473" t="s">
        <v>93</v>
      </c>
      <c r="H473" t="s">
        <v>94</v>
      </c>
      <c r="I473" s="1" t="s">
        <v>28</v>
      </c>
      <c r="J473" t="s">
        <v>53</v>
      </c>
      <c r="K473" t="s">
        <v>54</v>
      </c>
      <c r="L473" s="1">
        <v>697035</v>
      </c>
      <c r="M473" s="1" t="s">
        <v>55</v>
      </c>
      <c r="N473" t="s">
        <v>2203</v>
      </c>
      <c r="O473" t="s">
        <v>68</v>
      </c>
      <c r="P473" t="s">
        <v>69</v>
      </c>
      <c r="Q473" t="s">
        <v>70</v>
      </c>
      <c r="R473">
        <v>6506.91</v>
      </c>
      <c r="S473" s="25" t="e">
        <f>IF(Table1[[#This Row],[Sales]]=MIN(Table1[Sales]), Table1[[#This Row],[Sales]], NA())</f>
        <v>#N/A</v>
      </c>
      <c r="T473" s="25">
        <f>IF(AND(Table1[[#This Row],[Sales]]&lt;&gt;MIN(Table1[Sales]),Table1[[#This Row],[Sales]]&lt;&gt;MAX(Table1[Sales])), Table1[[#This Row],[Sales]], NA())</f>
        <v>6506.91</v>
      </c>
      <c r="U473" s="25" t="e">
        <f>IF(Table1[[#This Row],[Sales]]=MAX(Table1[Sales]), Table1[[#This Row],[Sales]], NA())</f>
        <v>#N/A</v>
      </c>
      <c r="V473">
        <v>5</v>
      </c>
      <c r="W473">
        <v>0.2</v>
      </c>
      <c r="X473">
        <v>195.21</v>
      </c>
      <c r="Y473" s="3">
        <f>YEAR(Table1[[#This Row],[Order Date]])</f>
        <v>2023</v>
      </c>
      <c r="Z473" s="3" t="str">
        <f>TEXT(Table1[[#This Row],[Order Date]],"MMM")</f>
        <v>Jul</v>
      </c>
      <c r="AA473" s="3">
        <f>DAY(Table1[[#This Row],[Order Date]])</f>
        <v>30</v>
      </c>
    </row>
    <row r="474" spans="1:27" x14ac:dyDescent="0.35">
      <c r="A474" s="1">
        <v>473</v>
      </c>
      <c r="B474" s="1" t="s">
        <v>2204</v>
      </c>
      <c r="C474" s="1" t="s">
        <v>2205</v>
      </c>
      <c r="D474" s="1" t="s">
        <v>1319</v>
      </c>
      <c r="E474" t="s">
        <v>115</v>
      </c>
      <c r="F474" t="s">
        <v>2206</v>
      </c>
      <c r="G474" t="s">
        <v>75</v>
      </c>
      <c r="H474" t="s">
        <v>94</v>
      </c>
      <c r="I474" s="1" t="s">
        <v>28</v>
      </c>
      <c r="J474" t="s">
        <v>42</v>
      </c>
      <c r="K474" t="s">
        <v>43</v>
      </c>
      <c r="L474" s="1">
        <v>103437</v>
      </c>
      <c r="M474" s="1" t="s">
        <v>44</v>
      </c>
      <c r="N474" t="s">
        <v>2207</v>
      </c>
      <c r="O474" t="s">
        <v>46</v>
      </c>
      <c r="P474" t="s">
        <v>57</v>
      </c>
      <c r="Q474" t="s">
        <v>58</v>
      </c>
      <c r="R474">
        <v>51447.53</v>
      </c>
      <c r="S474" s="25" t="e">
        <f>IF(Table1[[#This Row],[Sales]]=MIN(Table1[Sales]), Table1[[#This Row],[Sales]], NA())</f>
        <v>#N/A</v>
      </c>
      <c r="T474" s="25">
        <f>IF(AND(Table1[[#This Row],[Sales]]&lt;&gt;MIN(Table1[Sales]),Table1[[#This Row],[Sales]]&lt;&gt;MAX(Table1[Sales])), Table1[[#This Row],[Sales]], NA())</f>
        <v>51447.53</v>
      </c>
      <c r="U474" s="25" t="e">
        <f>IF(Table1[[#This Row],[Sales]]=MAX(Table1[Sales]), Table1[[#This Row],[Sales]], NA())</f>
        <v>#N/A</v>
      </c>
      <c r="V474">
        <v>10</v>
      </c>
      <c r="W474">
        <v>0.1</v>
      </c>
      <c r="X474">
        <v>2829.61</v>
      </c>
      <c r="Y474" s="3">
        <f>YEAR(Table1[[#This Row],[Order Date]])</f>
        <v>2021</v>
      </c>
      <c r="Z474" s="3" t="str">
        <f>TEXT(Table1[[#This Row],[Order Date]],"MMM")</f>
        <v>Sep</v>
      </c>
      <c r="AA474" s="3">
        <f>DAY(Table1[[#This Row],[Order Date]])</f>
        <v>8</v>
      </c>
    </row>
    <row r="475" spans="1:27" x14ac:dyDescent="0.35">
      <c r="A475" s="1">
        <v>474</v>
      </c>
      <c r="B475" s="1" t="s">
        <v>2208</v>
      </c>
      <c r="C475" s="1" t="s">
        <v>2209</v>
      </c>
      <c r="D475" s="1" t="s">
        <v>2210</v>
      </c>
      <c r="E475" t="s">
        <v>115</v>
      </c>
      <c r="F475" t="s">
        <v>2211</v>
      </c>
      <c r="G475" t="s">
        <v>87</v>
      </c>
      <c r="H475" t="s">
        <v>94</v>
      </c>
      <c r="I475" s="1" t="s">
        <v>28</v>
      </c>
      <c r="J475" t="s">
        <v>29</v>
      </c>
      <c r="K475" t="s">
        <v>29</v>
      </c>
      <c r="L475" s="1">
        <v>721739</v>
      </c>
      <c r="M475" s="1" t="s">
        <v>30</v>
      </c>
      <c r="N475" t="s">
        <v>2212</v>
      </c>
      <c r="O475" t="s">
        <v>68</v>
      </c>
      <c r="P475" t="s">
        <v>69</v>
      </c>
      <c r="Q475" t="s">
        <v>70</v>
      </c>
      <c r="R475">
        <v>20495.05</v>
      </c>
      <c r="S475" s="25" t="e">
        <f>IF(Table1[[#This Row],[Sales]]=MIN(Table1[Sales]), Table1[[#This Row],[Sales]], NA())</f>
        <v>#N/A</v>
      </c>
      <c r="T475" s="25">
        <f>IF(AND(Table1[[#This Row],[Sales]]&lt;&gt;MIN(Table1[Sales]),Table1[[#This Row],[Sales]]&lt;&gt;MAX(Table1[Sales])), Table1[[#This Row],[Sales]], NA())</f>
        <v>20495.05</v>
      </c>
      <c r="U475" s="25" t="e">
        <f>IF(Table1[[#This Row],[Sales]]=MAX(Table1[Sales]), Table1[[#This Row],[Sales]], NA())</f>
        <v>#N/A</v>
      </c>
      <c r="V475">
        <v>5</v>
      </c>
      <c r="W475">
        <v>0</v>
      </c>
      <c r="X475">
        <v>1639.6</v>
      </c>
      <c r="Y475" s="3">
        <f>YEAR(Table1[[#This Row],[Order Date]])</f>
        <v>2022</v>
      </c>
      <c r="Z475" s="3" t="str">
        <f>TEXT(Table1[[#This Row],[Order Date]],"MMM")</f>
        <v>Jan</v>
      </c>
      <c r="AA475" s="3">
        <f>DAY(Table1[[#This Row],[Order Date]])</f>
        <v>6</v>
      </c>
    </row>
    <row r="476" spans="1:27" x14ac:dyDescent="0.35">
      <c r="A476" s="1">
        <v>475</v>
      </c>
      <c r="B476" s="1" t="s">
        <v>2213</v>
      </c>
      <c r="C476" s="1" t="s">
        <v>2214</v>
      </c>
      <c r="D476" s="1" t="s">
        <v>1067</v>
      </c>
      <c r="E476" t="s">
        <v>62</v>
      </c>
      <c r="F476" t="s">
        <v>2215</v>
      </c>
      <c r="G476" t="s">
        <v>140</v>
      </c>
      <c r="H476" t="s">
        <v>27</v>
      </c>
      <c r="I476" s="1" t="s">
        <v>28</v>
      </c>
      <c r="J476" t="s">
        <v>29</v>
      </c>
      <c r="K476" t="s">
        <v>29</v>
      </c>
      <c r="L476" s="1">
        <v>550764</v>
      </c>
      <c r="M476" s="1" t="s">
        <v>30</v>
      </c>
      <c r="N476" t="s">
        <v>2216</v>
      </c>
      <c r="O476" t="s">
        <v>46</v>
      </c>
      <c r="P476" t="s">
        <v>57</v>
      </c>
      <c r="Q476" t="s">
        <v>58</v>
      </c>
      <c r="R476">
        <v>91468.44</v>
      </c>
      <c r="S476" s="25" t="e">
        <f>IF(Table1[[#This Row],[Sales]]=MIN(Table1[Sales]), Table1[[#This Row],[Sales]], NA())</f>
        <v>#N/A</v>
      </c>
      <c r="T476" s="25">
        <f>IF(AND(Table1[[#This Row],[Sales]]&lt;&gt;MIN(Table1[Sales]),Table1[[#This Row],[Sales]]&lt;&gt;MAX(Table1[Sales])), Table1[[#This Row],[Sales]], NA())</f>
        <v>91468.44</v>
      </c>
      <c r="U476" s="25" t="e">
        <f>IF(Table1[[#This Row],[Sales]]=MAX(Table1[Sales]), Table1[[#This Row],[Sales]], NA())</f>
        <v>#N/A</v>
      </c>
      <c r="V476">
        <v>3</v>
      </c>
      <c r="W476">
        <v>0.1</v>
      </c>
      <c r="X476">
        <v>5030.76</v>
      </c>
      <c r="Y476" s="3">
        <f>YEAR(Table1[[#This Row],[Order Date]])</f>
        <v>2021</v>
      </c>
      <c r="Z476" s="3" t="str">
        <f>TEXT(Table1[[#This Row],[Order Date]],"MMM")</f>
        <v>Dec</v>
      </c>
      <c r="AA476" s="3">
        <f>DAY(Table1[[#This Row],[Order Date]])</f>
        <v>15</v>
      </c>
    </row>
    <row r="477" spans="1:27" x14ac:dyDescent="0.35">
      <c r="A477" s="1">
        <v>476</v>
      </c>
      <c r="B477" s="1" t="s">
        <v>2217</v>
      </c>
      <c r="C477" s="1" t="s">
        <v>1033</v>
      </c>
      <c r="D477" s="1" t="s">
        <v>1096</v>
      </c>
      <c r="E477" t="s">
        <v>62</v>
      </c>
      <c r="F477" t="s">
        <v>2218</v>
      </c>
      <c r="G477" t="s">
        <v>87</v>
      </c>
      <c r="H477" t="s">
        <v>94</v>
      </c>
      <c r="I477" s="1" t="s">
        <v>28</v>
      </c>
      <c r="J477" t="s">
        <v>42</v>
      </c>
      <c r="K477" t="s">
        <v>43</v>
      </c>
      <c r="L477" s="1">
        <v>404194</v>
      </c>
      <c r="M477" s="1" t="s">
        <v>44</v>
      </c>
      <c r="N477" t="s">
        <v>2219</v>
      </c>
      <c r="O477" t="s">
        <v>68</v>
      </c>
      <c r="P477" t="s">
        <v>69</v>
      </c>
      <c r="Q477" t="s">
        <v>70</v>
      </c>
      <c r="R477">
        <v>56000.6</v>
      </c>
      <c r="S477" s="25" t="e">
        <f>IF(Table1[[#This Row],[Sales]]=MIN(Table1[Sales]), Table1[[#This Row],[Sales]], NA())</f>
        <v>#N/A</v>
      </c>
      <c r="T477" s="25">
        <f>IF(AND(Table1[[#This Row],[Sales]]&lt;&gt;MIN(Table1[Sales]),Table1[[#This Row],[Sales]]&lt;&gt;MAX(Table1[Sales])), Table1[[#This Row],[Sales]], NA())</f>
        <v>56000.6</v>
      </c>
      <c r="U477" s="25" t="e">
        <f>IF(Table1[[#This Row],[Sales]]=MAX(Table1[Sales]), Table1[[#This Row],[Sales]], NA())</f>
        <v>#N/A</v>
      </c>
      <c r="V477">
        <v>6</v>
      </c>
      <c r="W477">
        <v>0.1</v>
      </c>
      <c r="X477">
        <v>3080.03</v>
      </c>
      <c r="Y477" s="3">
        <f>YEAR(Table1[[#This Row],[Order Date]])</f>
        <v>2024</v>
      </c>
      <c r="Z477" s="3" t="str">
        <f>TEXT(Table1[[#This Row],[Order Date]],"MMM")</f>
        <v>Jul</v>
      </c>
      <c r="AA477" s="3">
        <f>DAY(Table1[[#This Row],[Order Date]])</f>
        <v>25</v>
      </c>
    </row>
    <row r="478" spans="1:27" x14ac:dyDescent="0.35">
      <c r="A478" s="1">
        <v>477</v>
      </c>
      <c r="B478" s="1" t="s">
        <v>2220</v>
      </c>
      <c r="C478" s="1" t="s">
        <v>1135</v>
      </c>
      <c r="D478" s="1" t="s">
        <v>1155</v>
      </c>
      <c r="E478" t="s">
        <v>38</v>
      </c>
      <c r="F478" t="s">
        <v>2221</v>
      </c>
      <c r="G478" t="s">
        <v>75</v>
      </c>
      <c r="H478" t="s">
        <v>94</v>
      </c>
      <c r="I478" s="1" t="s">
        <v>28</v>
      </c>
      <c r="J478" t="s">
        <v>64</v>
      </c>
      <c r="K478" t="s">
        <v>65</v>
      </c>
      <c r="L478" s="1">
        <v>332400</v>
      </c>
      <c r="M478" s="1" t="s">
        <v>66</v>
      </c>
      <c r="N478" t="s">
        <v>2222</v>
      </c>
      <c r="O478" t="s">
        <v>68</v>
      </c>
      <c r="P478" t="s">
        <v>69</v>
      </c>
      <c r="Q478" t="s">
        <v>70</v>
      </c>
      <c r="R478">
        <v>86141.67</v>
      </c>
      <c r="S478" s="25" t="e">
        <f>IF(Table1[[#This Row],[Sales]]=MIN(Table1[Sales]), Table1[[#This Row],[Sales]], NA())</f>
        <v>#N/A</v>
      </c>
      <c r="T478" s="25">
        <f>IF(AND(Table1[[#This Row],[Sales]]&lt;&gt;MIN(Table1[Sales]),Table1[[#This Row],[Sales]]&lt;&gt;MAX(Table1[Sales])), Table1[[#This Row],[Sales]], NA())</f>
        <v>86141.67</v>
      </c>
      <c r="U478" s="25" t="e">
        <f>IF(Table1[[#This Row],[Sales]]=MAX(Table1[Sales]), Table1[[#This Row],[Sales]], NA())</f>
        <v>#N/A</v>
      </c>
      <c r="V478">
        <v>10</v>
      </c>
      <c r="W478">
        <v>0.2</v>
      </c>
      <c r="X478">
        <v>2584.25</v>
      </c>
      <c r="Y478" s="3">
        <f>YEAR(Table1[[#This Row],[Order Date]])</f>
        <v>2025</v>
      </c>
      <c r="Z478" s="3" t="str">
        <f>TEXT(Table1[[#This Row],[Order Date]],"MMM")</f>
        <v>May</v>
      </c>
      <c r="AA478" s="3">
        <f>DAY(Table1[[#This Row],[Order Date]])</f>
        <v>2</v>
      </c>
    </row>
    <row r="479" spans="1:27" x14ac:dyDescent="0.35">
      <c r="A479" s="1">
        <v>478</v>
      </c>
      <c r="B479" s="1" t="s">
        <v>2223</v>
      </c>
      <c r="C479" s="1" t="s">
        <v>2224</v>
      </c>
      <c r="D479" s="1" t="s">
        <v>1489</v>
      </c>
      <c r="E479" t="s">
        <v>115</v>
      </c>
      <c r="F479" t="s">
        <v>2225</v>
      </c>
      <c r="G479" t="s">
        <v>40</v>
      </c>
      <c r="H479" t="s">
        <v>41</v>
      </c>
      <c r="I479" s="1" t="s">
        <v>28</v>
      </c>
      <c r="J479" t="s">
        <v>42</v>
      </c>
      <c r="K479" t="s">
        <v>43</v>
      </c>
      <c r="L479" s="1">
        <v>167909</v>
      </c>
      <c r="M479" s="1" t="s">
        <v>44</v>
      </c>
      <c r="N479" t="s">
        <v>2226</v>
      </c>
      <c r="O479" t="s">
        <v>68</v>
      </c>
      <c r="P479" t="s">
        <v>69</v>
      </c>
      <c r="Q479" t="s">
        <v>70</v>
      </c>
      <c r="R479">
        <v>45277.19</v>
      </c>
      <c r="S479" s="25" t="e">
        <f>IF(Table1[[#This Row],[Sales]]=MIN(Table1[Sales]), Table1[[#This Row],[Sales]], NA())</f>
        <v>#N/A</v>
      </c>
      <c r="T479" s="25">
        <f>IF(AND(Table1[[#This Row],[Sales]]&lt;&gt;MIN(Table1[Sales]),Table1[[#This Row],[Sales]]&lt;&gt;MAX(Table1[Sales])), Table1[[#This Row],[Sales]], NA())</f>
        <v>45277.19</v>
      </c>
      <c r="U479" s="25" t="e">
        <f>IF(Table1[[#This Row],[Sales]]=MAX(Table1[Sales]), Table1[[#This Row],[Sales]], NA())</f>
        <v>#N/A</v>
      </c>
      <c r="V479">
        <v>2</v>
      </c>
      <c r="W479">
        <v>0</v>
      </c>
      <c r="X479">
        <v>3622.18</v>
      </c>
      <c r="Y479" s="3">
        <f>YEAR(Table1[[#This Row],[Order Date]])</f>
        <v>2024</v>
      </c>
      <c r="Z479" s="3" t="str">
        <f>TEXT(Table1[[#This Row],[Order Date]],"MMM")</f>
        <v>Sep</v>
      </c>
      <c r="AA479" s="3">
        <f>DAY(Table1[[#This Row],[Order Date]])</f>
        <v>20</v>
      </c>
    </row>
    <row r="480" spans="1:27" x14ac:dyDescent="0.35">
      <c r="A480" s="1">
        <v>479</v>
      </c>
      <c r="B480" s="1" t="s">
        <v>2227</v>
      </c>
      <c r="C480" s="1" t="s">
        <v>2228</v>
      </c>
      <c r="D480" s="1" t="s">
        <v>2229</v>
      </c>
      <c r="E480" t="s">
        <v>24</v>
      </c>
      <c r="F480" t="s">
        <v>2230</v>
      </c>
      <c r="G480" t="s">
        <v>93</v>
      </c>
      <c r="H480" t="s">
        <v>94</v>
      </c>
      <c r="I480" s="1" t="s">
        <v>28</v>
      </c>
      <c r="J480" t="s">
        <v>53</v>
      </c>
      <c r="K480" t="s">
        <v>54</v>
      </c>
      <c r="L480" s="1">
        <v>194977</v>
      </c>
      <c r="M480" s="1" t="s">
        <v>55</v>
      </c>
      <c r="N480" t="s">
        <v>2231</v>
      </c>
      <c r="O480" t="s">
        <v>46</v>
      </c>
      <c r="P480" t="s">
        <v>57</v>
      </c>
      <c r="Q480" t="s">
        <v>58</v>
      </c>
      <c r="R480">
        <v>67917.39</v>
      </c>
      <c r="S480" s="25" t="e">
        <f>IF(Table1[[#This Row],[Sales]]=MIN(Table1[Sales]), Table1[[#This Row],[Sales]], NA())</f>
        <v>#N/A</v>
      </c>
      <c r="T480" s="25">
        <f>IF(AND(Table1[[#This Row],[Sales]]&lt;&gt;MIN(Table1[Sales]),Table1[[#This Row],[Sales]]&lt;&gt;MAX(Table1[Sales])), Table1[[#This Row],[Sales]], NA())</f>
        <v>67917.39</v>
      </c>
      <c r="U480" s="25" t="e">
        <f>IF(Table1[[#This Row],[Sales]]=MAX(Table1[Sales]), Table1[[#This Row],[Sales]], NA())</f>
        <v>#N/A</v>
      </c>
      <c r="V480">
        <v>7</v>
      </c>
      <c r="W480">
        <v>0.2</v>
      </c>
      <c r="X480">
        <v>2037.52</v>
      </c>
      <c r="Y480" s="3">
        <f>YEAR(Table1[[#This Row],[Order Date]])</f>
        <v>2022</v>
      </c>
      <c r="Z480" s="3" t="str">
        <f>TEXT(Table1[[#This Row],[Order Date]],"MMM")</f>
        <v>Nov</v>
      </c>
      <c r="AA480" s="3">
        <f>DAY(Table1[[#This Row],[Order Date]])</f>
        <v>10</v>
      </c>
    </row>
    <row r="481" spans="1:27" x14ac:dyDescent="0.35">
      <c r="A481" s="1">
        <v>480</v>
      </c>
      <c r="B481" s="1" t="s">
        <v>2232</v>
      </c>
      <c r="C481" s="1" t="s">
        <v>2233</v>
      </c>
      <c r="D481" s="1" t="s">
        <v>2234</v>
      </c>
      <c r="E481" t="s">
        <v>38</v>
      </c>
      <c r="F481" t="s">
        <v>2235</v>
      </c>
      <c r="G481" t="s">
        <v>140</v>
      </c>
      <c r="H481" t="s">
        <v>94</v>
      </c>
      <c r="I481" s="1" t="s">
        <v>28</v>
      </c>
      <c r="J481" t="s">
        <v>42</v>
      </c>
      <c r="K481" t="s">
        <v>43</v>
      </c>
      <c r="L481" s="1">
        <v>333327</v>
      </c>
      <c r="M481" s="1" t="s">
        <v>44</v>
      </c>
      <c r="N481" t="s">
        <v>2236</v>
      </c>
      <c r="O481" t="s">
        <v>32</v>
      </c>
      <c r="P481" t="s">
        <v>33</v>
      </c>
      <c r="Q481" t="s">
        <v>34</v>
      </c>
      <c r="R481">
        <v>19610.66</v>
      </c>
      <c r="S481" s="25" t="e">
        <f>IF(Table1[[#This Row],[Sales]]=MIN(Table1[Sales]), Table1[[#This Row],[Sales]], NA())</f>
        <v>#N/A</v>
      </c>
      <c r="T481" s="25">
        <f>IF(AND(Table1[[#This Row],[Sales]]&lt;&gt;MIN(Table1[Sales]),Table1[[#This Row],[Sales]]&lt;&gt;MAX(Table1[Sales])), Table1[[#This Row],[Sales]], NA())</f>
        <v>19610.66</v>
      </c>
      <c r="U481" s="25" t="e">
        <f>IF(Table1[[#This Row],[Sales]]=MAX(Table1[Sales]), Table1[[#This Row],[Sales]], NA())</f>
        <v>#N/A</v>
      </c>
      <c r="V481">
        <v>2</v>
      </c>
      <c r="W481">
        <v>0.1</v>
      </c>
      <c r="X481">
        <v>1078.5899999999999</v>
      </c>
      <c r="Y481" s="3">
        <f>YEAR(Table1[[#This Row],[Order Date]])</f>
        <v>2024</v>
      </c>
      <c r="Z481" s="3" t="str">
        <f>TEXT(Table1[[#This Row],[Order Date]],"MMM")</f>
        <v>Aug</v>
      </c>
      <c r="AA481" s="3">
        <f>DAY(Table1[[#This Row],[Order Date]])</f>
        <v>29</v>
      </c>
    </row>
    <row r="482" spans="1:27" x14ac:dyDescent="0.35">
      <c r="A482" s="1">
        <v>481</v>
      </c>
      <c r="B482" s="1" t="s">
        <v>2237</v>
      </c>
      <c r="C482" s="1" t="s">
        <v>331</v>
      </c>
      <c r="D482" s="1" t="s">
        <v>2224</v>
      </c>
      <c r="E482" t="s">
        <v>62</v>
      </c>
      <c r="F482" t="s">
        <v>2238</v>
      </c>
      <c r="G482" t="s">
        <v>26</v>
      </c>
      <c r="H482" t="s">
        <v>41</v>
      </c>
      <c r="I482" s="1" t="s">
        <v>28</v>
      </c>
      <c r="J482" t="s">
        <v>64</v>
      </c>
      <c r="K482" t="s">
        <v>65</v>
      </c>
      <c r="L482" s="1">
        <v>835037</v>
      </c>
      <c r="M482" s="1" t="s">
        <v>66</v>
      </c>
      <c r="N482" t="s">
        <v>2239</v>
      </c>
      <c r="O482" t="s">
        <v>46</v>
      </c>
      <c r="P482" t="s">
        <v>57</v>
      </c>
      <c r="Q482" t="s">
        <v>58</v>
      </c>
      <c r="R482">
        <v>70503.520000000004</v>
      </c>
      <c r="S482" s="25" t="e">
        <f>IF(Table1[[#This Row],[Sales]]=MIN(Table1[Sales]), Table1[[#This Row],[Sales]], NA())</f>
        <v>#N/A</v>
      </c>
      <c r="T482" s="25">
        <f>IF(AND(Table1[[#This Row],[Sales]]&lt;&gt;MIN(Table1[Sales]),Table1[[#This Row],[Sales]]&lt;&gt;MAX(Table1[Sales])), Table1[[#This Row],[Sales]], NA())</f>
        <v>70503.520000000004</v>
      </c>
      <c r="U482" s="25" t="e">
        <f>IF(Table1[[#This Row],[Sales]]=MAX(Table1[Sales]), Table1[[#This Row],[Sales]], NA())</f>
        <v>#N/A</v>
      </c>
      <c r="V482">
        <v>3</v>
      </c>
      <c r="W482">
        <v>0.1</v>
      </c>
      <c r="X482">
        <v>3877.69</v>
      </c>
      <c r="Y482" s="3">
        <f>YEAR(Table1[[#This Row],[Order Date]])</f>
        <v>2024</v>
      </c>
      <c r="Z482" s="3" t="str">
        <f>TEXT(Table1[[#This Row],[Order Date]],"MMM")</f>
        <v>Sep</v>
      </c>
      <c r="AA482" s="3">
        <f>DAY(Table1[[#This Row],[Order Date]])</f>
        <v>17</v>
      </c>
    </row>
    <row r="483" spans="1:27" x14ac:dyDescent="0.35">
      <c r="A483" s="1">
        <v>482</v>
      </c>
      <c r="B483" s="1" t="s">
        <v>2240</v>
      </c>
      <c r="C483" s="1" t="s">
        <v>2241</v>
      </c>
      <c r="D483" s="1" t="s">
        <v>2242</v>
      </c>
      <c r="E483" t="s">
        <v>62</v>
      </c>
      <c r="F483" t="s">
        <v>2243</v>
      </c>
      <c r="G483" t="s">
        <v>140</v>
      </c>
      <c r="H483" t="s">
        <v>41</v>
      </c>
      <c r="I483" s="1" t="s">
        <v>28</v>
      </c>
      <c r="J483" t="s">
        <v>42</v>
      </c>
      <c r="K483" t="s">
        <v>43</v>
      </c>
      <c r="L483" s="1">
        <v>883579</v>
      </c>
      <c r="M483" s="1" t="s">
        <v>44</v>
      </c>
      <c r="N483" t="s">
        <v>2244</v>
      </c>
      <c r="O483" t="s">
        <v>68</v>
      </c>
      <c r="P483" t="s">
        <v>69</v>
      </c>
      <c r="Q483" t="s">
        <v>70</v>
      </c>
      <c r="R483">
        <v>51229.36</v>
      </c>
      <c r="S483" s="25" t="e">
        <f>IF(Table1[[#This Row],[Sales]]=MIN(Table1[Sales]), Table1[[#This Row],[Sales]], NA())</f>
        <v>#N/A</v>
      </c>
      <c r="T483" s="25">
        <f>IF(AND(Table1[[#This Row],[Sales]]&lt;&gt;MIN(Table1[Sales]),Table1[[#This Row],[Sales]]&lt;&gt;MAX(Table1[Sales])), Table1[[#This Row],[Sales]], NA())</f>
        <v>51229.36</v>
      </c>
      <c r="U483" s="25" t="e">
        <f>IF(Table1[[#This Row],[Sales]]=MAX(Table1[Sales]), Table1[[#This Row],[Sales]], NA())</f>
        <v>#N/A</v>
      </c>
      <c r="V483">
        <v>8</v>
      </c>
      <c r="W483">
        <v>0.2</v>
      </c>
      <c r="X483">
        <v>1536.88</v>
      </c>
      <c r="Y483" s="3">
        <f>YEAR(Table1[[#This Row],[Order Date]])</f>
        <v>2023</v>
      </c>
      <c r="Z483" s="3" t="str">
        <f>TEXT(Table1[[#This Row],[Order Date]],"MMM")</f>
        <v>Jul</v>
      </c>
      <c r="AA483" s="3">
        <f>DAY(Table1[[#This Row],[Order Date]])</f>
        <v>21</v>
      </c>
    </row>
    <row r="484" spans="1:27" x14ac:dyDescent="0.35">
      <c r="A484" s="1">
        <v>483</v>
      </c>
      <c r="B484" s="1" t="s">
        <v>2245</v>
      </c>
      <c r="C484" s="1" t="s">
        <v>2246</v>
      </c>
      <c r="D484" s="1" t="s">
        <v>2247</v>
      </c>
      <c r="E484" t="s">
        <v>24</v>
      </c>
      <c r="F484" t="s">
        <v>2248</v>
      </c>
      <c r="G484" t="s">
        <v>188</v>
      </c>
      <c r="H484" t="s">
        <v>94</v>
      </c>
      <c r="I484" s="1" t="s">
        <v>28</v>
      </c>
      <c r="J484" t="s">
        <v>128</v>
      </c>
      <c r="K484" t="s">
        <v>129</v>
      </c>
      <c r="L484" s="1">
        <v>698008</v>
      </c>
      <c r="M484" s="1" t="s">
        <v>66</v>
      </c>
      <c r="N484" t="s">
        <v>2249</v>
      </c>
      <c r="O484" t="s">
        <v>46</v>
      </c>
      <c r="P484" t="s">
        <v>57</v>
      </c>
      <c r="Q484" t="s">
        <v>58</v>
      </c>
      <c r="R484">
        <v>67332.77</v>
      </c>
      <c r="S484" s="25" t="e">
        <f>IF(Table1[[#This Row],[Sales]]=MIN(Table1[Sales]), Table1[[#This Row],[Sales]], NA())</f>
        <v>#N/A</v>
      </c>
      <c r="T484" s="25">
        <f>IF(AND(Table1[[#This Row],[Sales]]&lt;&gt;MIN(Table1[Sales]),Table1[[#This Row],[Sales]]&lt;&gt;MAX(Table1[Sales])), Table1[[#This Row],[Sales]], NA())</f>
        <v>67332.77</v>
      </c>
      <c r="U484" s="25" t="e">
        <f>IF(Table1[[#This Row],[Sales]]=MAX(Table1[Sales]), Table1[[#This Row],[Sales]], NA())</f>
        <v>#N/A</v>
      </c>
      <c r="V484">
        <v>5</v>
      </c>
      <c r="W484">
        <v>0</v>
      </c>
      <c r="X484">
        <v>5386.62</v>
      </c>
      <c r="Y484" s="3">
        <f>YEAR(Table1[[#This Row],[Order Date]])</f>
        <v>2023</v>
      </c>
      <c r="Z484" s="3" t="str">
        <f>TEXT(Table1[[#This Row],[Order Date]],"MMM")</f>
        <v>May</v>
      </c>
      <c r="AA484" s="3">
        <f>DAY(Table1[[#This Row],[Order Date]])</f>
        <v>6</v>
      </c>
    </row>
    <row r="485" spans="1:27" x14ac:dyDescent="0.35">
      <c r="A485" s="1">
        <v>484</v>
      </c>
      <c r="B485" s="1" t="s">
        <v>2250</v>
      </c>
      <c r="C485" s="1" t="s">
        <v>2251</v>
      </c>
      <c r="D485" s="1" t="s">
        <v>2252</v>
      </c>
      <c r="E485" t="s">
        <v>38</v>
      </c>
      <c r="F485" t="s">
        <v>2253</v>
      </c>
      <c r="G485" t="s">
        <v>81</v>
      </c>
      <c r="H485" t="s">
        <v>94</v>
      </c>
      <c r="I485" s="1" t="s">
        <v>28</v>
      </c>
      <c r="J485" t="s">
        <v>128</v>
      </c>
      <c r="K485" t="s">
        <v>129</v>
      </c>
      <c r="L485" s="1">
        <v>237090</v>
      </c>
      <c r="M485" s="1" t="s">
        <v>66</v>
      </c>
      <c r="N485" t="s">
        <v>2254</v>
      </c>
      <c r="O485" t="s">
        <v>68</v>
      </c>
      <c r="P485" t="s">
        <v>69</v>
      </c>
      <c r="Q485" t="s">
        <v>70</v>
      </c>
      <c r="R485">
        <v>74987.05</v>
      </c>
      <c r="S485" s="25" t="e">
        <f>IF(Table1[[#This Row],[Sales]]=MIN(Table1[Sales]), Table1[[#This Row],[Sales]], NA())</f>
        <v>#N/A</v>
      </c>
      <c r="T485" s="25">
        <f>IF(AND(Table1[[#This Row],[Sales]]&lt;&gt;MIN(Table1[Sales]),Table1[[#This Row],[Sales]]&lt;&gt;MAX(Table1[Sales])), Table1[[#This Row],[Sales]], NA())</f>
        <v>74987.05</v>
      </c>
      <c r="U485" s="25" t="e">
        <f>IF(Table1[[#This Row],[Sales]]=MAX(Table1[Sales]), Table1[[#This Row],[Sales]], NA())</f>
        <v>#N/A</v>
      </c>
      <c r="V485">
        <v>1</v>
      </c>
      <c r="W485">
        <v>0</v>
      </c>
      <c r="X485">
        <v>5998.96</v>
      </c>
      <c r="Y485" s="3">
        <f>YEAR(Table1[[#This Row],[Order Date]])</f>
        <v>2025</v>
      </c>
      <c r="Z485" s="3" t="str">
        <f>TEXT(Table1[[#This Row],[Order Date]],"MMM")</f>
        <v>Sep</v>
      </c>
      <c r="AA485" s="3">
        <f>DAY(Table1[[#This Row],[Order Date]])</f>
        <v>22</v>
      </c>
    </row>
    <row r="486" spans="1:27" x14ac:dyDescent="0.35">
      <c r="A486" s="1">
        <v>485</v>
      </c>
      <c r="B486" s="1" t="s">
        <v>2255</v>
      </c>
      <c r="C486" s="1" t="s">
        <v>2256</v>
      </c>
      <c r="D486" s="1" t="s">
        <v>2257</v>
      </c>
      <c r="E486" t="s">
        <v>38</v>
      </c>
      <c r="F486" t="s">
        <v>2258</v>
      </c>
      <c r="G486" t="s">
        <v>75</v>
      </c>
      <c r="H486" t="s">
        <v>41</v>
      </c>
      <c r="I486" s="1" t="s">
        <v>28</v>
      </c>
      <c r="J486" t="s">
        <v>128</v>
      </c>
      <c r="K486" t="s">
        <v>129</v>
      </c>
      <c r="L486" s="1">
        <v>201809</v>
      </c>
      <c r="M486" s="1" t="s">
        <v>66</v>
      </c>
      <c r="N486" t="s">
        <v>2259</v>
      </c>
      <c r="O486" t="s">
        <v>46</v>
      </c>
      <c r="P486" t="s">
        <v>47</v>
      </c>
      <c r="Q486" t="s">
        <v>48</v>
      </c>
      <c r="R486">
        <v>56749.64</v>
      </c>
      <c r="S486" s="25" t="e">
        <f>IF(Table1[[#This Row],[Sales]]=MIN(Table1[Sales]), Table1[[#This Row],[Sales]], NA())</f>
        <v>#N/A</v>
      </c>
      <c r="T486" s="25">
        <f>IF(AND(Table1[[#This Row],[Sales]]&lt;&gt;MIN(Table1[Sales]),Table1[[#This Row],[Sales]]&lt;&gt;MAX(Table1[Sales])), Table1[[#This Row],[Sales]], NA())</f>
        <v>56749.64</v>
      </c>
      <c r="U486" s="25" t="e">
        <f>IF(Table1[[#This Row],[Sales]]=MAX(Table1[Sales]), Table1[[#This Row],[Sales]], NA())</f>
        <v>#N/A</v>
      </c>
      <c r="V486">
        <v>5</v>
      </c>
      <c r="W486">
        <v>0</v>
      </c>
      <c r="X486">
        <v>4539.97</v>
      </c>
      <c r="Y486" s="3">
        <f>YEAR(Table1[[#This Row],[Order Date]])</f>
        <v>2022</v>
      </c>
      <c r="Z486" s="3" t="str">
        <f>TEXT(Table1[[#This Row],[Order Date]],"MMM")</f>
        <v>Feb</v>
      </c>
      <c r="AA486" s="3">
        <f>DAY(Table1[[#This Row],[Order Date]])</f>
        <v>15</v>
      </c>
    </row>
    <row r="487" spans="1:27" x14ac:dyDescent="0.35">
      <c r="A487" s="1">
        <v>486</v>
      </c>
      <c r="B487" s="1" t="s">
        <v>2260</v>
      </c>
      <c r="C487" s="1" t="s">
        <v>133</v>
      </c>
      <c r="D487" s="1" t="s">
        <v>2038</v>
      </c>
      <c r="E487" t="s">
        <v>62</v>
      </c>
      <c r="F487" t="s">
        <v>2261</v>
      </c>
      <c r="G487" t="s">
        <v>26</v>
      </c>
      <c r="H487" t="s">
        <v>27</v>
      </c>
      <c r="I487" s="1" t="s">
        <v>28</v>
      </c>
      <c r="J487" t="s">
        <v>64</v>
      </c>
      <c r="K487" t="s">
        <v>65</v>
      </c>
      <c r="L487" s="1">
        <v>547718</v>
      </c>
      <c r="M487" s="1" t="s">
        <v>66</v>
      </c>
      <c r="N487" t="s">
        <v>2262</v>
      </c>
      <c r="O487" t="s">
        <v>46</v>
      </c>
      <c r="P487" t="s">
        <v>47</v>
      </c>
      <c r="Q487" t="s">
        <v>48</v>
      </c>
      <c r="R487">
        <v>32260.73</v>
      </c>
      <c r="S487" s="25" t="e">
        <f>IF(Table1[[#This Row],[Sales]]=MIN(Table1[Sales]), Table1[[#This Row],[Sales]], NA())</f>
        <v>#N/A</v>
      </c>
      <c r="T487" s="25">
        <f>IF(AND(Table1[[#This Row],[Sales]]&lt;&gt;MIN(Table1[Sales]),Table1[[#This Row],[Sales]]&lt;&gt;MAX(Table1[Sales])), Table1[[#This Row],[Sales]], NA())</f>
        <v>32260.73</v>
      </c>
      <c r="U487" s="25" t="e">
        <f>IF(Table1[[#This Row],[Sales]]=MAX(Table1[Sales]), Table1[[#This Row],[Sales]], NA())</f>
        <v>#N/A</v>
      </c>
      <c r="V487">
        <v>7</v>
      </c>
      <c r="W487">
        <v>0.3</v>
      </c>
      <c r="X487">
        <v>161.30000000000001</v>
      </c>
      <c r="Y487" s="3">
        <f>YEAR(Table1[[#This Row],[Order Date]])</f>
        <v>2025</v>
      </c>
      <c r="Z487" s="3" t="str">
        <f>TEXT(Table1[[#This Row],[Order Date]],"MMM")</f>
        <v>Jun</v>
      </c>
      <c r="AA487" s="3">
        <f>DAY(Table1[[#This Row],[Order Date]])</f>
        <v>11</v>
      </c>
    </row>
    <row r="488" spans="1:27" x14ac:dyDescent="0.35">
      <c r="A488" s="1">
        <v>487</v>
      </c>
      <c r="B488" s="1" t="s">
        <v>2263</v>
      </c>
      <c r="C488" s="1" t="s">
        <v>2264</v>
      </c>
      <c r="D488" s="1" t="s">
        <v>2265</v>
      </c>
      <c r="E488" t="s">
        <v>62</v>
      </c>
      <c r="F488" t="s">
        <v>2266</v>
      </c>
      <c r="G488" t="s">
        <v>40</v>
      </c>
      <c r="H488" t="s">
        <v>41</v>
      </c>
      <c r="I488" s="1" t="s">
        <v>28</v>
      </c>
      <c r="J488" t="s">
        <v>42</v>
      </c>
      <c r="K488" t="s">
        <v>43</v>
      </c>
      <c r="L488" s="1">
        <v>499945</v>
      </c>
      <c r="M488" s="1" t="s">
        <v>44</v>
      </c>
      <c r="N488" t="s">
        <v>2267</v>
      </c>
      <c r="O488" t="s">
        <v>46</v>
      </c>
      <c r="P488" t="s">
        <v>57</v>
      </c>
      <c r="Q488" t="s">
        <v>58</v>
      </c>
      <c r="R488">
        <v>66418.55</v>
      </c>
      <c r="S488" s="25" t="e">
        <f>IF(Table1[[#This Row],[Sales]]=MIN(Table1[Sales]), Table1[[#This Row],[Sales]], NA())</f>
        <v>#N/A</v>
      </c>
      <c r="T488" s="25">
        <f>IF(AND(Table1[[#This Row],[Sales]]&lt;&gt;MIN(Table1[Sales]),Table1[[#This Row],[Sales]]&lt;&gt;MAX(Table1[Sales])), Table1[[#This Row],[Sales]], NA())</f>
        <v>66418.55</v>
      </c>
      <c r="U488" s="25" t="e">
        <f>IF(Table1[[#This Row],[Sales]]=MAX(Table1[Sales]), Table1[[#This Row],[Sales]], NA())</f>
        <v>#N/A</v>
      </c>
      <c r="V488">
        <v>9</v>
      </c>
      <c r="W488">
        <v>0.2</v>
      </c>
      <c r="X488">
        <v>1992.56</v>
      </c>
      <c r="Y488" s="3">
        <f>YEAR(Table1[[#This Row],[Order Date]])</f>
        <v>2023</v>
      </c>
      <c r="Z488" s="3" t="str">
        <f>TEXT(Table1[[#This Row],[Order Date]],"MMM")</f>
        <v>Apr</v>
      </c>
      <c r="AA488" s="3">
        <f>DAY(Table1[[#This Row],[Order Date]])</f>
        <v>13</v>
      </c>
    </row>
    <row r="489" spans="1:27" x14ac:dyDescent="0.35">
      <c r="A489" s="1">
        <v>488</v>
      </c>
      <c r="B489" s="1" t="s">
        <v>2268</v>
      </c>
      <c r="C489" s="1" t="s">
        <v>2269</v>
      </c>
      <c r="D489" s="1" t="s">
        <v>2270</v>
      </c>
      <c r="E489" t="s">
        <v>115</v>
      </c>
      <c r="F489" t="s">
        <v>2271</v>
      </c>
      <c r="G489" t="s">
        <v>110</v>
      </c>
      <c r="H489" t="s">
        <v>27</v>
      </c>
      <c r="I489" s="1" t="s">
        <v>28</v>
      </c>
      <c r="J489" t="s">
        <v>53</v>
      </c>
      <c r="K489" t="s">
        <v>54</v>
      </c>
      <c r="L489" s="1">
        <v>657138</v>
      </c>
      <c r="M489" s="1" t="s">
        <v>55</v>
      </c>
      <c r="N489" t="s">
        <v>2272</v>
      </c>
      <c r="O489" t="s">
        <v>46</v>
      </c>
      <c r="P489" t="s">
        <v>47</v>
      </c>
      <c r="Q489" t="s">
        <v>48</v>
      </c>
      <c r="R489">
        <v>54747.87</v>
      </c>
      <c r="S489" s="25" t="e">
        <f>IF(Table1[[#This Row],[Sales]]=MIN(Table1[Sales]), Table1[[#This Row],[Sales]], NA())</f>
        <v>#N/A</v>
      </c>
      <c r="T489" s="25">
        <f>IF(AND(Table1[[#This Row],[Sales]]&lt;&gt;MIN(Table1[Sales]),Table1[[#This Row],[Sales]]&lt;&gt;MAX(Table1[Sales])), Table1[[#This Row],[Sales]], NA())</f>
        <v>54747.87</v>
      </c>
      <c r="U489" s="25" t="e">
        <f>IF(Table1[[#This Row],[Sales]]=MAX(Table1[Sales]), Table1[[#This Row],[Sales]], NA())</f>
        <v>#N/A</v>
      </c>
      <c r="V489">
        <v>4</v>
      </c>
      <c r="W489">
        <v>0.1</v>
      </c>
      <c r="X489">
        <v>3011.13</v>
      </c>
      <c r="Y489" s="3">
        <f>YEAR(Table1[[#This Row],[Order Date]])</f>
        <v>2022</v>
      </c>
      <c r="Z489" s="3" t="str">
        <f>TEXT(Table1[[#This Row],[Order Date]],"MMM")</f>
        <v>Sep</v>
      </c>
      <c r="AA489" s="3">
        <f>DAY(Table1[[#This Row],[Order Date]])</f>
        <v>10</v>
      </c>
    </row>
    <row r="490" spans="1:27" x14ac:dyDescent="0.35">
      <c r="A490" s="1">
        <v>489</v>
      </c>
      <c r="B490" s="1" t="s">
        <v>2273</v>
      </c>
      <c r="C490" s="1" t="s">
        <v>2274</v>
      </c>
      <c r="D490" s="1" t="s">
        <v>2275</v>
      </c>
      <c r="E490" t="s">
        <v>24</v>
      </c>
      <c r="F490" t="s">
        <v>2276</v>
      </c>
      <c r="G490" t="s">
        <v>81</v>
      </c>
      <c r="H490" t="s">
        <v>27</v>
      </c>
      <c r="I490" s="1" t="s">
        <v>28</v>
      </c>
      <c r="J490" t="s">
        <v>64</v>
      </c>
      <c r="K490" t="s">
        <v>65</v>
      </c>
      <c r="L490" s="1">
        <v>746044</v>
      </c>
      <c r="M490" s="1" t="s">
        <v>66</v>
      </c>
      <c r="N490" t="s">
        <v>2277</v>
      </c>
      <c r="O490" t="s">
        <v>68</v>
      </c>
      <c r="P490" t="s">
        <v>69</v>
      </c>
      <c r="Q490" t="s">
        <v>70</v>
      </c>
      <c r="R490">
        <v>58398.26</v>
      </c>
      <c r="S490" s="25" t="e">
        <f>IF(Table1[[#This Row],[Sales]]=MIN(Table1[Sales]), Table1[[#This Row],[Sales]], NA())</f>
        <v>#N/A</v>
      </c>
      <c r="T490" s="25">
        <f>IF(AND(Table1[[#This Row],[Sales]]&lt;&gt;MIN(Table1[Sales]),Table1[[#This Row],[Sales]]&lt;&gt;MAX(Table1[Sales])), Table1[[#This Row],[Sales]], NA())</f>
        <v>58398.26</v>
      </c>
      <c r="U490" s="25" t="e">
        <f>IF(Table1[[#This Row],[Sales]]=MAX(Table1[Sales]), Table1[[#This Row],[Sales]], NA())</f>
        <v>#N/A</v>
      </c>
      <c r="V490">
        <v>3</v>
      </c>
      <c r="W490">
        <v>0.2</v>
      </c>
      <c r="X490">
        <v>1751.95</v>
      </c>
      <c r="Y490" s="3">
        <f>YEAR(Table1[[#This Row],[Order Date]])</f>
        <v>2025</v>
      </c>
      <c r="Z490" s="3" t="str">
        <f>TEXT(Table1[[#This Row],[Order Date]],"MMM")</f>
        <v>Dec</v>
      </c>
      <c r="AA490" s="3">
        <f>DAY(Table1[[#This Row],[Order Date]])</f>
        <v>23</v>
      </c>
    </row>
    <row r="491" spans="1:27" x14ac:dyDescent="0.35">
      <c r="A491" s="1">
        <v>490</v>
      </c>
      <c r="B491" s="1" t="s">
        <v>2278</v>
      </c>
      <c r="C491" s="1" t="s">
        <v>1535</v>
      </c>
      <c r="D491" s="1" t="s">
        <v>2279</v>
      </c>
      <c r="E491" t="s">
        <v>115</v>
      </c>
      <c r="F491" t="s">
        <v>2280</v>
      </c>
      <c r="G491" t="s">
        <v>87</v>
      </c>
      <c r="H491" t="s">
        <v>41</v>
      </c>
      <c r="I491" s="1" t="s">
        <v>28</v>
      </c>
      <c r="J491" t="s">
        <v>42</v>
      </c>
      <c r="K491" t="s">
        <v>43</v>
      </c>
      <c r="L491" s="1">
        <v>544222</v>
      </c>
      <c r="M491" s="1" t="s">
        <v>44</v>
      </c>
      <c r="N491" t="s">
        <v>2281</v>
      </c>
      <c r="O491" t="s">
        <v>46</v>
      </c>
      <c r="P491" t="s">
        <v>47</v>
      </c>
      <c r="Q491" t="s">
        <v>48</v>
      </c>
      <c r="R491">
        <v>87556.84</v>
      </c>
      <c r="S491" s="25" t="e">
        <f>IF(Table1[[#This Row],[Sales]]=MIN(Table1[Sales]), Table1[[#This Row],[Sales]], NA())</f>
        <v>#N/A</v>
      </c>
      <c r="T491" s="25">
        <f>IF(AND(Table1[[#This Row],[Sales]]&lt;&gt;MIN(Table1[Sales]),Table1[[#This Row],[Sales]]&lt;&gt;MAX(Table1[Sales])), Table1[[#This Row],[Sales]], NA())</f>
        <v>87556.84</v>
      </c>
      <c r="U491" s="25" t="e">
        <f>IF(Table1[[#This Row],[Sales]]=MAX(Table1[Sales]), Table1[[#This Row],[Sales]], NA())</f>
        <v>#N/A</v>
      </c>
      <c r="V491">
        <v>5</v>
      </c>
      <c r="W491">
        <v>0.1</v>
      </c>
      <c r="X491">
        <v>4815.63</v>
      </c>
      <c r="Y491" s="3">
        <f>YEAR(Table1[[#This Row],[Order Date]])</f>
        <v>2021</v>
      </c>
      <c r="Z491" s="3" t="str">
        <f>TEXT(Table1[[#This Row],[Order Date]],"MMM")</f>
        <v>Jan</v>
      </c>
      <c r="AA491" s="3">
        <f>DAY(Table1[[#This Row],[Order Date]])</f>
        <v>24</v>
      </c>
    </row>
    <row r="492" spans="1:27" x14ac:dyDescent="0.35">
      <c r="A492" s="1">
        <v>491</v>
      </c>
      <c r="B492" s="1" t="s">
        <v>2282</v>
      </c>
      <c r="C492" s="1" t="s">
        <v>2283</v>
      </c>
      <c r="D492" s="1" t="s">
        <v>2284</v>
      </c>
      <c r="E492" t="s">
        <v>115</v>
      </c>
      <c r="F492" t="s">
        <v>2285</v>
      </c>
      <c r="G492" t="s">
        <v>140</v>
      </c>
      <c r="H492" t="s">
        <v>27</v>
      </c>
      <c r="I492" s="1" t="s">
        <v>28</v>
      </c>
      <c r="J492" t="s">
        <v>64</v>
      </c>
      <c r="K492" t="s">
        <v>65</v>
      </c>
      <c r="L492" s="1">
        <v>892144</v>
      </c>
      <c r="M492" s="1" t="s">
        <v>66</v>
      </c>
      <c r="N492" t="s">
        <v>2286</v>
      </c>
      <c r="O492" t="s">
        <v>46</v>
      </c>
      <c r="P492" t="s">
        <v>57</v>
      </c>
      <c r="Q492" t="s">
        <v>58</v>
      </c>
      <c r="R492">
        <v>91444.04</v>
      </c>
      <c r="S492" s="25" t="e">
        <f>IF(Table1[[#This Row],[Sales]]=MIN(Table1[Sales]), Table1[[#This Row],[Sales]], NA())</f>
        <v>#N/A</v>
      </c>
      <c r="T492" s="25">
        <f>IF(AND(Table1[[#This Row],[Sales]]&lt;&gt;MIN(Table1[Sales]),Table1[[#This Row],[Sales]]&lt;&gt;MAX(Table1[Sales])), Table1[[#This Row],[Sales]], NA())</f>
        <v>91444.04</v>
      </c>
      <c r="U492" s="25" t="e">
        <f>IF(Table1[[#This Row],[Sales]]=MAX(Table1[Sales]), Table1[[#This Row],[Sales]], NA())</f>
        <v>#N/A</v>
      </c>
      <c r="V492">
        <v>8</v>
      </c>
      <c r="W492">
        <v>0.3</v>
      </c>
      <c r="X492">
        <v>457.22</v>
      </c>
      <c r="Y492" s="3">
        <f>YEAR(Table1[[#This Row],[Order Date]])</f>
        <v>2023</v>
      </c>
      <c r="Z492" s="3" t="str">
        <f>TEXT(Table1[[#This Row],[Order Date]],"MMM")</f>
        <v>Jul</v>
      </c>
      <c r="AA492" s="3">
        <f>DAY(Table1[[#This Row],[Order Date]])</f>
        <v>13</v>
      </c>
    </row>
    <row r="493" spans="1:27" x14ac:dyDescent="0.35">
      <c r="A493" s="1">
        <v>492</v>
      </c>
      <c r="B493" s="1" t="s">
        <v>2287</v>
      </c>
      <c r="C493" s="1" t="s">
        <v>2288</v>
      </c>
      <c r="D493" s="1" t="s">
        <v>2289</v>
      </c>
      <c r="E493" t="s">
        <v>115</v>
      </c>
      <c r="F493" t="s">
        <v>2290</v>
      </c>
      <c r="G493" t="s">
        <v>40</v>
      </c>
      <c r="H493" t="s">
        <v>27</v>
      </c>
      <c r="I493" s="1" t="s">
        <v>28</v>
      </c>
      <c r="J493" t="s">
        <v>64</v>
      </c>
      <c r="K493" t="s">
        <v>65</v>
      </c>
      <c r="L493" s="1">
        <v>296328</v>
      </c>
      <c r="M493" s="1" t="s">
        <v>66</v>
      </c>
      <c r="N493" t="s">
        <v>2291</v>
      </c>
      <c r="O493" t="s">
        <v>46</v>
      </c>
      <c r="P493" t="s">
        <v>47</v>
      </c>
      <c r="Q493" t="s">
        <v>48</v>
      </c>
      <c r="R493">
        <v>54682.13</v>
      </c>
      <c r="S493" s="25" t="e">
        <f>IF(Table1[[#This Row],[Sales]]=MIN(Table1[Sales]), Table1[[#This Row],[Sales]], NA())</f>
        <v>#N/A</v>
      </c>
      <c r="T493" s="25">
        <f>IF(AND(Table1[[#This Row],[Sales]]&lt;&gt;MIN(Table1[Sales]),Table1[[#This Row],[Sales]]&lt;&gt;MAX(Table1[Sales])), Table1[[#This Row],[Sales]], NA())</f>
        <v>54682.13</v>
      </c>
      <c r="U493" s="25" t="e">
        <f>IF(Table1[[#This Row],[Sales]]=MAX(Table1[Sales]), Table1[[#This Row],[Sales]], NA())</f>
        <v>#N/A</v>
      </c>
      <c r="V493">
        <v>7</v>
      </c>
      <c r="W493">
        <v>0</v>
      </c>
      <c r="X493">
        <v>4374.57</v>
      </c>
      <c r="Y493" s="3">
        <f>YEAR(Table1[[#This Row],[Order Date]])</f>
        <v>2025</v>
      </c>
      <c r="Z493" s="3" t="str">
        <f>TEXT(Table1[[#This Row],[Order Date]],"MMM")</f>
        <v>Mar</v>
      </c>
      <c r="AA493" s="3">
        <f>DAY(Table1[[#This Row],[Order Date]])</f>
        <v>30</v>
      </c>
    </row>
    <row r="494" spans="1:27" x14ac:dyDescent="0.35">
      <c r="A494" s="1">
        <v>493</v>
      </c>
      <c r="B494" s="1" t="s">
        <v>2292</v>
      </c>
      <c r="C494" s="1" t="s">
        <v>2293</v>
      </c>
      <c r="D494" s="1" t="s">
        <v>1436</v>
      </c>
      <c r="E494" t="s">
        <v>115</v>
      </c>
      <c r="F494" t="s">
        <v>2294</v>
      </c>
      <c r="G494" t="s">
        <v>188</v>
      </c>
      <c r="H494" t="s">
        <v>41</v>
      </c>
      <c r="I494" s="1" t="s">
        <v>28</v>
      </c>
      <c r="J494" t="s">
        <v>29</v>
      </c>
      <c r="K494" t="s">
        <v>29</v>
      </c>
      <c r="L494" s="1">
        <v>207782</v>
      </c>
      <c r="M494" s="1" t="s">
        <v>30</v>
      </c>
      <c r="N494" t="s">
        <v>2295</v>
      </c>
      <c r="O494" t="s">
        <v>68</v>
      </c>
      <c r="P494" t="s">
        <v>69</v>
      </c>
      <c r="Q494" t="s">
        <v>70</v>
      </c>
      <c r="R494">
        <v>51092.37</v>
      </c>
      <c r="S494" s="25" t="e">
        <f>IF(Table1[[#This Row],[Sales]]=MIN(Table1[Sales]), Table1[[#This Row],[Sales]], NA())</f>
        <v>#N/A</v>
      </c>
      <c r="T494" s="25">
        <f>IF(AND(Table1[[#This Row],[Sales]]&lt;&gt;MIN(Table1[Sales]),Table1[[#This Row],[Sales]]&lt;&gt;MAX(Table1[Sales])), Table1[[#This Row],[Sales]], NA())</f>
        <v>51092.37</v>
      </c>
      <c r="U494" s="25" t="e">
        <f>IF(Table1[[#This Row],[Sales]]=MAX(Table1[Sales]), Table1[[#This Row],[Sales]], NA())</f>
        <v>#N/A</v>
      </c>
      <c r="V494">
        <v>6</v>
      </c>
      <c r="W494">
        <v>0.2</v>
      </c>
      <c r="X494">
        <v>1532.77</v>
      </c>
      <c r="Y494" s="3">
        <f>YEAR(Table1[[#This Row],[Order Date]])</f>
        <v>2021</v>
      </c>
      <c r="Z494" s="3" t="str">
        <f>TEXT(Table1[[#This Row],[Order Date]],"MMM")</f>
        <v>Aug</v>
      </c>
      <c r="AA494" s="3">
        <f>DAY(Table1[[#This Row],[Order Date]])</f>
        <v>3</v>
      </c>
    </row>
    <row r="495" spans="1:27" x14ac:dyDescent="0.35">
      <c r="A495" s="1">
        <v>494</v>
      </c>
      <c r="B495" s="1" t="s">
        <v>2296</v>
      </c>
      <c r="C495" s="1" t="s">
        <v>2297</v>
      </c>
      <c r="D495" s="1" t="s">
        <v>2201</v>
      </c>
      <c r="E495" t="s">
        <v>115</v>
      </c>
      <c r="F495" t="s">
        <v>2298</v>
      </c>
      <c r="G495" t="s">
        <v>81</v>
      </c>
      <c r="H495" t="s">
        <v>41</v>
      </c>
      <c r="I495" s="1" t="s">
        <v>28</v>
      </c>
      <c r="J495" t="s">
        <v>53</v>
      </c>
      <c r="K495" t="s">
        <v>54</v>
      </c>
      <c r="L495" s="1">
        <v>458421</v>
      </c>
      <c r="M495" s="1" t="s">
        <v>55</v>
      </c>
      <c r="N495" t="s">
        <v>2299</v>
      </c>
      <c r="O495" t="s">
        <v>46</v>
      </c>
      <c r="P495" t="s">
        <v>47</v>
      </c>
      <c r="Q495" t="s">
        <v>48</v>
      </c>
      <c r="R495">
        <v>88731.07</v>
      </c>
      <c r="S495" s="25" t="e">
        <f>IF(Table1[[#This Row],[Sales]]=MIN(Table1[Sales]), Table1[[#This Row],[Sales]], NA())</f>
        <v>#N/A</v>
      </c>
      <c r="T495" s="25">
        <f>IF(AND(Table1[[#This Row],[Sales]]&lt;&gt;MIN(Table1[Sales]),Table1[[#This Row],[Sales]]&lt;&gt;MAX(Table1[Sales])), Table1[[#This Row],[Sales]], NA())</f>
        <v>88731.07</v>
      </c>
      <c r="U495" s="25" t="e">
        <f>IF(Table1[[#This Row],[Sales]]=MAX(Table1[Sales]), Table1[[#This Row],[Sales]], NA())</f>
        <v>#N/A</v>
      </c>
      <c r="V495">
        <v>3</v>
      </c>
      <c r="W495">
        <v>0.1</v>
      </c>
      <c r="X495">
        <v>4880.21</v>
      </c>
      <c r="Y495" s="3">
        <f>YEAR(Table1[[#This Row],[Order Date]])</f>
        <v>2023</v>
      </c>
      <c r="Z495" s="3" t="str">
        <f>TEXT(Table1[[#This Row],[Order Date]],"MMM")</f>
        <v>Aug</v>
      </c>
      <c r="AA495" s="3">
        <f>DAY(Table1[[#This Row],[Order Date]])</f>
        <v>3</v>
      </c>
    </row>
    <row r="496" spans="1:27" x14ac:dyDescent="0.35">
      <c r="A496" s="1">
        <v>495</v>
      </c>
      <c r="B496" s="1" t="s">
        <v>2300</v>
      </c>
      <c r="C496" s="1" t="s">
        <v>924</v>
      </c>
      <c r="D496" s="1" t="s">
        <v>925</v>
      </c>
      <c r="E496" t="s">
        <v>38</v>
      </c>
      <c r="F496" t="s">
        <v>2301</v>
      </c>
      <c r="G496" t="s">
        <v>188</v>
      </c>
      <c r="H496" t="s">
        <v>41</v>
      </c>
      <c r="I496" s="1" t="s">
        <v>28</v>
      </c>
      <c r="J496" t="s">
        <v>42</v>
      </c>
      <c r="K496" t="s">
        <v>43</v>
      </c>
      <c r="L496" s="1">
        <v>279701</v>
      </c>
      <c r="M496" s="1" t="s">
        <v>44</v>
      </c>
      <c r="N496" t="s">
        <v>2302</v>
      </c>
      <c r="O496" t="s">
        <v>46</v>
      </c>
      <c r="P496" t="s">
        <v>57</v>
      </c>
      <c r="Q496" t="s">
        <v>58</v>
      </c>
      <c r="R496">
        <v>17051.43</v>
      </c>
      <c r="S496" s="25" t="e">
        <f>IF(Table1[[#This Row],[Sales]]=MIN(Table1[Sales]), Table1[[#This Row],[Sales]], NA())</f>
        <v>#N/A</v>
      </c>
      <c r="T496" s="25">
        <f>IF(AND(Table1[[#This Row],[Sales]]&lt;&gt;MIN(Table1[Sales]),Table1[[#This Row],[Sales]]&lt;&gt;MAX(Table1[Sales])), Table1[[#This Row],[Sales]], NA())</f>
        <v>17051.43</v>
      </c>
      <c r="U496" s="25" t="e">
        <f>IF(Table1[[#This Row],[Sales]]=MAX(Table1[Sales]), Table1[[#This Row],[Sales]], NA())</f>
        <v>#N/A</v>
      </c>
      <c r="V496">
        <v>3</v>
      </c>
      <c r="W496">
        <v>0</v>
      </c>
      <c r="X496">
        <v>1364.11</v>
      </c>
      <c r="Y496" s="3">
        <f>YEAR(Table1[[#This Row],[Order Date]])</f>
        <v>2025</v>
      </c>
      <c r="Z496" s="3" t="str">
        <f>TEXT(Table1[[#This Row],[Order Date]],"MMM")</f>
        <v>Jan</v>
      </c>
      <c r="AA496" s="3">
        <f>DAY(Table1[[#This Row],[Order Date]])</f>
        <v>19</v>
      </c>
    </row>
    <row r="497" spans="1:27" x14ac:dyDescent="0.35">
      <c r="A497" s="1">
        <v>496</v>
      </c>
      <c r="B497" s="1" t="s">
        <v>2303</v>
      </c>
      <c r="C497" s="1" t="s">
        <v>2197</v>
      </c>
      <c r="D497" s="1" t="s">
        <v>2304</v>
      </c>
      <c r="E497" t="s">
        <v>115</v>
      </c>
      <c r="F497" t="s">
        <v>2305</v>
      </c>
      <c r="G497" t="s">
        <v>110</v>
      </c>
      <c r="H497" t="s">
        <v>41</v>
      </c>
      <c r="I497" s="1" t="s">
        <v>28</v>
      </c>
      <c r="J497" t="s">
        <v>29</v>
      </c>
      <c r="K497" t="s">
        <v>29</v>
      </c>
      <c r="L497" s="1">
        <v>577693</v>
      </c>
      <c r="M497" s="1" t="s">
        <v>30</v>
      </c>
      <c r="N497" t="s">
        <v>2306</v>
      </c>
      <c r="O497" t="s">
        <v>46</v>
      </c>
      <c r="P497" t="s">
        <v>57</v>
      </c>
      <c r="Q497" t="s">
        <v>58</v>
      </c>
      <c r="R497">
        <v>24512.52</v>
      </c>
      <c r="S497" s="25" t="e">
        <f>IF(Table1[[#This Row],[Sales]]=MIN(Table1[Sales]), Table1[[#This Row],[Sales]], NA())</f>
        <v>#N/A</v>
      </c>
      <c r="T497" s="25">
        <f>IF(AND(Table1[[#This Row],[Sales]]&lt;&gt;MIN(Table1[Sales]),Table1[[#This Row],[Sales]]&lt;&gt;MAX(Table1[Sales])), Table1[[#This Row],[Sales]], NA())</f>
        <v>24512.52</v>
      </c>
      <c r="U497" s="25" t="e">
        <f>IF(Table1[[#This Row],[Sales]]=MAX(Table1[Sales]), Table1[[#This Row],[Sales]], NA())</f>
        <v>#N/A</v>
      </c>
      <c r="V497">
        <v>10</v>
      </c>
      <c r="W497">
        <v>0.1</v>
      </c>
      <c r="X497">
        <v>1348.19</v>
      </c>
      <c r="Y497" s="3">
        <f>YEAR(Table1[[#This Row],[Order Date]])</f>
        <v>2025</v>
      </c>
      <c r="Z497" s="3" t="str">
        <f>TEXT(Table1[[#This Row],[Order Date]],"MMM")</f>
        <v>Nov</v>
      </c>
      <c r="AA497" s="3">
        <f>DAY(Table1[[#This Row],[Order Date]])</f>
        <v>5</v>
      </c>
    </row>
    <row r="498" spans="1:27" x14ac:dyDescent="0.35">
      <c r="A498" s="1">
        <v>497</v>
      </c>
      <c r="B498" s="1" t="s">
        <v>2307</v>
      </c>
      <c r="C498" s="1" t="s">
        <v>2308</v>
      </c>
      <c r="D498" s="1" t="s">
        <v>2309</v>
      </c>
      <c r="E498" t="s">
        <v>38</v>
      </c>
      <c r="F498" t="s">
        <v>2310</v>
      </c>
      <c r="G498" t="s">
        <v>40</v>
      </c>
      <c r="H498" t="s">
        <v>94</v>
      </c>
      <c r="I498" s="1" t="s">
        <v>28</v>
      </c>
      <c r="J498" t="s">
        <v>128</v>
      </c>
      <c r="K498" t="s">
        <v>129</v>
      </c>
      <c r="L498" s="1">
        <v>619605</v>
      </c>
      <c r="M498" s="1" t="s">
        <v>66</v>
      </c>
      <c r="N498" t="s">
        <v>2311</v>
      </c>
      <c r="O498" t="s">
        <v>46</v>
      </c>
      <c r="P498" t="s">
        <v>57</v>
      </c>
      <c r="Q498" t="s">
        <v>58</v>
      </c>
      <c r="R498">
        <v>8672.27</v>
      </c>
      <c r="S498" s="25" t="e">
        <f>IF(Table1[[#This Row],[Sales]]=MIN(Table1[Sales]), Table1[[#This Row],[Sales]], NA())</f>
        <v>#N/A</v>
      </c>
      <c r="T498" s="25">
        <f>IF(AND(Table1[[#This Row],[Sales]]&lt;&gt;MIN(Table1[Sales]),Table1[[#This Row],[Sales]]&lt;&gt;MAX(Table1[Sales])), Table1[[#This Row],[Sales]], NA())</f>
        <v>8672.27</v>
      </c>
      <c r="U498" s="25" t="e">
        <f>IF(Table1[[#This Row],[Sales]]=MAX(Table1[Sales]), Table1[[#This Row],[Sales]], NA())</f>
        <v>#N/A</v>
      </c>
      <c r="V498">
        <v>4</v>
      </c>
      <c r="W498">
        <v>0</v>
      </c>
      <c r="X498">
        <v>693.78</v>
      </c>
      <c r="Y498" s="3">
        <f>YEAR(Table1[[#This Row],[Order Date]])</f>
        <v>2025</v>
      </c>
      <c r="Z498" s="3" t="str">
        <f>TEXT(Table1[[#This Row],[Order Date]],"MMM")</f>
        <v>Jan</v>
      </c>
      <c r="AA498" s="3">
        <f>DAY(Table1[[#This Row],[Order Date]])</f>
        <v>30</v>
      </c>
    </row>
    <row r="499" spans="1:27" x14ac:dyDescent="0.35">
      <c r="A499" s="1">
        <v>498</v>
      </c>
      <c r="B499" s="1" t="s">
        <v>2312</v>
      </c>
      <c r="C499" s="1" t="s">
        <v>2313</v>
      </c>
      <c r="D499" s="1" t="s">
        <v>944</v>
      </c>
      <c r="E499" t="s">
        <v>38</v>
      </c>
      <c r="F499" t="s">
        <v>2314</v>
      </c>
      <c r="G499" t="s">
        <v>110</v>
      </c>
      <c r="H499" t="s">
        <v>41</v>
      </c>
      <c r="I499" s="1" t="s">
        <v>28</v>
      </c>
      <c r="J499" t="s">
        <v>53</v>
      </c>
      <c r="K499" t="s">
        <v>54</v>
      </c>
      <c r="L499" s="1">
        <v>926359</v>
      </c>
      <c r="M499" s="1" t="s">
        <v>55</v>
      </c>
      <c r="N499" t="s">
        <v>2315</v>
      </c>
      <c r="O499" t="s">
        <v>32</v>
      </c>
      <c r="P499" t="s">
        <v>33</v>
      </c>
      <c r="Q499" t="s">
        <v>34</v>
      </c>
      <c r="R499">
        <v>45357.5</v>
      </c>
      <c r="S499" s="25" t="e">
        <f>IF(Table1[[#This Row],[Sales]]=MIN(Table1[Sales]), Table1[[#This Row],[Sales]], NA())</f>
        <v>#N/A</v>
      </c>
      <c r="T499" s="25">
        <f>IF(AND(Table1[[#This Row],[Sales]]&lt;&gt;MIN(Table1[Sales]),Table1[[#This Row],[Sales]]&lt;&gt;MAX(Table1[Sales])), Table1[[#This Row],[Sales]], NA())</f>
        <v>45357.5</v>
      </c>
      <c r="U499" s="25" t="e">
        <f>IF(Table1[[#This Row],[Sales]]=MAX(Table1[Sales]), Table1[[#This Row],[Sales]], NA())</f>
        <v>#N/A</v>
      </c>
      <c r="V499">
        <v>1</v>
      </c>
      <c r="W499">
        <v>0</v>
      </c>
      <c r="X499">
        <v>3628.6</v>
      </c>
      <c r="Y499" s="3">
        <f>YEAR(Table1[[#This Row],[Order Date]])</f>
        <v>2024</v>
      </c>
      <c r="Z499" s="3" t="str">
        <f>TEXT(Table1[[#This Row],[Order Date]],"MMM")</f>
        <v>Aug</v>
      </c>
      <c r="AA499" s="3">
        <f>DAY(Table1[[#This Row],[Order Date]])</f>
        <v>2</v>
      </c>
    </row>
    <row r="500" spans="1:27" x14ac:dyDescent="0.35">
      <c r="A500" s="1">
        <v>499</v>
      </c>
      <c r="B500" s="1" t="s">
        <v>2316</v>
      </c>
      <c r="C500" s="1" t="s">
        <v>1618</v>
      </c>
      <c r="D500" s="1" t="s">
        <v>1045</v>
      </c>
      <c r="E500" t="s">
        <v>62</v>
      </c>
      <c r="F500" t="s">
        <v>2317</v>
      </c>
      <c r="G500" t="s">
        <v>40</v>
      </c>
      <c r="H500" t="s">
        <v>27</v>
      </c>
      <c r="I500" s="1" t="s">
        <v>28</v>
      </c>
      <c r="J500" t="s">
        <v>128</v>
      </c>
      <c r="K500" t="s">
        <v>129</v>
      </c>
      <c r="L500" s="1">
        <v>209383</v>
      </c>
      <c r="M500" s="1" t="s">
        <v>66</v>
      </c>
      <c r="N500" t="s">
        <v>2318</v>
      </c>
      <c r="O500" t="s">
        <v>46</v>
      </c>
      <c r="P500" t="s">
        <v>47</v>
      </c>
      <c r="Q500" t="s">
        <v>48</v>
      </c>
      <c r="R500">
        <v>66266.41</v>
      </c>
      <c r="S500" s="25" t="e">
        <f>IF(Table1[[#This Row],[Sales]]=MIN(Table1[Sales]), Table1[[#This Row],[Sales]], NA())</f>
        <v>#N/A</v>
      </c>
      <c r="T500" s="25">
        <f>IF(AND(Table1[[#This Row],[Sales]]&lt;&gt;MIN(Table1[Sales]),Table1[[#This Row],[Sales]]&lt;&gt;MAX(Table1[Sales])), Table1[[#This Row],[Sales]], NA())</f>
        <v>66266.41</v>
      </c>
      <c r="U500" s="25" t="e">
        <f>IF(Table1[[#This Row],[Sales]]=MAX(Table1[Sales]), Table1[[#This Row],[Sales]], NA())</f>
        <v>#N/A</v>
      </c>
      <c r="V500">
        <v>6</v>
      </c>
      <c r="W500">
        <v>0.3</v>
      </c>
      <c r="X500">
        <v>331.33</v>
      </c>
      <c r="Y500" s="3">
        <f>YEAR(Table1[[#This Row],[Order Date]])</f>
        <v>2022</v>
      </c>
      <c r="Z500" s="3" t="str">
        <f>TEXT(Table1[[#This Row],[Order Date]],"MMM")</f>
        <v>Apr</v>
      </c>
      <c r="AA500" s="3">
        <f>DAY(Table1[[#This Row],[Order Date]])</f>
        <v>30</v>
      </c>
    </row>
    <row r="501" spans="1:27" x14ac:dyDescent="0.35">
      <c r="A501" s="1">
        <v>500</v>
      </c>
      <c r="B501" s="1" t="s">
        <v>2319</v>
      </c>
      <c r="C501" s="1" t="s">
        <v>79</v>
      </c>
      <c r="D501" s="1" t="s">
        <v>633</v>
      </c>
      <c r="E501" t="s">
        <v>38</v>
      </c>
      <c r="F501" t="s">
        <v>2320</v>
      </c>
      <c r="G501" t="s">
        <v>140</v>
      </c>
      <c r="H501" t="s">
        <v>94</v>
      </c>
      <c r="I501" s="1" t="s">
        <v>28</v>
      </c>
      <c r="J501" t="s">
        <v>53</v>
      </c>
      <c r="K501" t="s">
        <v>54</v>
      </c>
      <c r="L501" s="1">
        <v>518781</v>
      </c>
      <c r="M501" s="1" t="s">
        <v>55</v>
      </c>
      <c r="N501" t="s">
        <v>2321</v>
      </c>
      <c r="O501" t="s">
        <v>46</v>
      </c>
      <c r="P501" t="s">
        <v>57</v>
      </c>
      <c r="Q501" t="s">
        <v>58</v>
      </c>
      <c r="R501">
        <v>81717.66</v>
      </c>
      <c r="S501" s="25" t="e">
        <f>IF(Table1[[#This Row],[Sales]]=MIN(Table1[Sales]), Table1[[#This Row],[Sales]], NA())</f>
        <v>#N/A</v>
      </c>
      <c r="T501" s="25">
        <f>IF(AND(Table1[[#This Row],[Sales]]&lt;&gt;MIN(Table1[Sales]),Table1[[#This Row],[Sales]]&lt;&gt;MAX(Table1[Sales])), Table1[[#This Row],[Sales]], NA())</f>
        <v>81717.66</v>
      </c>
      <c r="U501" s="25" t="e">
        <f>IF(Table1[[#This Row],[Sales]]=MAX(Table1[Sales]), Table1[[#This Row],[Sales]], NA())</f>
        <v>#N/A</v>
      </c>
      <c r="V501">
        <v>8</v>
      </c>
      <c r="W501">
        <v>0.1</v>
      </c>
      <c r="X501">
        <v>4494.47</v>
      </c>
      <c r="Y501" s="3">
        <f>YEAR(Table1[[#This Row],[Order Date]])</f>
        <v>2022</v>
      </c>
      <c r="Z501" s="3" t="str">
        <f>TEXT(Table1[[#This Row],[Order Date]],"MMM")</f>
        <v>Jun</v>
      </c>
      <c r="AA501" s="3">
        <f>DAY(Table1[[#This Row],[Order Date]])</f>
        <v>14</v>
      </c>
    </row>
    <row r="502" spans="1:27" x14ac:dyDescent="0.35">
      <c r="A502" s="1">
        <v>501</v>
      </c>
      <c r="B502" s="1" t="s">
        <v>2322</v>
      </c>
      <c r="C502" s="1" t="s">
        <v>851</v>
      </c>
      <c r="D502" s="1" t="s">
        <v>2323</v>
      </c>
      <c r="E502" t="s">
        <v>115</v>
      </c>
      <c r="F502" t="s">
        <v>2324</v>
      </c>
      <c r="G502" t="s">
        <v>110</v>
      </c>
      <c r="H502" t="s">
        <v>41</v>
      </c>
      <c r="I502" s="1" t="s">
        <v>28</v>
      </c>
      <c r="J502" t="s">
        <v>128</v>
      </c>
      <c r="K502" t="s">
        <v>129</v>
      </c>
      <c r="L502" s="1">
        <v>987559</v>
      </c>
      <c r="M502" s="1" t="s">
        <v>66</v>
      </c>
      <c r="N502" t="s">
        <v>2325</v>
      </c>
      <c r="O502" t="s">
        <v>68</v>
      </c>
      <c r="P502" t="s">
        <v>69</v>
      </c>
      <c r="Q502" t="s">
        <v>70</v>
      </c>
      <c r="R502">
        <v>98797.49</v>
      </c>
      <c r="S502" s="25" t="e">
        <f>IF(Table1[[#This Row],[Sales]]=MIN(Table1[Sales]), Table1[[#This Row],[Sales]], NA())</f>
        <v>#N/A</v>
      </c>
      <c r="T502" s="25">
        <f>IF(AND(Table1[[#This Row],[Sales]]&lt;&gt;MIN(Table1[Sales]),Table1[[#This Row],[Sales]]&lt;&gt;MAX(Table1[Sales])), Table1[[#This Row],[Sales]], NA())</f>
        <v>98797.49</v>
      </c>
      <c r="U502" s="25" t="e">
        <f>IF(Table1[[#This Row],[Sales]]=MAX(Table1[Sales]), Table1[[#This Row],[Sales]], NA())</f>
        <v>#N/A</v>
      </c>
      <c r="V502">
        <v>3</v>
      </c>
      <c r="W502">
        <v>0.3</v>
      </c>
      <c r="X502">
        <v>493.99</v>
      </c>
      <c r="Y502" s="3">
        <f>YEAR(Table1[[#This Row],[Order Date]])</f>
        <v>2024</v>
      </c>
      <c r="Z502" s="3" t="str">
        <f>TEXT(Table1[[#This Row],[Order Date]],"MMM")</f>
        <v>Dec</v>
      </c>
      <c r="AA502" s="3">
        <f>DAY(Table1[[#This Row],[Order Date]])</f>
        <v>24</v>
      </c>
    </row>
    <row r="503" spans="1:27" x14ac:dyDescent="0.35">
      <c r="A503" s="1">
        <v>502</v>
      </c>
      <c r="B503" s="1" t="s">
        <v>2326</v>
      </c>
      <c r="C503" s="1" t="s">
        <v>2327</v>
      </c>
      <c r="D503" s="1" t="s">
        <v>2328</v>
      </c>
      <c r="E503" t="s">
        <v>38</v>
      </c>
      <c r="F503" t="s">
        <v>2329</v>
      </c>
      <c r="G503" t="s">
        <v>93</v>
      </c>
      <c r="H503" t="s">
        <v>27</v>
      </c>
      <c r="I503" s="1" t="s">
        <v>28</v>
      </c>
      <c r="J503" t="s">
        <v>42</v>
      </c>
      <c r="K503" t="s">
        <v>43</v>
      </c>
      <c r="L503" s="1">
        <v>670372</v>
      </c>
      <c r="M503" s="1" t="s">
        <v>44</v>
      </c>
      <c r="N503" t="s">
        <v>2330</v>
      </c>
      <c r="O503" t="s">
        <v>46</v>
      </c>
      <c r="P503" t="s">
        <v>47</v>
      </c>
      <c r="Q503" t="s">
        <v>48</v>
      </c>
      <c r="R503">
        <v>73098.89</v>
      </c>
      <c r="S503" s="25" t="e">
        <f>IF(Table1[[#This Row],[Sales]]=MIN(Table1[Sales]), Table1[[#This Row],[Sales]], NA())</f>
        <v>#N/A</v>
      </c>
      <c r="T503" s="25">
        <f>IF(AND(Table1[[#This Row],[Sales]]&lt;&gt;MIN(Table1[Sales]),Table1[[#This Row],[Sales]]&lt;&gt;MAX(Table1[Sales])), Table1[[#This Row],[Sales]], NA())</f>
        <v>73098.89</v>
      </c>
      <c r="U503" s="25" t="e">
        <f>IF(Table1[[#This Row],[Sales]]=MAX(Table1[Sales]), Table1[[#This Row],[Sales]], NA())</f>
        <v>#N/A</v>
      </c>
      <c r="V503">
        <v>9</v>
      </c>
      <c r="W503">
        <v>0.2</v>
      </c>
      <c r="X503">
        <v>2192.9699999999998</v>
      </c>
      <c r="Y503" s="3">
        <f>YEAR(Table1[[#This Row],[Order Date]])</f>
        <v>2024</v>
      </c>
      <c r="Z503" s="3" t="str">
        <f>TEXT(Table1[[#This Row],[Order Date]],"MMM")</f>
        <v>Dec</v>
      </c>
      <c r="AA503" s="3">
        <f>DAY(Table1[[#This Row],[Order Date]])</f>
        <v>15</v>
      </c>
    </row>
    <row r="504" spans="1:27" x14ac:dyDescent="0.35">
      <c r="A504" s="1">
        <v>503</v>
      </c>
      <c r="B504" s="1" t="s">
        <v>2331</v>
      </c>
      <c r="C504" s="1" t="s">
        <v>2332</v>
      </c>
      <c r="D504" s="1" t="s">
        <v>2333</v>
      </c>
      <c r="E504" t="s">
        <v>115</v>
      </c>
      <c r="F504" t="s">
        <v>2334</v>
      </c>
      <c r="G504" t="s">
        <v>81</v>
      </c>
      <c r="H504" t="s">
        <v>94</v>
      </c>
      <c r="I504" s="1" t="s">
        <v>28</v>
      </c>
      <c r="J504" t="s">
        <v>64</v>
      </c>
      <c r="K504" t="s">
        <v>65</v>
      </c>
      <c r="L504" s="1">
        <v>811131</v>
      </c>
      <c r="M504" s="1" t="s">
        <v>66</v>
      </c>
      <c r="N504" t="s">
        <v>2335</v>
      </c>
      <c r="O504" t="s">
        <v>32</v>
      </c>
      <c r="P504" t="s">
        <v>33</v>
      </c>
      <c r="Q504" t="s">
        <v>34</v>
      </c>
      <c r="R504">
        <v>34856.81</v>
      </c>
      <c r="S504" s="25" t="e">
        <f>IF(Table1[[#This Row],[Sales]]=MIN(Table1[Sales]), Table1[[#This Row],[Sales]], NA())</f>
        <v>#N/A</v>
      </c>
      <c r="T504" s="25">
        <f>IF(AND(Table1[[#This Row],[Sales]]&lt;&gt;MIN(Table1[Sales]),Table1[[#This Row],[Sales]]&lt;&gt;MAX(Table1[Sales])), Table1[[#This Row],[Sales]], NA())</f>
        <v>34856.81</v>
      </c>
      <c r="U504" s="25" t="e">
        <f>IF(Table1[[#This Row],[Sales]]=MAX(Table1[Sales]), Table1[[#This Row],[Sales]], NA())</f>
        <v>#N/A</v>
      </c>
      <c r="V504">
        <v>1</v>
      </c>
      <c r="W504">
        <v>0.1</v>
      </c>
      <c r="X504">
        <v>1917.12</v>
      </c>
      <c r="Y504" s="3">
        <f>YEAR(Table1[[#This Row],[Order Date]])</f>
        <v>2025</v>
      </c>
      <c r="Z504" s="3" t="str">
        <f>TEXT(Table1[[#This Row],[Order Date]],"MMM")</f>
        <v>Jul</v>
      </c>
      <c r="AA504" s="3">
        <f>DAY(Table1[[#This Row],[Order Date]])</f>
        <v>1</v>
      </c>
    </row>
    <row r="505" spans="1:27" x14ac:dyDescent="0.35">
      <c r="A505" s="1">
        <v>504</v>
      </c>
      <c r="B505" s="1" t="s">
        <v>2336</v>
      </c>
      <c r="C505" s="1" t="s">
        <v>242</v>
      </c>
      <c r="D505" s="1" t="s">
        <v>296</v>
      </c>
      <c r="E505" t="s">
        <v>38</v>
      </c>
      <c r="F505" t="s">
        <v>2337</v>
      </c>
      <c r="G505" t="s">
        <v>93</v>
      </c>
      <c r="H505" t="s">
        <v>41</v>
      </c>
      <c r="I505" s="1" t="s">
        <v>28</v>
      </c>
      <c r="J505" t="s">
        <v>64</v>
      </c>
      <c r="K505" t="s">
        <v>65</v>
      </c>
      <c r="L505" s="1">
        <v>165415</v>
      </c>
      <c r="M505" s="1" t="s">
        <v>66</v>
      </c>
      <c r="N505" t="s">
        <v>2338</v>
      </c>
      <c r="O505" t="s">
        <v>32</v>
      </c>
      <c r="P505" t="s">
        <v>33</v>
      </c>
      <c r="Q505" t="s">
        <v>34</v>
      </c>
      <c r="R505">
        <v>47532.56</v>
      </c>
      <c r="S505" s="25" t="e">
        <f>IF(Table1[[#This Row],[Sales]]=MIN(Table1[Sales]), Table1[[#This Row],[Sales]], NA())</f>
        <v>#N/A</v>
      </c>
      <c r="T505" s="25">
        <f>IF(AND(Table1[[#This Row],[Sales]]&lt;&gt;MIN(Table1[Sales]),Table1[[#This Row],[Sales]]&lt;&gt;MAX(Table1[Sales])), Table1[[#This Row],[Sales]], NA())</f>
        <v>47532.56</v>
      </c>
      <c r="U505" s="25" t="e">
        <f>IF(Table1[[#This Row],[Sales]]=MAX(Table1[Sales]), Table1[[#This Row],[Sales]], NA())</f>
        <v>#N/A</v>
      </c>
      <c r="V505">
        <v>8</v>
      </c>
      <c r="W505">
        <v>0.3</v>
      </c>
      <c r="X505">
        <v>237.66</v>
      </c>
      <c r="Y505" s="3">
        <f>YEAR(Table1[[#This Row],[Order Date]])</f>
        <v>2024</v>
      </c>
      <c r="Z505" s="3" t="str">
        <f>TEXT(Table1[[#This Row],[Order Date]],"MMM")</f>
        <v>Jan</v>
      </c>
      <c r="AA505" s="3">
        <f>DAY(Table1[[#This Row],[Order Date]])</f>
        <v>14</v>
      </c>
    </row>
    <row r="506" spans="1:27" x14ac:dyDescent="0.35">
      <c r="A506" s="1">
        <v>505</v>
      </c>
      <c r="B506" s="1" t="s">
        <v>2339</v>
      </c>
      <c r="C506" s="1" t="s">
        <v>573</v>
      </c>
      <c r="D506" s="1" t="s">
        <v>2340</v>
      </c>
      <c r="E506" t="s">
        <v>62</v>
      </c>
      <c r="F506" t="s">
        <v>2341</v>
      </c>
      <c r="G506" t="s">
        <v>75</v>
      </c>
      <c r="H506" t="s">
        <v>41</v>
      </c>
      <c r="I506" s="1" t="s">
        <v>28</v>
      </c>
      <c r="J506" t="s">
        <v>53</v>
      </c>
      <c r="K506" t="s">
        <v>54</v>
      </c>
      <c r="L506" s="1">
        <v>401871</v>
      </c>
      <c r="M506" s="1" t="s">
        <v>55</v>
      </c>
      <c r="N506" t="s">
        <v>2342</v>
      </c>
      <c r="O506" t="s">
        <v>46</v>
      </c>
      <c r="P506" t="s">
        <v>57</v>
      </c>
      <c r="Q506" t="s">
        <v>58</v>
      </c>
      <c r="R506">
        <v>73065.86</v>
      </c>
      <c r="S506" s="25" t="e">
        <f>IF(Table1[[#This Row],[Sales]]=MIN(Table1[Sales]), Table1[[#This Row],[Sales]], NA())</f>
        <v>#N/A</v>
      </c>
      <c r="T506" s="25">
        <f>IF(AND(Table1[[#This Row],[Sales]]&lt;&gt;MIN(Table1[Sales]),Table1[[#This Row],[Sales]]&lt;&gt;MAX(Table1[Sales])), Table1[[#This Row],[Sales]], NA())</f>
        <v>73065.86</v>
      </c>
      <c r="U506" s="25" t="e">
        <f>IF(Table1[[#This Row],[Sales]]=MAX(Table1[Sales]), Table1[[#This Row],[Sales]], NA())</f>
        <v>#N/A</v>
      </c>
      <c r="V506">
        <v>1</v>
      </c>
      <c r="W506">
        <v>0.3</v>
      </c>
      <c r="X506">
        <v>365.33</v>
      </c>
      <c r="Y506" s="3">
        <f>YEAR(Table1[[#This Row],[Order Date]])</f>
        <v>2023</v>
      </c>
      <c r="Z506" s="3" t="str">
        <f>TEXT(Table1[[#This Row],[Order Date]],"MMM")</f>
        <v>Jan</v>
      </c>
      <c r="AA506" s="3">
        <f>DAY(Table1[[#This Row],[Order Date]])</f>
        <v>4</v>
      </c>
    </row>
    <row r="507" spans="1:27" x14ac:dyDescent="0.35">
      <c r="A507" s="1">
        <v>506</v>
      </c>
      <c r="B507" s="1" t="s">
        <v>2343</v>
      </c>
      <c r="C507" s="1" t="s">
        <v>251</v>
      </c>
      <c r="D507" s="1" t="s">
        <v>2344</v>
      </c>
      <c r="E507" t="s">
        <v>24</v>
      </c>
      <c r="F507" t="s">
        <v>2345</v>
      </c>
      <c r="G507" t="s">
        <v>93</v>
      </c>
      <c r="H507" t="s">
        <v>27</v>
      </c>
      <c r="I507" s="1" t="s">
        <v>28</v>
      </c>
      <c r="J507" t="s">
        <v>29</v>
      </c>
      <c r="K507" t="s">
        <v>29</v>
      </c>
      <c r="L507" s="1">
        <v>889666</v>
      </c>
      <c r="M507" s="1" t="s">
        <v>30</v>
      </c>
      <c r="N507" t="s">
        <v>2346</v>
      </c>
      <c r="O507" t="s">
        <v>32</v>
      </c>
      <c r="P507" t="s">
        <v>33</v>
      </c>
      <c r="Q507" t="s">
        <v>34</v>
      </c>
      <c r="R507">
        <v>25466.38</v>
      </c>
      <c r="S507" s="25" t="e">
        <f>IF(Table1[[#This Row],[Sales]]=MIN(Table1[Sales]), Table1[[#This Row],[Sales]], NA())</f>
        <v>#N/A</v>
      </c>
      <c r="T507" s="25">
        <f>IF(AND(Table1[[#This Row],[Sales]]&lt;&gt;MIN(Table1[Sales]),Table1[[#This Row],[Sales]]&lt;&gt;MAX(Table1[Sales])), Table1[[#This Row],[Sales]], NA())</f>
        <v>25466.38</v>
      </c>
      <c r="U507" s="25" t="e">
        <f>IF(Table1[[#This Row],[Sales]]=MAX(Table1[Sales]), Table1[[#This Row],[Sales]], NA())</f>
        <v>#N/A</v>
      </c>
      <c r="V507">
        <v>3</v>
      </c>
      <c r="W507">
        <v>0.2</v>
      </c>
      <c r="X507">
        <v>763.99</v>
      </c>
      <c r="Y507" s="3">
        <f>YEAR(Table1[[#This Row],[Order Date]])</f>
        <v>2024</v>
      </c>
      <c r="Z507" s="3" t="str">
        <f>TEXT(Table1[[#This Row],[Order Date]],"MMM")</f>
        <v>Mar</v>
      </c>
      <c r="AA507" s="3">
        <f>DAY(Table1[[#This Row],[Order Date]])</f>
        <v>4</v>
      </c>
    </row>
    <row r="508" spans="1:27" x14ac:dyDescent="0.35">
      <c r="A508" s="1">
        <v>507</v>
      </c>
      <c r="B508" s="1" t="s">
        <v>2347</v>
      </c>
      <c r="C508" s="1" t="s">
        <v>2348</v>
      </c>
      <c r="D508" s="1" t="s">
        <v>2349</v>
      </c>
      <c r="E508" t="s">
        <v>115</v>
      </c>
      <c r="F508" t="s">
        <v>2350</v>
      </c>
      <c r="G508" t="s">
        <v>140</v>
      </c>
      <c r="H508" t="s">
        <v>94</v>
      </c>
      <c r="I508" s="1" t="s">
        <v>28</v>
      </c>
      <c r="J508" t="s">
        <v>53</v>
      </c>
      <c r="K508" t="s">
        <v>54</v>
      </c>
      <c r="L508" s="1">
        <v>900848</v>
      </c>
      <c r="M508" s="1" t="s">
        <v>55</v>
      </c>
      <c r="N508" t="s">
        <v>2351</v>
      </c>
      <c r="O508" t="s">
        <v>46</v>
      </c>
      <c r="P508" t="s">
        <v>47</v>
      </c>
      <c r="Q508" t="s">
        <v>48</v>
      </c>
      <c r="R508">
        <v>1483.12</v>
      </c>
      <c r="S508" s="25" t="e">
        <f>IF(Table1[[#This Row],[Sales]]=MIN(Table1[Sales]), Table1[[#This Row],[Sales]], NA())</f>
        <v>#N/A</v>
      </c>
      <c r="T508" s="25">
        <f>IF(AND(Table1[[#This Row],[Sales]]&lt;&gt;MIN(Table1[Sales]),Table1[[#This Row],[Sales]]&lt;&gt;MAX(Table1[Sales])), Table1[[#This Row],[Sales]], NA())</f>
        <v>1483.12</v>
      </c>
      <c r="U508" s="25" t="e">
        <f>IF(Table1[[#This Row],[Sales]]=MAX(Table1[Sales]), Table1[[#This Row],[Sales]], NA())</f>
        <v>#N/A</v>
      </c>
      <c r="V508">
        <v>8</v>
      </c>
      <c r="W508">
        <v>0.1</v>
      </c>
      <c r="X508">
        <v>81.569999999999993</v>
      </c>
      <c r="Y508" s="3">
        <f>YEAR(Table1[[#This Row],[Order Date]])</f>
        <v>2021</v>
      </c>
      <c r="Z508" s="3" t="str">
        <f>TEXT(Table1[[#This Row],[Order Date]],"MMM")</f>
        <v>Aug</v>
      </c>
      <c r="AA508" s="3">
        <f>DAY(Table1[[#This Row],[Order Date]])</f>
        <v>10</v>
      </c>
    </row>
    <row r="509" spans="1:27" x14ac:dyDescent="0.35">
      <c r="A509" s="1">
        <v>508</v>
      </c>
      <c r="B509" s="1" t="s">
        <v>2352</v>
      </c>
      <c r="C509" s="1" t="s">
        <v>1243</v>
      </c>
      <c r="D509" s="1" t="s">
        <v>624</v>
      </c>
      <c r="E509" t="s">
        <v>38</v>
      </c>
      <c r="F509" t="s">
        <v>2353</v>
      </c>
      <c r="G509" t="s">
        <v>26</v>
      </c>
      <c r="H509" t="s">
        <v>41</v>
      </c>
      <c r="I509" s="1" t="s">
        <v>28</v>
      </c>
      <c r="J509" t="s">
        <v>128</v>
      </c>
      <c r="K509" t="s">
        <v>129</v>
      </c>
      <c r="L509" s="1">
        <v>623349</v>
      </c>
      <c r="M509" s="1" t="s">
        <v>66</v>
      </c>
      <c r="N509" t="s">
        <v>2354</v>
      </c>
      <c r="O509" t="s">
        <v>32</v>
      </c>
      <c r="P509" t="s">
        <v>33</v>
      </c>
      <c r="Q509" t="s">
        <v>34</v>
      </c>
      <c r="R509">
        <v>91335.15</v>
      </c>
      <c r="S509" s="25" t="e">
        <f>IF(Table1[[#This Row],[Sales]]=MIN(Table1[Sales]), Table1[[#This Row],[Sales]], NA())</f>
        <v>#N/A</v>
      </c>
      <c r="T509" s="25">
        <f>IF(AND(Table1[[#This Row],[Sales]]&lt;&gt;MIN(Table1[Sales]),Table1[[#This Row],[Sales]]&lt;&gt;MAX(Table1[Sales])), Table1[[#This Row],[Sales]], NA())</f>
        <v>91335.15</v>
      </c>
      <c r="U509" s="25" t="e">
        <f>IF(Table1[[#This Row],[Sales]]=MAX(Table1[Sales]), Table1[[#This Row],[Sales]], NA())</f>
        <v>#N/A</v>
      </c>
      <c r="V509">
        <v>8</v>
      </c>
      <c r="W509">
        <v>0.3</v>
      </c>
      <c r="X509">
        <v>456.68</v>
      </c>
      <c r="Y509" s="3">
        <f>YEAR(Table1[[#This Row],[Order Date]])</f>
        <v>2024</v>
      </c>
      <c r="Z509" s="3" t="str">
        <f>TEXT(Table1[[#This Row],[Order Date]],"MMM")</f>
        <v>Sep</v>
      </c>
      <c r="AA509" s="3">
        <f>DAY(Table1[[#This Row],[Order Date]])</f>
        <v>13</v>
      </c>
    </row>
    <row r="510" spans="1:27" x14ac:dyDescent="0.35">
      <c r="A510" s="1">
        <v>509</v>
      </c>
      <c r="B510" s="1" t="s">
        <v>2355</v>
      </c>
      <c r="C510" s="1" t="s">
        <v>2356</v>
      </c>
      <c r="D510" s="1" t="s">
        <v>2357</v>
      </c>
      <c r="E510" t="s">
        <v>115</v>
      </c>
      <c r="F510" t="s">
        <v>2358</v>
      </c>
      <c r="G510" t="s">
        <v>40</v>
      </c>
      <c r="H510" t="s">
        <v>27</v>
      </c>
      <c r="I510" s="1" t="s">
        <v>28</v>
      </c>
      <c r="J510" t="s">
        <v>128</v>
      </c>
      <c r="K510" t="s">
        <v>129</v>
      </c>
      <c r="L510" s="1">
        <v>488312</v>
      </c>
      <c r="M510" s="1" t="s">
        <v>66</v>
      </c>
      <c r="N510" t="s">
        <v>2359</v>
      </c>
      <c r="O510" t="s">
        <v>68</v>
      </c>
      <c r="P510" t="s">
        <v>69</v>
      </c>
      <c r="Q510" t="s">
        <v>70</v>
      </c>
      <c r="R510">
        <v>71202.2</v>
      </c>
      <c r="S510" s="25" t="e">
        <f>IF(Table1[[#This Row],[Sales]]=MIN(Table1[Sales]), Table1[[#This Row],[Sales]], NA())</f>
        <v>#N/A</v>
      </c>
      <c r="T510" s="25">
        <f>IF(AND(Table1[[#This Row],[Sales]]&lt;&gt;MIN(Table1[Sales]),Table1[[#This Row],[Sales]]&lt;&gt;MAX(Table1[Sales])), Table1[[#This Row],[Sales]], NA())</f>
        <v>71202.2</v>
      </c>
      <c r="U510" s="25" t="e">
        <f>IF(Table1[[#This Row],[Sales]]=MAX(Table1[Sales]), Table1[[#This Row],[Sales]], NA())</f>
        <v>#N/A</v>
      </c>
      <c r="V510">
        <v>9</v>
      </c>
      <c r="W510">
        <v>0.3</v>
      </c>
      <c r="X510">
        <v>356.01</v>
      </c>
      <c r="Y510" s="3">
        <f>YEAR(Table1[[#This Row],[Order Date]])</f>
        <v>2023</v>
      </c>
      <c r="Z510" s="3" t="str">
        <f>TEXT(Table1[[#This Row],[Order Date]],"MMM")</f>
        <v>Feb</v>
      </c>
      <c r="AA510" s="3">
        <f>DAY(Table1[[#This Row],[Order Date]])</f>
        <v>11</v>
      </c>
    </row>
    <row r="511" spans="1:27" x14ac:dyDescent="0.35">
      <c r="A511" s="1">
        <v>510</v>
      </c>
      <c r="B511" s="1" t="s">
        <v>2360</v>
      </c>
      <c r="C511" s="1" t="s">
        <v>2361</v>
      </c>
      <c r="D511" s="1" t="s">
        <v>2362</v>
      </c>
      <c r="E511" t="s">
        <v>62</v>
      </c>
      <c r="F511" t="s">
        <v>2363</v>
      </c>
      <c r="G511" t="s">
        <v>110</v>
      </c>
      <c r="H511" t="s">
        <v>27</v>
      </c>
      <c r="I511" s="1" t="s">
        <v>28</v>
      </c>
      <c r="J511" t="s">
        <v>42</v>
      </c>
      <c r="K511" t="s">
        <v>43</v>
      </c>
      <c r="L511" s="1">
        <v>597548</v>
      </c>
      <c r="M511" s="1" t="s">
        <v>44</v>
      </c>
      <c r="N511" t="s">
        <v>2364</v>
      </c>
      <c r="O511" t="s">
        <v>32</v>
      </c>
      <c r="P511" t="s">
        <v>33</v>
      </c>
      <c r="Q511" t="s">
        <v>34</v>
      </c>
      <c r="R511">
        <v>19404.93</v>
      </c>
      <c r="S511" s="25" t="e">
        <f>IF(Table1[[#This Row],[Sales]]=MIN(Table1[Sales]), Table1[[#This Row],[Sales]], NA())</f>
        <v>#N/A</v>
      </c>
      <c r="T511" s="25">
        <f>IF(AND(Table1[[#This Row],[Sales]]&lt;&gt;MIN(Table1[Sales]),Table1[[#This Row],[Sales]]&lt;&gt;MAX(Table1[Sales])), Table1[[#This Row],[Sales]], NA())</f>
        <v>19404.93</v>
      </c>
      <c r="U511" s="25" t="e">
        <f>IF(Table1[[#This Row],[Sales]]=MAX(Table1[Sales]), Table1[[#This Row],[Sales]], NA())</f>
        <v>#N/A</v>
      </c>
      <c r="V511">
        <v>6</v>
      </c>
      <c r="W511">
        <v>0</v>
      </c>
      <c r="X511">
        <v>1552.39</v>
      </c>
      <c r="Y511" s="3">
        <f>YEAR(Table1[[#This Row],[Order Date]])</f>
        <v>2025</v>
      </c>
      <c r="Z511" s="3" t="str">
        <f>TEXT(Table1[[#This Row],[Order Date]],"MMM")</f>
        <v>Feb</v>
      </c>
      <c r="AA511" s="3">
        <f>DAY(Table1[[#This Row],[Order Date]])</f>
        <v>24</v>
      </c>
    </row>
    <row r="512" spans="1:27" x14ac:dyDescent="0.35">
      <c r="A512" s="1">
        <v>511</v>
      </c>
      <c r="B512" s="1" t="s">
        <v>2365</v>
      </c>
      <c r="C512" s="1" t="s">
        <v>1485</v>
      </c>
      <c r="D512" s="1" t="s">
        <v>443</v>
      </c>
      <c r="E512" t="s">
        <v>115</v>
      </c>
      <c r="F512" t="s">
        <v>2366</v>
      </c>
      <c r="G512" t="s">
        <v>75</v>
      </c>
      <c r="H512" t="s">
        <v>41</v>
      </c>
      <c r="I512" s="1" t="s">
        <v>28</v>
      </c>
      <c r="J512" t="s">
        <v>53</v>
      </c>
      <c r="K512" t="s">
        <v>54</v>
      </c>
      <c r="L512" s="1">
        <v>900554</v>
      </c>
      <c r="M512" s="1" t="s">
        <v>55</v>
      </c>
      <c r="N512" t="s">
        <v>2367</v>
      </c>
      <c r="O512" t="s">
        <v>32</v>
      </c>
      <c r="P512" t="s">
        <v>33</v>
      </c>
      <c r="Q512" t="s">
        <v>34</v>
      </c>
      <c r="R512">
        <v>23636.75</v>
      </c>
      <c r="S512" s="25" t="e">
        <f>IF(Table1[[#This Row],[Sales]]=MIN(Table1[Sales]), Table1[[#This Row],[Sales]], NA())</f>
        <v>#N/A</v>
      </c>
      <c r="T512" s="25">
        <f>IF(AND(Table1[[#This Row],[Sales]]&lt;&gt;MIN(Table1[Sales]),Table1[[#This Row],[Sales]]&lt;&gt;MAX(Table1[Sales])), Table1[[#This Row],[Sales]], NA())</f>
        <v>23636.75</v>
      </c>
      <c r="U512" s="25" t="e">
        <f>IF(Table1[[#This Row],[Sales]]=MAX(Table1[Sales]), Table1[[#This Row],[Sales]], NA())</f>
        <v>#N/A</v>
      </c>
      <c r="V512">
        <v>9</v>
      </c>
      <c r="W512">
        <v>0.1</v>
      </c>
      <c r="X512">
        <v>1300.02</v>
      </c>
      <c r="Y512" s="3">
        <f>YEAR(Table1[[#This Row],[Order Date]])</f>
        <v>2024</v>
      </c>
      <c r="Z512" s="3" t="str">
        <f>TEXT(Table1[[#This Row],[Order Date]],"MMM")</f>
        <v>Jul</v>
      </c>
      <c r="AA512" s="3">
        <f>DAY(Table1[[#This Row],[Order Date]])</f>
        <v>6</v>
      </c>
    </row>
    <row r="513" spans="1:27" x14ac:dyDescent="0.35">
      <c r="A513" s="1">
        <v>512</v>
      </c>
      <c r="B513" s="1" t="s">
        <v>2368</v>
      </c>
      <c r="C513" s="1" t="s">
        <v>1561</v>
      </c>
      <c r="D513" s="1" t="s">
        <v>944</v>
      </c>
      <c r="E513" t="s">
        <v>24</v>
      </c>
      <c r="F513" t="s">
        <v>2369</v>
      </c>
      <c r="G513" t="s">
        <v>87</v>
      </c>
      <c r="H513" t="s">
        <v>41</v>
      </c>
      <c r="I513" s="1" t="s">
        <v>28</v>
      </c>
      <c r="J513" t="s">
        <v>53</v>
      </c>
      <c r="K513" t="s">
        <v>54</v>
      </c>
      <c r="L513" s="1">
        <v>590344</v>
      </c>
      <c r="M513" s="1" t="s">
        <v>55</v>
      </c>
      <c r="N513" t="s">
        <v>2370</v>
      </c>
      <c r="O513" t="s">
        <v>46</v>
      </c>
      <c r="P513" t="s">
        <v>57</v>
      </c>
      <c r="Q513" t="s">
        <v>58</v>
      </c>
      <c r="R513">
        <v>15102.97</v>
      </c>
      <c r="S513" s="25" t="e">
        <f>IF(Table1[[#This Row],[Sales]]=MIN(Table1[Sales]), Table1[[#This Row],[Sales]], NA())</f>
        <v>#N/A</v>
      </c>
      <c r="T513" s="25">
        <f>IF(AND(Table1[[#This Row],[Sales]]&lt;&gt;MIN(Table1[Sales]),Table1[[#This Row],[Sales]]&lt;&gt;MAX(Table1[Sales])), Table1[[#This Row],[Sales]], NA())</f>
        <v>15102.97</v>
      </c>
      <c r="U513" s="25" t="e">
        <f>IF(Table1[[#This Row],[Sales]]=MAX(Table1[Sales]), Table1[[#This Row],[Sales]], NA())</f>
        <v>#N/A</v>
      </c>
      <c r="V513">
        <v>5</v>
      </c>
      <c r="W513">
        <v>0.3</v>
      </c>
      <c r="X513">
        <v>75.510000000000005</v>
      </c>
      <c r="Y513" s="3">
        <f>YEAR(Table1[[#This Row],[Order Date]])</f>
        <v>2024</v>
      </c>
      <c r="Z513" s="3" t="str">
        <f>TEXT(Table1[[#This Row],[Order Date]],"MMM")</f>
        <v>Aug</v>
      </c>
      <c r="AA513" s="3">
        <f>DAY(Table1[[#This Row],[Order Date]])</f>
        <v>3</v>
      </c>
    </row>
    <row r="514" spans="1:27" x14ac:dyDescent="0.35">
      <c r="A514" s="1">
        <v>513</v>
      </c>
      <c r="B514" s="1" t="s">
        <v>2371</v>
      </c>
      <c r="C514" s="1" t="s">
        <v>2372</v>
      </c>
      <c r="D514" s="1" t="s">
        <v>2373</v>
      </c>
      <c r="E514" t="s">
        <v>62</v>
      </c>
      <c r="F514" t="s">
        <v>2374</v>
      </c>
      <c r="G514" t="s">
        <v>26</v>
      </c>
      <c r="H514" t="s">
        <v>41</v>
      </c>
      <c r="I514" s="1" t="s">
        <v>28</v>
      </c>
      <c r="J514" t="s">
        <v>29</v>
      </c>
      <c r="K514" t="s">
        <v>29</v>
      </c>
      <c r="L514" s="1">
        <v>817132</v>
      </c>
      <c r="M514" s="1" t="s">
        <v>30</v>
      </c>
      <c r="N514" t="s">
        <v>2375</v>
      </c>
      <c r="O514" t="s">
        <v>46</v>
      </c>
      <c r="P514" t="s">
        <v>57</v>
      </c>
      <c r="Q514" t="s">
        <v>58</v>
      </c>
      <c r="R514">
        <v>64816.46</v>
      </c>
      <c r="S514" s="25" t="e">
        <f>IF(Table1[[#This Row],[Sales]]=MIN(Table1[Sales]), Table1[[#This Row],[Sales]], NA())</f>
        <v>#N/A</v>
      </c>
      <c r="T514" s="25">
        <f>IF(AND(Table1[[#This Row],[Sales]]&lt;&gt;MIN(Table1[Sales]),Table1[[#This Row],[Sales]]&lt;&gt;MAX(Table1[Sales])), Table1[[#This Row],[Sales]], NA())</f>
        <v>64816.46</v>
      </c>
      <c r="U514" s="25" t="e">
        <f>IF(Table1[[#This Row],[Sales]]=MAX(Table1[Sales]), Table1[[#This Row],[Sales]], NA())</f>
        <v>#N/A</v>
      </c>
      <c r="V514">
        <v>2</v>
      </c>
      <c r="W514">
        <v>0.3</v>
      </c>
      <c r="X514">
        <v>324.08</v>
      </c>
      <c r="Y514" s="3">
        <f>YEAR(Table1[[#This Row],[Order Date]])</f>
        <v>2023</v>
      </c>
      <c r="Z514" s="3" t="str">
        <f>TEXT(Table1[[#This Row],[Order Date]],"MMM")</f>
        <v>Apr</v>
      </c>
      <c r="AA514" s="3">
        <f>DAY(Table1[[#This Row],[Order Date]])</f>
        <v>21</v>
      </c>
    </row>
    <row r="515" spans="1:27" x14ac:dyDescent="0.35">
      <c r="A515" s="1">
        <v>514</v>
      </c>
      <c r="B515" s="1" t="s">
        <v>2376</v>
      </c>
      <c r="C515" s="1" t="s">
        <v>2377</v>
      </c>
      <c r="D515" s="1" t="s">
        <v>2340</v>
      </c>
      <c r="E515" t="s">
        <v>62</v>
      </c>
      <c r="F515" t="s">
        <v>2378</v>
      </c>
      <c r="G515" t="s">
        <v>40</v>
      </c>
      <c r="H515" t="s">
        <v>27</v>
      </c>
      <c r="I515" s="1" t="s">
        <v>28</v>
      </c>
      <c r="J515" t="s">
        <v>64</v>
      </c>
      <c r="K515" t="s">
        <v>65</v>
      </c>
      <c r="L515" s="1">
        <v>412690</v>
      </c>
      <c r="M515" s="1" t="s">
        <v>66</v>
      </c>
      <c r="N515" t="s">
        <v>2379</v>
      </c>
      <c r="O515" t="s">
        <v>46</v>
      </c>
      <c r="P515" t="s">
        <v>57</v>
      </c>
      <c r="Q515" t="s">
        <v>58</v>
      </c>
      <c r="R515">
        <v>91727.87</v>
      </c>
      <c r="S515" s="25" t="e">
        <f>IF(Table1[[#This Row],[Sales]]=MIN(Table1[Sales]), Table1[[#This Row],[Sales]], NA())</f>
        <v>#N/A</v>
      </c>
      <c r="T515" s="25">
        <f>IF(AND(Table1[[#This Row],[Sales]]&lt;&gt;MIN(Table1[Sales]),Table1[[#This Row],[Sales]]&lt;&gt;MAX(Table1[Sales])), Table1[[#This Row],[Sales]], NA())</f>
        <v>91727.87</v>
      </c>
      <c r="U515" s="25" t="e">
        <f>IF(Table1[[#This Row],[Sales]]=MAX(Table1[Sales]), Table1[[#This Row],[Sales]], NA())</f>
        <v>#N/A</v>
      </c>
      <c r="V515">
        <v>3</v>
      </c>
      <c r="W515">
        <v>0</v>
      </c>
      <c r="X515">
        <v>7338.23</v>
      </c>
      <c r="Y515" s="3">
        <f>YEAR(Table1[[#This Row],[Order Date]])</f>
        <v>2023</v>
      </c>
      <c r="Z515" s="3" t="str">
        <f>TEXT(Table1[[#This Row],[Order Date]],"MMM")</f>
        <v>Jan</v>
      </c>
      <c r="AA515" s="3">
        <f>DAY(Table1[[#This Row],[Order Date]])</f>
        <v>2</v>
      </c>
    </row>
    <row r="516" spans="1:27" x14ac:dyDescent="0.35">
      <c r="A516" s="1">
        <v>515</v>
      </c>
      <c r="B516" s="1" t="s">
        <v>2380</v>
      </c>
      <c r="C516" s="1" t="s">
        <v>2381</v>
      </c>
      <c r="D516" s="1" t="s">
        <v>1101</v>
      </c>
      <c r="E516" t="s">
        <v>38</v>
      </c>
      <c r="F516" t="s">
        <v>2382</v>
      </c>
      <c r="G516" t="s">
        <v>75</v>
      </c>
      <c r="H516" t="s">
        <v>27</v>
      </c>
      <c r="I516" s="1" t="s">
        <v>28</v>
      </c>
      <c r="J516" t="s">
        <v>29</v>
      </c>
      <c r="K516" t="s">
        <v>29</v>
      </c>
      <c r="L516" s="1">
        <v>269550</v>
      </c>
      <c r="M516" s="1" t="s">
        <v>30</v>
      </c>
      <c r="N516" t="s">
        <v>2383</v>
      </c>
      <c r="O516" t="s">
        <v>68</v>
      </c>
      <c r="P516" t="s">
        <v>69</v>
      </c>
      <c r="Q516" t="s">
        <v>70</v>
      </c>
      <c r="R516">
        <v>86785.21</v>
      </c>
      <c r="S516" s="25" t="e">
        <f>IF(Table1[[#This Row],[Sales]]=MIN(Table1[Sales]), Table1[[#This Row],[Sales]], NA())</f>
        <v>#N/A</v>
      </c>
      <c r="T516" s="25">
        <f>IF(AND(Table1[[#This Row],[Sales]]&lt;&gt;MIN(Table1[Sales]),Table1[[#This Row],[Sales]]&lt;&gt;MAX(Table1[Sales])), Table1[[#This Row],[Sales]], NA())</f>
        <v>86785.21</v>
      </c>
      <c r="U516" s="25" t="e">
        <f>IF(Table1[[#This Row],[Sales]]=MAX(Table1[Sales]), Table1[[#This Row],[Sales]], NA())</f>
        <v>#N/A</v>
      </c>
      <c r="V516">
        <v>9</v>
      </c>
      <c r="W516">
        <v>0</v>
      </c>
      <c r="X516">
        <v>6942.82</v>
      </c>
      <c r="Y516" s="3">
        <f>YEAR(Table1[[#This Row],[Order Date]])</f>
        <v>2023</v>
      </c>
      <c r="Z516" s="3" t="str">
        <f>TEXT(Table1[[#This Row],[Order Date]],"MMM")</f>
        <v>Dec</v>
      </c>
      <c r="AA516" s="3">
        <f>DAY(Table1[[#This Row],[Order Date]])</f>
        <v>10</v>
      </c>
    </row>
    <row r="517" spans="1:27" x14ac:dyDescent="0.35">
      <c r="A517" s="1">
        <v>516</v>
      </c>
      <c r="B517" s="1" t="s">
        <v>2384</v>
      </c>
      <c r="C517" s="1" t="s">
        <v>2385</v>
      </c>
      <c r="D517" s="1" t="s">
        <v>2386</v>
      </c>
      <c r="E517" t="s">
        <v>38</v>
      </c>
      <c r="F517" t="s">
        <v>2387</v>
      </c>
      <c r="G517" t="s">
        <v>110</v>
      </c>
      <c r="H517" t="s">
        <v>94</v>
      </c>
      <c r="I517" s="1" t="s">
        <v>28</v>
      </c>
      <c r="J517" t="s">
        <v>42</v>
      </c>
      <c r="K517" t="s">
        <v>43</v>
      </c>
      <c r="L517" s="1">
        <v>208243</v>
      </c>
      <c r="M517" s="1" t="s">
        <v>44</v>
      </c>
      <c r="N517" t="s">
        <v>2388</v>
      </c>
      <c r="O517" t="s">
        <v>46</v>
      </c>
      <c r="P517" t="s">
        <v>57</v>
      </c>
      <c r="Q517" t="s">
        <v>58</v>
      </c>
      <c r="R517">
        <v>24141.45</v>
      </c>
      <c r="S517" s="25" t="e">
        <f>IF(Table1[[#This Row],[Sales]]=MIN(Table1[Sales]), Table1[[#This Row],[Sales]], NA())</f>
        <v>#N/A</v>
      </c>
      <c r="T517" s="25">
        <f>IF(AND(Table1[[#This Row],[Sales]]&lt;&gt;MIN(Table1[Sales]),Table1[[#This Row],[Sales]]&lt;&gt;MAX(Table1[Sales])), Table1[[#This Row],[Sales]], NA())</f>
        <v>24141.45</v>
      </c>
      <c r="U517" s="25" t="e">
        <f>IF(Table1[[#This Row],[Sales]]=MAX(Table1[Sales]), Table1[[#This Row],[Sales]], NA())</f>
        <v>#N/A</v>
      </c>
      <c r="V517">
        <v>8</v>
      </c>
      <c r="W517">
        <v>0</v>
      </c>
      <c r="X517">
        <v>1931.32</v>
      </c>
      <c r="Y517" s="3">
        <f>YEAR(Table1[[#This Row],[Order Date]])</f>
        <v>2022</v>
      </c>
      <c r="Z517" s="3" t="str">
        <f>TEXT(Table1[[#This Row],[Order Date]],"MMM")</f>
        <v>Jan</v>
      </c>
      <c r="AA517" s="3">
        <f>DAY(Table1[[#This Row],[Order Date]])</f>
        <v>3</v>
      </c>
    </row>
    <row r="518" spans="1:27" x14ac:dyDescent="0.35">
      <c r="A518" s="1">
        <v>517</v>
      </c>
      <c r="B518" s="1" t="s">
        <v>2389</v>
      </c>
      <c r="C518" s="1" t="s">
        <v>2390</v>
      </c>
      <c r="D518" s="1" t="s">
        <v>1575</v>
      </c>
      <c r="E518" t="s">
        <v>24</v>
      </c>
      <c r="F518" t="s">
        <v>2391</v>
      </c>
      <c r="G518" t="s">
        <v>188</v>
      </c>
      <c r="H518" t="s">
        <v>27</v>
      </c>
      <c r="I518" s="1" t="s">
        <v>28</v>
      </c>
      <c r="J518" t="s">
        <v>128</v>
      </c>
      <c r="K518" t="s">
        <v>129</v>
      </c>
      <c r="L518" s="1">
        <v>346109</v>
      </c>
      <c r="M518" s="1" t="s">
        <v>66</v>
      </c>
      <c r="N518" t="s">
        <v>2392</v>
      </c>
      <c r="O518" t="s">
        <v>68</v>
      </c>
      <c r="P518" t="s">
        <v>69</v>
      </c>
      <c r="Q518" t="s">
        <v>70</v>
      </c>
      <c r="R518">
        <v>25189.61</v>
      </c>
      <c r="S518" s="25" t="e">
        <f>IF(Table1[[#This Row],[Sales]]=MIN(Table1[Sales]), Table1[[#This Row],[Sales]], NA())</f>
        <v>#N/A</v>
      </c>
      <c r="T518" s="25">
        <f>IF(AND(Table1[[#This Row],[Sales]]&lt;&gt;MIN(Table1[Sales]),Table1[[#This Row],[Sales]]&lt;&gt;MAX(Table1[Sales])), Table1[[#This Row],[Sales]], NA())</f>
        <v>25189.61</v>
      </c>
      <c r="U518" s="25" t="e">
        <f>IF(Table1[[#This Row],[Sales]]=MAX(Table1[Sales]), Table1[[#This Row],[Sales]], NA())</f>
        <v>#N/A</v>
      </c>
      <c r="V518">
        <v>3</v>
      </c>
      <c r="W518">
        <v>0.3</v>
      </c>
      <c r="X518">
        <v>125.95</v>
      </c>
      <c r="Y518" s="3">
        <f>YEAR(Table1[[#This Row],[Order Date]])</f>
        <v>2021</v>
      </c>
      <c r="Z518" s="3" t="str">
        <f>TEXT(Table1[[#This Row],[Order Date]],"MMM")</f>
        <v>Jan</v>
      </c>
      <c r="AA518" s="3">
        <f>DAY(Table1[[#This Row],[Order Date]])</f>
        <v>8</v>
      </c>
    </row>
    <row r="519" spans="1:27" x14ac:dyDescent="0.35">
      <c r="A519" s="1">
        <v>518</v>
      </c>
      <c r="B519" s="1" t="s">
        <v>2393</v>
      </c>
      <c r="C519" s="1" t="s">
        <v>2394</v>
      </c>
      <c r="D519" s="1" t="s">
        <v>2395</v>
      </c>
      <c r="E519" t="s">
        <v>62</v>
      </c>
      <c r="F519" t="s">
        <v>2396</v>
      </c>
      <c r="G519" t="s">
        <v>75</v>
      </c>
      <c r="H519" t="s">
        <v>27</v>
      </c>
      <c r="I519" s="1" t="s">
        <v>28</v>
      </c>
      <c r="J519" t="s">
        <v>42</v>
      </c>
      <c r="K519" t="s">
        <v>43</v>
      </c>
      <c r="L519" s="1">
        <v>666825</v>
      </c>
      <c r="M519" s="1" t="s">
        <v>44</v>
      </c>
      <c r="N519" t="s">
        <v>2397</v>
      </c>
      <c r="O519" t="s">
        <v>46</v>
      </c>
      <c r="P519" t="s">
        <v>47</v>
      </c>
      <c r="Q519" t="s">
        <v>48</v>
      </c>
      <c r="R519">
        <v>46930.64</v>
      </c>
      <c r="S519" s="25" t="e">
        <f>IF(Table1[[#This Row],[Sales]]=MIN(Table1[Sales]), Table1[[#This Row],[Sales]], NA())</f>
        <v>#N/A</v>
      </c>
      <c r="T519" s="25">
        <f>IF(AND(Table1[[#This Row],[Sales]]&lt;&gt;MIN(Table1[Sales]),Table1[[#This Row],[Sales]]&lt;&gt;MAX(Table1[Sales])), Table1[[#This Row],[Sales]], NA())</f>
        <v>46930.64</v>
      </c>
      <c r="U519" s="25" t="e">
        <f>IF(Table1[[#This Row],[Sales]]=MAX(Table1[Sales]), Table1[[#This Row],[Sales]], NA())</f>
        <v>#N/A</v>
      </c>
      <c r="V519">
        <v>3</v>
      </c>
      <c r="W519">
        <v>0</v>
      </c>
      <c r="X519">
        <v>3754.45</v>
      </c>
      <c r="Y519" s="3">
        <f>YEAR(Table1[[#This Row],[Order Date]])</f>
        <v>2025</v>
      </c>
      <c r="Z519" s="3" t="str">
        <f>TEXT(Table1[[#This Row],[Order Date]],"MMM")</f>
        <v>Dec</v>
      </c>
      <c r="AA519" s="3">
        <f>DAY(Table1[[#This Row],[Order Date]])</f>
        <v>11</v>
      </c>
    </row>
    <row r="520" spans="1:27" x14ac:dyDescent="0.35">
      <c r="A520" s="1">
        <v>519</v>
      </c>
      <c r="B520" s="1" t="s">
        <v>2398</v>
      </c>
      <c r="C520" s="1" t="s">
        <v>2399</v>
      </c>
      <c r="D520" s="1" t="s">
        <v>968</v>
      </c>
      <c r="E520" t="s">
        <v>38</v>
      </c>
      <c r="F520" t="s">
        <v>2400</v>
      </c>
      <c r="G520" t="s">
        <v>93</v>
      </c>
      <c r="H520" t="s">
        <v>94</v>
      </c>
      <c r="I520" s="1" t="s">
        <v>28</v>
      </c>
      <c r="J520" t="s">
        <v>53</v>
      </c>
      <c r="K520" t="s">
        <v>54</v>
      </c>
      <c r="L520" s="1">
        <v>322567</v>
      </c>
      <c r="M520" s="1" t="s">
        <v>55</v>
      </c>
      <c r="N520" t="s">
        <v>2401</v>
      </c>
      <c r="O520" t="s">
        <v>46</v>
      </c>
      <c r="P520" t="s">
        <v>57</v>
      </c>
      <c r="Q520" t="s">
        <v>58</v>
      </c>
      <c r="R520">
        <v>48367.99</v>
      </c>
      <c r="S520" s="25" t="e">
        <f>IF(Table1[[#This Row],[Sales]]=MIN(Table1[Sales]), Table1[[#This Row],[Sales]], NA())</f>
        <v>#N/A</v>
      </c>
      <c r="T520" s="25">
        <f>IF(AND(Table1[[#This Row],[Sales]]&lt;&gt;MIN(Table1[Sales]),Table1[[#This Row],[Sales]]&lt;&gt;MAX(Table1[Sales])), Table1[[#This Row],[Sales]], NA())</f>
        <v>48367.99</v>
      </c>
      <c r="U520" s="25" t="e">
        <f>IF(Table1[[#This Row],[Sales]]=MAX(Table1[Sales]), Table1[[#This Row],[Sales]], NA())</f>
        <v>#N/A</v>
      </c>
      <c r="V520">
        <v>10</v>
      </c>
      <c r="W520">
        <v>0</v>
      </c>
      <c r="X520">
        <v>3869.44</v>
      </c>
      <c r="Y520" s="3">
        <f>YEAR(Table1[[#This Row],[Order Date]])</f>
        <v>2024</v>
      </c>
      <c r="Z520" s="3" t="str">
        <f>TEXT(Table1[[#This Row],[Order Date]],"MMM")</f>
        <v>Nov</v>
      </c>
      <c r="AA520" s="3">
        <f>DAY(Table1[[#This Row],[Order Date]])</f>
        <v>11</v>
      </c>
    </row>
    <row r="521" spans="1:27" x14ac:dyDescent="0.35">
      <c r="A521" s="1">
        <v>520</v>
      </c>
      <c r="B521" s="1" t="s">
        <v>2402</v>
      </c>
      <c r="C521" s="1" t="s">
        <v>2403</v>
      </c>
      <c r="D521" s="1" t="s">
        <v>2404</v>
      </c>
      <c r="E521" t="s">
        <v>62</v>
      </c>
      <c r="F521" t="s">
        <v>2405</v>
      </c>
      <c r="G521" t="s">
        <v>93</v>
      </c>
      <c r="H521" t="s">
        <v>41</v>
      </c>
      <c r="I521" s="1" t="s">
        <v>28</v>
      </c>
      <c r="J521" t="s">
        <v>53</v>
      </c>
      <c r="K521" t="s">
        <v>54</v>
      </c>
      <c r="L521" s="1">
        <v>857355</v>
      </c>
      <c r="M521" s="1" t="s">
        <v>55</v>
      </c>
      <c r="N521" t="s">
        <v>2406</v>
      </c>
      <c r="O521" t="s">
        <v>46</v>
      </c>
      <c r="P521" t="s">
        <v>47</v>
      </c>
      <c r="Q521" t="s">
        <v>48</v>
      </c>
      <c r="R521">
        <v>19354.72</v>
      </c>
      <c r="S521" s="25" t="e">
        <f>IF(Table1[[#This Row],[Sales]]=MIN(Table1[Sales]), Table1[[#This Row],[Sales]], NA())</f>
        <v>#N/A</v>
      </c>
      <c r="T521" s="25">
        <f>IF(AND(Table1[[#This Row],[Sales]]&lt;&gt;MIN(Table1[Sales]),Table1[[#This Row],[Sales]]&lt;&gt;MAX(Table1[Sales])), Table1[[#This Row],[Sales]], NA())</f>
        <v>19354.72</v>
      </c>
      <c r="U521" s="25" t="e">
        <f>IF(Table1[[#This Row],[Sales]]=MAX(Table1[Sales]), Table1[[#This Row],[Sales]], NA())</f>
        <v>#N/A</v>
      </c>
      <c r="V521">
        <v>7</v>
      </c>
      <c r="W521">
        <v>0.3</v>
      </c>
      <c r="X521">
        <v>96.77</v>
      </c>
      <c r="Y521" s="3">
        <f>YEAR(Table1[[#This Row],[Order Date]])</f>
        <v>2023</v>
      </c>
      <c r="Z521" s="3" t="str">
        <f>TEXT(Table1[[#This Row],[Order Date]],"MMM")</f>
        <v>Mar</v>
      </c>
      <c r="AA521" s="3">
        <f>DAY(Table1[[#This Row],[Order Date]])</f>
        <v>22</v>
      </c>
    </row>
    <row r="522" spans="1:27" x14ac:dyDescent="0.35">
      <c r="A522" s="1">
        <v>521</v>
      </c>
      <c r="B522" s="1" t="s">
        <v>2407</v>
      </c>
      <c r="C522" s="1" t="s">
        <v>2408</v>
      </c>
      <c r="D522" s="1" t="s">
        <v>2409</v>
      </c>
      <c r="E522" t="s">
        <v>24</v>
      </c>
      <c r="F522" t="s">
        <v>2410</v>
      </c>
      <c r="G522" t="s">
        <v>26</v>
      </c>
      <c r="H522" t="s">
        <v>41</v>
      </c>
      <c r="I522" s="1" t="s">
        <v>28</v>
      </c>
      <c r="J522" t="s">
        <v>64</v>
      </c>
      <c r="K522" t="s">
        <v>65</v>
      </c>
      <c r="L522" s="1">
        <v>680969</v>
      </c>
      <c r="M522" s="1" t="s">
        <v>66</v>
      </c>
      <c r="N522" t="s">
        <v>2411</v>
      </c>
      <c r="O522" t="s">
        <v>46</v>
      </c>
      <c r="P522" t="s">
        <v>57</v>
      </c>
      <c r="Q522" t="s">
        <v>58</v>
      </c>
      <c r="R522">
        <v>94223.01</v>
      </c>
      <c r="S522" s="25" t="e">
        <f>IF(Table1[[#This Row],[Sales]]=MIN(Table1[Sales]), Table1[[#This Row],[Sales]], NA())</f>
        <v>#N/A</v>
      </c>
      <c r="T522" s="25">
        <f>IF(AND(Table1[[#This Row],[Sales]]&lt;&gt;MIN(Table1[Sales]),Table1[[#This Row],[Sales]]&lt;&gt;MAX(Table1[Sales])), Table1[[#This Row],[Sales]], NA())</f>
        <v>94223.01</v>
      </c>
      <c r="U522" s="25" t="e">
        <f>IF(Table1[[#This Row],[Sales]]=MAX(Table1[Sales]), Table1[[#This Row],[Sales]], NA())</f>
        <v>#N/A</v>
      </c>
      <c r="V522">
        <v>6</v>
      </c>
      <c r="W522">
        <v>0.2</v>
      </c>
      <c r="X522">
        <v>2826.69</v>
      </c>
      <c r="Y522" s="3">
        <f>YEAR(Table1[[#This Row],[Order Date]])</f>
        <v>2025</v>
      </c>
      <c r="Z522" s="3" t="str">
        <f>TEXT(Table1[[#This Row],[Order Date]],"MMM")</f>
        <v>Nov</v>
      </c>
      <c r="AA522" s="3">
        <f>DAY(Table1[[#This Row],[Order Date]])</f>
        <v>3</v>
      </c>
    </row>
    <row r="523" spans="1:27" x14ac:dyDescent="0.35">
      <c r="A523" s="1">
        <v>522</v>
      </c>
      <c r="B523" s="1" t="s">
        <v>2412</v>
      </c>
      <c r="C523" s="1" t="s">
        <v>2413</v>
      </c>
      <c r="D523" s="1" t="s">
        <v>2414</v>
      </c>
      <c r="E523" t="s">
        <v>24</v>
      </c>
      <c r="F523" t="s">
        <v>2415</v>
      </c>
      <c r="G523" t="s">
        <v>110</v>
      </c>
      <c r="H523" t="s">
        <v>41</v>
      </c>
      <c r="I523" s="1" t="s">
        <v>28</v>
      </c>
      <c r="J523" t="s">
        <v>64</v>
      </c>
      <c r="K523" t="s">
        <v>65</v>
      </c>
      <c r="L523" s="1">
        <v>142078</v>
      </c>
      <c r="M523" s="1" t="s">
        <v>66</v>
      </c>
      <c r="N523" t="s">
        <v>2416</v>
      </c>
      <c r="O523" t="s">
        <v>46</v>
      </c>
      <c r="P523" t="s">
        <v>57</v>
      </c>
      <c r="Q523" t="s">
        <v>58</v>
      </c>
      <c r="R523">
        <v>41127.800000000003</v>
      </c>
      <c r="S523" s="25" t="e">
        <f>IF(Table1[[#This Row],[Sales]]=MIN(Table1[Sales]), Table1[[#This Row],[Sales]], NA())</f>
        <v>#N/A</v>
      </c>
      <c r="T523" s="25">
        <f>IF(AND(Table1[[#This Row],[Sales]]&lt;&gt;MIN(Table1[Sales]),Table1[[#This Row],[Sales]]&lt;&gt;MAX(Table1[Sales])), Table1[[#This Row],[Sales]], NA())</f>
        <v>41127.800000000003</v>
      </c>
      <c r="U523" s="25" t="e">
        <f>IF(Table1[[#This Row],[Sales]]=MAX(Table1[Sales]), Table1[[#This Row],[Sales]], NA())</f>
        <v>#N/A</v>
      </c>
      <c r="V523">
        <v>10</v>
      </c>
      <c r="W523">
        <v>0.2</v>
      </c>
      <c r="X523">
        <v>1233.83</v>
      </c>
      <c r="Y523" s="3">
        <f>YEAR(Table1[[#This Row],[Order Date]])</f>
        <v>2022</v>
      </c>
      <c r="Z523" s="3" t="str">
        <f>TEXT(Table1[[#This Row],[Order Date]],"MMM")</f>
        <v>Aug</v>
      </c>
      <c r="AA523" s="3">
        <f>DAY(Table1[[#This Row],[Order Date]])</f>
        <v>3</v>
      </c>
    </row>
    <row r="524" spans="1:27" x14ac:dyDescent="0.35">
      <c r="A524" s="1">
        <v>523</v>
      </c>
      <c r="B524" s="1" t="s">
        <v>2417</v>
      </c>
      <c r="C524" s="1" t="s">
        <v>2418</v>
      </c>
      <c r="D524" s="1" t="s">
        <v>2419</v>
      </c>
      <c r="E524" t="s">
        <v>38</v>
      </c>
      <c r="F524" t="s">
        <v>2420</v>
      </c>
      <c r="G524" t="s">
        <v>87</v>
      </c>
      <c r="H524" t="s">
        <v>41</v>
      </c>
      <c r="I524" s="1" t="s">
        <v>28</v>
      </c>
      <c r="J524" t="s">
        <v>64</v>
      </c>
      <c r="K524" t="s">
        <v>65</v>
      </c>
      <c r="L524" s="1">
        <v>502104</v>
      </c>
      <c r="M524" s="1" t="s">
        <v>66</v>
      </c>
      <c r="N524" t="s">
        <v>2421</v>
      </c>
      <c r="O524" t="s">
        <v>46</v>
      </c>
      <c r="P524" t="s">
        <v>57</v>
      </c>
      <c r="Q524" t="s">
        <v>58</v>
      </c>
      <c r="R524">
        <v>95656.77</v>
      </c>
      <c r="S524" s="25" t="e">
        <f>IF(Table1[[#This Row],[Sales]]=MIN(Table1[Sales]), Table1[[#This Row],[Sales]], NA())</f>
        <v>#N/A</v>
      </c>
      <c r="T524" s="25">
        <f>IF(AND(Table1[[#This Row],[Sales]]&lt;&gt;MIN(Table1[Sales]),Table1[[#This Row],[Sales]]&lt;&gt;MAX(Table1[Sales])), Table1[[#This Row],[Sales]], NA())</f>
        <v>95656.77</v>
      </c>
      <c r="U524" s="25" t="e">
        <f>IF(Table1[[#This Row],[Sales]]=MAX(Table1[Sales]), Table1[[#This Row],[Sales]], NA())</f>
        <v>#N/A</v>
      </c>
      <c r="V524">
        <v>7</v>
      </c>
      <c r="W524">
        <v>0.1</v>
      </c>
      <c r="X524">
        <v>5261.12</v>
      </c>
      <c r="Y524" s="3">
        <f>YEAR(Table1[[#This Row],[Order Date]])</f>
        <v>2023</v>
      </c>
      <c r="Z524" s="3" t="str">
        <f>TEXT(Table1[[#This Row],[Order Date]],"MMM")</f>
        <v>Jun</v>
      </c>
      <c r="AA524" s="3">
        <f>DAY(Table1[[#This Row],[Order Date]])</f>
        <v>3</v>
      </c>
    </row>
    <row r="525" spans="1:27" x14ac:dyDescent="0.35">
      <c r="A525" s="1">
        <v>524</v>
      </c>
      <c r="B525" s="1" t="s">
        <v>2422</v>
      </c>
      <c r="C525" s="1" t="s">
        <v>2423</v>
      </c>
      <c r="D525" s="1" t="s">
        <v>2424</v>
      </c>
      <c r="E525" t="s">
        <v>115</v>
      </c>
      <c r="F525" t="s">
        <v>2425</v>
      </c>
      <c r="G525" t="s">
        <v>81</v>
      </c>
      <c r="H525" t="s">
        <v>94</v>
      </c>
      <c r="I525" s="1" t="s">
        <v>28</v>
      </c>
      <c r="J525" t="s">
        <v>29</v>
      </c>
      <c r="K525" t="s">
        <v>29</v>
      </c>
      <c r="L525" s="1">
        <v>581558</v>
      </c>
      <c r="M525" s="1" t="s">
        <v>30</v>
      </c>
      <c r="N525" t="s">
        <v>2426</v>
      </c>
      <c r="O525" t="s">
        <v>32</v>
      </c>
      <c r="P525" t="s">
        <v>33</v>
      </c>
      <c r="Q525" t="s">
        <v>34</v>
      </c>
      <c r="R525">
        <v>33385.93</v>
      </c>
      <c r="S525" s="25" t="e">
        <f>IF(Table1[[#This Row],[Sales]]=MIN(Table1[Sales]), Table1[[#This Row],[Sales]], NA())</f>
        <v>#N/A</v>
      </c>
      <c r="T525" s="25">
        <f>IF(AND(Table1[[#This Row],[Sales]]&lt;&gt;MIN(Table1[Sales]),Table1[[#This Row],[Sales]]&lt;&gt;MAX(Table1[Sales])), Table1[[#This Row],[Sales]], NA())</f>
        <v>33385.93</v>
      </c>
      <c r="U525" s="25" t="e">
        <f>IF(Table1[[#This Row],[Sales]]=MAX(Table1[Sales]), Table1[[#This Row],[Sales]], NA())</f>
        <v>#N/A</v>
      </c>
      <c r="V525">
        <v>2</v>
      </c>
      <c r="W525">
        <v>0.2</v>
      </c>
      <c r="X525">
        <v>1001.58</v>
      </c>
      <c r="Y525" s="3">
        <f>YEAR(Table1[[#This Row],[Order Date]])</f>
        <v>2021</v>
      </c>
      <c r="Z525" s="3" t="str">
        <f>TEXT(Table1[[#This Row],[Order Date]],"MMM")</f>
        <v>Nov</v>
      </c>
      <c r="AA525" s="3">
        <f>DAY(Table1[[#This Row],[Order Date]])</f>
        <v>18</v>
      </c>
    </row>
    <row r="526" spans="1:27" x14ac:dyDescent="0.35">
      <c r="A526" s="1">
        <v>525</v>
      </c>
      <c r="B526" s="1" t="s">
        <v>2427</v>
      </c>
      <c r="C526" s="1" t="s">
        <v>2428</v>
      </c>
      <c r="D526" s="1" t="s">
        <v>2429</v>
      </c>
      <c r="E526" t="s">
        <v>115</v>
      </c>
      <c r="F526" t="s">
        <v>2430</v>
      </c>
      <c r="G526" t="s">
        <v>122</v>
      </c>
      <c r="H526" t="s">
        <v>41</v>
      </c>
      <c r="I526" s="1" t="s">
        <v>28</v>
      </c>
      <c r="J526" t="s">
        <v>53</v>
      </c>
      <c r="K526" t="s">
        <v>54</v>
      </c>
      <c r="L526" s="1">
        <v>795857</v>
      </c>
      <c r="M526" s="1" t="s">
        <v>55</v>
      </c>
      <c r="N526" t="s">
        <v>2431</v>
      </c>
      <c r="O526" t="s">
        <v>46</v>
      </c>
      <c r="P526" t="s">
        <v>47</v>
      </c>
      <c r="Q526" t="s">
        <v>48</v>
      </c>
      <c r="R526">
        <v>22745.01</v>
      </c>
      <c r="S526" s="25" t="e">
        <f>IF(Table1[[#This Row],[Sales]]=MIN(Table1[Sales]), Table1[[#This Row],[Sales]], NA())</f>
        <v>#N/A</v>
      </c>
      <c r="T526" s="25">
        <f>IF(AND(Table1[[#This Row],[Sales]]&lt;&gt;MIN(Table1[Sales]),Table1[[#This Row],[Sales]]&lt;&gt;MAX(Table1[Sales])), Table1[[#This Row],[Sales]], NA())</f>
        <v>22745.01</v>
      </c>
      <c r="U526" s="25" t="e">
        <f>IF(Table1[[#This Row],[Sales]]=MAX(Table1[Sales]), Table1[[#This Row],[Sales]], NA())</f>
        <v>#N/A</v>
      </c>
      <c r="V526">
        <v>10</v>
      </c>
      <c r="W526">
        <v>0</v>
      </c>
      <c r="X526">
        <v>1819.6</v>
      </c>
      <c r="Y526" s="3">
        <f>YEAR(Table1[[#This Row],[Order Date]])</f>
        <v>2023</v>
      </c>
      <c r="Z526" s="3" t="str">
        <f>TEXT(Table1[[#This Row],[Order Date]],"MMM")</f>
        <v>Feb</v>
      </c>
      <c r="AA526" s="3">
        <f>DAY(Table1[[#This Row],[Order Date]])</f>
        <v>26</v>
      </c>
    </row>
    <row r="527" spans="1:27" x14ac:dyDescent="0.35">
      <c r="A527" s="1">
        <v>526</v>
      </c>
      <c r="B527" s="1" t="s">
        <v>2432</v>
      </c>
      <c r="C527" s="1" t="s">
        <v>2433</v>
      </c>
      <c r="D527" s="1" t="s">
        <v>2434</v>
      </c>
      <c r="E527" t="s">
        <v>38</v>
      </c>
      <c r="F527" t="s">
        <v>2435</v>
      </c>
      <c r="G527" t="s">
        <v>140</v>
      </c>
      <c r="H527" t="s">
        <v>27</v>
      </c>
      <c r="I527" s="1" t="s">
        <v>28</v>
      </c>
      <c r="J527" t="s">
        <v>53</v>
      </c>
      <c r="K527" t="s">
        <v>54</v>
      </c>
      <c r="L527" s="1">
        <v>401787</v>
      </c>
      <c r="M527" s="1" t="s">
        <v>55</v>
      </c>
      <c r="N527" t="s">
        <v>2436</v>
      </c>
      <c r="O527" t="s">
        <v>68</v>
      </c>
      <c r="P527" t="s">
        <v>69</v>
      </c>
      <c r="Q527" t="s">
        <v>70</v>
      </c>
      <c r="R527">
        <v>62304.27</v>
      </c>
      <c r="S527" s="25" t="e">
        <f>IF(Table1[[#This Row],[Sales]]=MIN(Table1[Sales]), Table1[[#This Row],[Sales]], NA())</f>
        <v>#N/A</v>
      </c>
      <c r="T527" s="25">
        <f>IF(AND(Table1[[#This Row],[Sales]]&lt;&gt;MIN(Table1[Sales]),Table1[[#This Row],[Sales]]&lt;&gt;MAX(Table1[Sales])), Table1[[#This Row],[Sales]], NA())</f>
        <v>62304.27</v>
      </c>
      <c r="U527" s="25" t="e">
        <f>IF(Table1[[#This Row],[Sales]]=MAX(Table1[Sales]), Table1[[#This Row],[Sales]], NA())</f>
        <v>#N/A</v>
      </c>
      <c r="V527">
        <v>5</v>
      </c>
      <c r="W527">
        <v>0.2</v>
      </c>
      <c r="X527">
        <v>1869.13</v>
      </c>
      <c r="Y527" s="3">
        <f>YEAR(Table1[[#This Row],[Order Date]])</f>
        <v>2021</v>
      </c>
      <c r="Z527" s="3" t="str">
        <f>TEXT(Table1[[#This Row],[Order Date]],"MMM")</f>
        <v>Apr</v>
      </c>
      <c r="AA527" s="3">
        <f>DAY(Table1[[#This Row],[Order Date]])</f>
        <v>10</v>
      </c>
    </row>
    <row r="528" spans="1:27" x14ac:dyDescent="0.35">
      <c r="A528" s="1">
        <v>527</v>
      </c>
      <c r="B528" s="1" t="s">
        <v>2437</v>
      </c>
      <c r="C528" s="1" t="s">
        <v>2438</v>
      </c>
      <c r="D528" s="1" t="s">
        <v>1037</v>
      </c>
      <c r="E528" t="s">
        <v>38</v>
      </c>
      <c r="F528" t="s">
        <v>2439</v>
      </c>
      <c r="G528" t="s">
        <v>122</v>
      </c>
      <c r="H528" t="s">
        <v>41</v>
      </c>
      <c r="I528" s="1" t="s">
        <v>28</v>
      </c>
      <c r="J528" t="s">
        <v>29</v>
      </c>
      <c r="K528" t="s">
        <v>29</v>
      </c>
      <c r="L528" s="1">
        <v>308528</v>
      </c>
      <c r="M528" s="1" t="s">
        <v>30</v>
      </c>
      <c r="N528" t="s">
        <v>2440</v>
      </c>
      <c r="O528" t="s">
        <v>32</v>
      </c>
      <c r="P528" t="s">
        <v>33</v>
      </c>
      <c r="Q528" t="s">
        <v>34</v>
      </c>
      <c r="R528">
        <v>69814.55</v>
      </c>
      <c r="S528" s="25" t="e">
        <f>IF(Table1[[#This Row],[Sales]]=MIN(Table1[Sales]), Table1[[#This Row],[Sales]], NA())</f>
        <v>#N/A</v>
      </c>
      <c r="T528" s="25">
        <f>IF(AND(Table1[[#This Row],[Sales]]&lt;&gt;MIN(Table1[Sales]),Table1[[#This Row],[Sales]]&lt;&gt;MAX(Table1[Sales])), Table1[[#This Row],[Sales]], NA())</f>
        <v>69814.55</v>
      </c>
      <c r="U528" s="25" t="e">
        <f>IF(Table1[[#This Row],[Sales]]=MAX(Table1[Sales]), Table1[[#This Row],[Sales]], NA())</f>
        <v>#N/A</v>
      </c>
      <c r="V528">
        <v>6</v>
      </c>
      <c r="W528">
        <v>0.3</v>
      </c>
      <c r="X528">
        <v>349.07</v>
      </c>
      <c r="Y528" s="3">
        <f>YEAR(Table1[[#This Row],[Order Date]])</f>
        <v>2022</v>
      </c>
      <c r="Z528" s="3" t="str">
        <f>TEXT(Table1[[#This Row],[Order Date]],"MMM")</f>
        <v>Apr</v>
      </c>
      <c r="AA528" s="3">
        <f>DAY(Table1[[#This Row],[Order Date]])</f>
        <v>3</v>
      </c>
    </row>
    <row r="529" spans="1:27" x14ac:dyDescent="0.35">
      <c r="A529" s="1">
        <v>528</v>
      </c>
      <c r="B529" s="1" t="s">
        <v>2441</v>
      </c>
      <c r="C529" s="1" t="s">
        <v>567</v>
      </c>
      <c r="D529" s="1" t="s">
        <v>2442</v>
      </c>
      <c r="E529" t="s">
        <v>38</v>
      </c>
      <c r="F529" t="s">
        <v>2443</v>
      </c>
      <c r="G529" t="s">
        <v>122</v>
      </c>
      <c r="H529" t="s">
        <v>27</v>
      </c>
      <c r="I529" s="1" t="s">
        <v>28</v>
      </c>
      <c r="J529" t="s">
        <v>29</v>
      </c>
      <c r="K529" t="s">
        <v>29</v>
      </c>
      <c r="L529" s="1">
        <v>320421</v>
      </c>
      <c r="M529" s="1" t="s">
        <v>30</v>
      </c>
      <c r="N529" t="s">
        <v>2444</v>
      </c>
      <c r="O529" t="s">
        <v>32</v>
      </c>
      <c r="P529" t="s">
        <v>33</v>
      </c>
      <c r="Q529" t="s">
        <v>34</v>
      </c>
      <c r="R529">
        <v>70494.490000000005</v>
      </c>
      <c r="S529" s="25" t="e">
        <f>IF(Table1[[#This Row],[Sales]]=MIN(Table1[Sales]), Table1[[#This Row],[Sales]], NA())</f>
        <v>#N/A</v>
      </c>
      <c r="T529" s="25">
        <f>IF(AND(Table1[[#This Row],[Sales]]&lt;&gt;MIN(Table1[Sales]),Table1[[#This Row],[Sales]]&lt;&gt;MAX(Table1[Sales])), Table1[[#This Row],[Sales]], NA())</f>
        <v>70494.490000000005</v>
      </c>
      <c r="U529" s="25" t="e">
        <f>IF(Table1[[#This Row],[Sales]]=MAX(Table1[Sales]), Table1[[#This Row],[Sales]], NA())</f>
        <v>#N/A</v>
      </c>
      <c r="V529">
        <v>8</v>
      </c>
      <c r="W529">
        <v>0.1</v>
      </c>
      <c r="X529">
        <v>3877.2</v>
      </c>
      <c r="Y529" s="3">
        <f>YEAR(Table1[[#This Row],[Order Date]])</f>
        <v>2022</v>
      </c>
      <c r="Z529" s="3" t="str">
        <f>TEXT(Table1[[#This Row],[Order Date]],"MMM")</f>
        <v>Oct</v>
      </c>
      <c r="AA529" s="3">
        <f>DAY(Table1[[#This Row],[Order Date]])</f>
        <v>1</v>
      </c>
    </row>
    <row r="530" spans="1:27" x14ac:dyDescent="0.35">
      <c r="A530" s="1">
        <v>529</v>
      </c>
      <c r="B530" s="1" t="s">
        <v>2445</v>
      </c>
      <c r="C530" s="1" t="s">
        <v>2446</v>
      </c>
      <c r="D530" s="1" t="s">
        <v>2228</v>
      </c>
      <c r="E530" t="s">
        <v>38</v>
      </c>
      <c r="F530" t="s">
        <v>2447</v>
      </c>
      <c r="G530" t="s">
        <v>26</v>
      </c>
      <c r="H530" t="s">
        <v>41</v>
      </c>
      <c r="I530" s="1" t="s">
        <v>28</v>
      </c>
      <c r="J530" t="s">
        <v>64</v>
      </c>
      <c r="K530" t="s">
        <v>65</v>
      </c>
      <c r="L530" s="1">
        <v>390095</v>
      </c>
      <c r="M530" s="1" t="s">
        <v>66</v>
      </c>
      <c r="N530" t="s">
        <v>2448</v>
      </c>
      <c r="O530" t="s">
        <v>46</v>
      </c>
      <c r="P530" t="s">
        <v>57</v>
      </c>
      <c r="Q530" t="s">
        <v>58</v>
      </c>
      <c r="R530">
        <v>89016.15</v>
      </c>
      <c r="S530" s="25" t="e">
        <f>IF(Table1[[#This Row],[Sales]]=MIN(Table1[Sales]), Table1[[#This Row],[Sales]], NA())</f>
        <v>#N/A</v>
      </c>
      <c r="T530" s="25">
        <f>IF(AND(Table1[[#This Row],[Sales]]&lt;&gt;MIN(Table1[Sales]),Table1[[#This Row],[Sales]]&lt;&gt;MAX(Table1[Sales])), Table1[[#This Row],[Sales]], NA())</f>
        <v>89016.15</v>
      </c>
      <c r="U530" s="25" t="e">
        <f>IF(Table1[[#This Row],[Sales]]=MAX(Table1[Sales]), Table1[[#This Row],[Sales]], NA())</f>
        <v>#N/A</v>
      </c>
      <c r="V530">
        <v>4</v>
      </c>
      <c r="W530">
        <v>0.3</v>
      </c>
      <c r="X530">
        <v>445.08</v>
      </c>
      <c r="Y530" s="3">
        <f>YEAR(Table1[[#This Row],[Order Date]])</f>
        <v>2022</v>
      </c>
      <c r="Z530" s="3" t="str">
        <f>TEXT(Table1[[#This Row],[Order Date]],"MMM")</f>
        <v>Nov</v>
      </c>
      <c r="AA530" s="3">
        <f>DAY(Table1[[#This Row],[Order Date]])</f>
        <v>9</v>
      </c>
    </row>
    <row r="531" spans="1:27" x14ac:dyDescent="0.35">
      <c r="A531" s="1">
        <v>530</v>
      </c>
      <c r="B531" s="1" t="s">
        <v>2449</v>
      </c>
      <c r="C531" s="1" t="s">
        <v>2450</v>
      </c>
      <c r="D531" s="1" t="s">
        <v>2451</v>
      </c>
      <c r="E531" t="s">
        <v>115</v>
      </c>
      <c r="F531" t="s">
        <v>2452</v>
      </c>
      <c r="G531" t="s">
        <v>122</v>
      </c>
      <c r="H531" t="s">
        <v>27</v>
      </c>
      <c r="I531" s="1" t="s">
        <v>28</v>
      </c>
      <c r="J531" t="s">
        <v>64</v>
      </c>
      <c r="K531" t="s">
        <v>65</v>
      </c>
      <c r="L531" s="1">
        <v>422560</v>
      </c>
      <c r="M531" s="1" t="s">
        <v>66</v>
      </c>
      <c r="N531" t="s">
        <v>2453</v>
      </c>
      <c r="O531" t="s">
        <v>46</v>
      </c>
      <c r="P531" t="s">
        <v>57</v>
      </c>
      <c r="Q531" t="s">
        <v>58</v>
      </c>
      <c r="R531">
        <v>83256.289999999994</v>
      </c>
      <c r="S531" s="25" t="e">
        <f>IF(Table1[[#This Row],[Sales]]=MIN(Table1[Sales]), Table1[[#This Row],[Sales]], NA())</f>
        <v>#N/A</v>
      </c>
      <c r="T531" s="25">
        <f>IF(AND(Table1[[#This Row],[Sales]]&lt;&gt;MIN(Table1[Sales]),Table1[[#This Row],[Sales]]&lt;&gt;MAX(Table1[Sales])), Table1[[#This Row],[Sales]], NA())</f>
        <v>83256.289999999994</v>
      </c>
      <c r="U531" s="25" t="e">
        <f>IF(Table1[[#This Row],[Sales]]=MAX(Table1[Sales]), Table1[[#This Row],[Sales]], NA())</f>
        <v>#N/A</v>
      </c>
      <c r="V531">
        <v>6</v>
      </c>
      <c r="W531">
        <v>0.3</v>
      </c>
      <c r="X531">
        <v>416.28</v>
      </c>
      <c r="Y531" s="3">
        <f>YEAR(Table1[[#This Row],[Order Date]])</f>
        <v>2025</v>
      </c>
      <c r="Z531" s="3" t="str">
        <f>TEXT(Table1[[#This Row],[Order Date]],"MMM")</f>
        <v>Jul</v>
      </c>
      <c r="AA531" s="3">
        <f>DAY(Table1[[#This Row],[Order Date]])</f>
        <v>19</v>
      </c>
    </row>
    <row r="532" spans="1:27" x14ac:dyDescent="0.35">
      <c r="A532" s="1">
        <v>531</v>
      </c>
      <c r="B532" s="1" t="s">
        <v>2454</v>
      </c>
      <c r="C532" s="1" t="s">
        <v>929</v>
      </c>
      <c r="D532" s="1" t="s">
        <v>1010</v>
      </c>
      <c r="E532" t="s">
        <v>24</v>
      </c>
      <c r="F532" t="s">
        <v>2455</v>
      </c>
      <c r="G532" t="s">
        <v>122</v>
      </c>
      <c r="H532" t="s">
        <v>94</v>
      </c>
      <c r="I532" s="1" t="s">
        <v>28</v>
      </c>
      <c r="J532" t="s">
        <v>42</v>
      </c>
      <c r="K532" t="s">
        <v>43</v>
      </c>
      <c r="L532" s="1">
        <v>681295</v>
      </c>
      <c r="M532" s="1" t="s">
        <v>44</v>
      </c>
      <c r="N532" t="s">
        <v>2456</v>
      </c>
      <c r="O532" t="s">
        <v>46</v>
      </c>
      <c r="P532" t="s">
        <v>57</v>
      </c>
      <c r="Q532" t="s">
        <v>58</v>
      </c>
      <c r="R532">
        <v>36109.11</v>
      </c>
      <c r="S532" s="25" t="e">
        <f>IF(Table1[[#This Row],[Sales]]=MIN(Table1[Sales]), Table1[[#This Row],[Sales]], NA())</f>
        <v>#N/A</v>
      </c>
      <c r="T532" s="25">
        <f>IF(AND(Table1[[#This Row],[Sales]]&lt;&gt;MIN(Table1[Sales]),Table1[[#This Row],[Sales]]&lt;&gt;MAX(Table1[Sales])), Table1[[#This Row],[Sales]], NA())</f>
        <v>36109.11</v>
      </c>
      <c r="U532" s="25" t="e">
        <f>IF(Table1[[#This Row],[Sales]]=MAX(Table1[Sales]), Table1[[#This Row],[Sales]], NA())</f>
        <v>#N/A</v>
      </c>
      <c r="V532">
        <v>9</v>
      </c>
      <c r="W532">
        <v>0.3</v>
      </c>
      <c r="X532">
        <v>180.55</v>
      </c>
      <c r="Y532" s="3">
        <f>YEAR(Table1[[#This Row],[Order Date]])</f>
        <v>2025</v>
      </c>
      <c r="Z532" s="3" t="str">
        <f>TEXT(Table1[[#This Row],[Order Date]],"MMM")</f>
        <v>Aug</v>
      </c>
      <c r="AA532" s="3">
        <f>DAY(Table1[[#This Row],[Order Date]])</f>
        <v>30</v>
      </c>
    </row>
    <row r="533" spans="1:27" x14ac:dyDescent="0.35">
      <c r="A533" s="1">
        <v>532</v>
      </c>
      <c r="B533" s="1" t="s">
        <v>2457</v>
      </c>
      <c r="C533" s="1" t="s">
        <v>2458</v>
      </c>
      <c r="D533" s="1" t="s">
        <v>1912</v>
      </c>
      <c r="E533" t="s">
        <v>62</v>
      </c>
      <c r="F533" t="s">
        <v>2459</v>
      </c>
      <c r="G533" t="s">
        <v>81</v>
      </c>
      <c r="H533" t="s">
        <v>27</v>
      </c>
      <c r="I533" s="1" t="s">
        <v>28</v>
      </c>
      <c r="J533" t="s">
        <v>64</v>
      </c>
      <c r="K533" t="s">
        <v>65</v>
      </c>
      <c r="L533" s="1">
        <v>623248</v>
      </c>
      <c r="M533" s="1" t="s">
        <v>66</v>
      </c>
      <c r="N533" t="s">
        <v>2460</v>
      </c>
      <c r="O533" t="s">
        <v>32</v>
      </c>
      <c r="P533" t="s">
        <v>33</v>
      </c>
      <c r="Q533" t="s">
        <v>34</v>
      </c>
      <c r="R533">
        <v>41416.26</v>
      </c>
      <c r="S533" s="25" t="e">
        <f>IF(Table1[[#This Row],[Sales]]=MIN(Table1[Sales]), Table1[[#This Row],[Sales]], NA())</f>
        <v>#N/A</v>
      </c>
      <c r="T533" s="25">
        <f>IF(AND(Table1[[#This Row],[Sales]]&lt;&gt;MIN(Table1[Sales]),Table1[[#This Row],[Sales]]&lt;&gt;MAX(Table1[Sales])), Table1[[#This Row],[Sales]], NA())</f>
        <v>41416.26</v>
      </c>
      <c r="U533" s="25" t="e">
        <f>IF(Table1[[#This Row],[Sales]]=MAX(Table1[Sales]), Table1[[#This Row],[Sales]], NA())</f>
        <v>#N/A</v>
      </c>
      <c r="V533">
        <v>10</v>
      </c>
      <c r="W533">
        <v>0.2</v>
      </c>
      <c r="X533">
        <v>1242.49</v>
      </c>
      <c r="Y533" s="3">
        <f>YEAR(Table1[[#This Row],[Order Date]])</f>
        <v>2022</v>
      </c>
      <c r="Z533" s="3" t="str">
        <f>TEXT(Table1[[#This Row],[Order Date]],"MMM")</f>
        <v>Jan</v>
      </c>
      <c r="AA533" s="3">
        <f>DAY(Table1[[#This Row],[Order Date]])</f>
        <v>24</v>
      </c>
    </row>
    <row r="534" spans="1:27" x14ac:dyDescent="0.35">
      <c r="A534" s="1">
        <v>533</v>
      </c>
      <c r="B534" s="1" t="s">
        <v>2461</v>
      </c>
      <c r="C534" s="1" t="s">
        <v>2462</v>
      </c>
      <c r="D534" s="1" t="s">
        <v>2463</v>
      </c>
      <c r="E534" t="s">
        <v>62</v>
      </c>
      <c r="F534" t="s">
        <v>2464</v>
      </c>
      <c r="G534" t="s">
        <v>188</v>
      </c>
      <c r="H534" t="s">
        <v>94</v>
      </c>
      <c r="I534" s="1" t="s">
        <v>28</v>
      </c>
      <c r="J534" t="s">
        <v>64</v>
      </c>
      <c r="K534" t="s">
        <v>65</v>
      </c>
      <c r="L534" s="1">
        <v>590976</v>
      </c>
      <c r="M534" s="1" t="s">
        <v>66</v>
      </c>
      <c r="N534" t="s">
        <v>2465</v>
      </c>
      <c r="O534" t="s">
        <v>46</v>
      </c>
      <c r="P534" t="s">
        <v>57</v>
      </c>
      <c r="Q534" t="s">
        <v>58</v>
      </c>
      <c r="R534">
        <v>6970.57</v>
      </c>
      <c r="S534" s="25" t="e">
        <f>IF(Table1[[#This Row],[Sales]]=MIN(Table1[Sales]), Table1[[#This Row],[Sales]], NA())</f>
        <v>#N/A</v>
      </c>
      <c r="T534" s="25">
        <f>IF(AND(Table1[[#This Row],[Sales]]&lt;&gt;MIN(Table1[Sales]),Table1[[#This Row],[Sales]]&lt;&gt;MAX(Table1[Sales])), Table1[[#This Row],[Sales]], NA())</f>
        <v>6970.57</v>
      </c>
      <c r="U534" s="25" t="e">
        <f>IF(Table1[[#This Row],[Sales]]=MAX(Table1[Sales]), Table1[[#This Row],[Sales]], NA())</f>
        <v>#N/A</v>
      </c>
      <c r="V534">
        <v>9</v>
      </c>
      <c r="W534">
        <v>0.2</v>
      </c>
      <c r="X534">
        <v>209.12</v>
      </c>
      <c r="Y534" s="3">
        <f>YEAR(Table1[[#This Row],[Order Date]])</f>
        <v>2022</v>
      </c>
      <c r="Z534" s="3" t="str">
        <f>TEXT(Table1[[#This Row],[Order Date]],"MMM")</f>
        <v>Jul</v>
      </c>
      <c r="AA534" s="3">
        <f>DAY(Table1[[#This Row],[Order Date]])</f>
        <v>4</v>
      </c>
    </row>
    <row r="535" spans="1:27" x14ac:dyDescent="0.35">
      <c r="A535" s="1">
        <v>534</v>
      </c>
      <c r="B535" s="1" t="s">
        <v>2466</v>
      </c>
      <c r="C535" s="1" t="s">
        <v>2467</v>
      </c>
      <c r="D535" s="1" t="s">
        <v>2468</v>
      </c>
      <c r="E535" t="s">
        <v>38</v>
      </c>
      <c r="F535" t="s">
        <v>2469</v>
      </c>
      <c r="G535" t="s">
        <v>122</v>
      </c>
      <c r="H535" t="s">
        <v>27</v>
      </c>
      <c r="I535" s="1" t="s">
        <v>28</v>
      </c>
      <c r="J535" t="s">
        <v>42</v>
      </c>
      <c r="K535" t="s">
        <v>43</v>
      </c>
      <c r="L535" s="1">
        <v>770198</v>
      </c>
      <c r="M535" s="1" t="s">
        <v>44</v>
      </c>
      <c r="N535" t="s">
        <v>2470</v>
      </c>
      <c r="O535" t="s">
        <v>46</v>
      </c>
      <c r="P535" t="s">
        <v>47</v>
      </c>
      <c r="Q535" t="s">
        <v>48</v>
      </c>
      <c r="R535">
        <v>38991.339999999997</v>
      </c>
      <c r="S535" s="25" t="e">
        <f>IF(Table1[[#This Row],[Sales]]=MIN(Table1[Sales]), Table1[[#This Row],[Sales]], NA())</f>
        <v>#N/A</v>
      </c>
      <c r="T535" s="25">
        <f>IF(AND(Table1[[#This Row],[Sales]]&lt;&gt;MIN(Table1[Sales]),Table1[[#This Row],[Sales]]&lt;&gt;MAX(Table1[Sales])), Table1[[#This Row],[Sales]], NA())</f>
        <v>38991.339999999997</v>
      </c>
      <c r="U535" s="25" t="e">
        <f>IF(Table1[[#This Row],[Sales]]=MAX(Table1[Sales]), Table1[[#This Row],[Sales]], NA())</f>
        <v>#N/A</v>
      </c>
      <c r="V535">
        <v>9</v>
      </c>
      <c r="W535">
        <v>0.2</v>
      </c>
      <c r="X535">
        <v>1169.74</v>
      </c>
      <c r="Y535" s="3">
        <f>YEAR(Table1[[#This Row],[Order Date]])</f>
        <v>2022</v>
      </c>
      <c r="Z535" s="3" t="str">
        <f>TEXT(Table1[[#This Row],[Order Date]],"MMM")</f>
        <v>Jul</v>
      </c>
      <c r="AA535" s="3">
        <f>DAY(Table1[[#This Row],[Order Date]])</f>
        <v>11</v>
      </c>
    </row>
    <row r="536" spans="1:27" x14ac:dyDescent="0.35">
      <c r="A536" s="1">
        <v>535</v>
      </c>
      <c r="B536" s="1" t="s">
        <v>2471</v>
      </c>
      <c r="C536" s="1" t="s">
        <v>2472</v>
      </c>
      <c r="D536" s="1" t="s">
        <v>2473</v>
      </c>
      <c r="E536" t="s">
        <v>38</v>
      </c>
      <c r="F536" t="s">
        <v>2474</v>
      </c>
      <c r="G536" t="s">
        <v>26</v>
      </c>
      <c r="H536" t="s">
        <v>94</v>
      </c>
      <c r="I536" s="1" t="s">
        <v>28</v>
      </c>
      <c r="J536" t="s">
        <v>29</v>
      </c>
      <c r="K536" t="s">
        <v>29</v>
      </c>
      <c r="L536" s="1">
        <v>868334</v>
      </c>
      <c r="M536" s="1" t="s">
        <v>30</v>
      </c>
      <c r="N536" t="s">
        <v>2475</v>
      </c>
      <c r="O536" t="s">
        <v>46</v>
      </c>
      <c r="P536" t="s">
        <v>57</v>
      </c>
      <c r="Q536" t="s">
        <v>58</v>
      </c>
      <c r="R536">
        <v>68402.2</v>
      </c>
      <c r="S536" s="25" t="e">
        <f>IF(Table1[[#This Row],[Sales]]=MIN(Table1[Sales]), Table1[[#This Row],[Sales]], NA())</f>
        <v>#N/A</v>
      </c>
      <c r="T536" s="25">
        <f>IF(AND(Table1[[#This Row],[Sales]]&lt;&gt;MIN(Table1[Sales]),Table1[[#This Row],[Sales]]&lt;&gt;MAX(Table1[Sales])), Table1[[#This Row],[Sales]], NA())</f>
        <v>68402.2</v>
      </c>
      <c r="U536" s="25" t="e">
        <f>IF(Table1[[#This Row],[Sales]]=MAX(Table1[Sales]), Table1[[#This Row],[Sales]], NA())</f>
        <v>#N/A</v>
      </c>
      <c r="V536">
        <v>8</v>
      </c>
      <c r="W536">
        <v>0</v>
      </c>
      <c r="X536">
        <v>5472.18</v>
      </c>
      <c r="Y536" s="3">
        <f>YEAR(Table1[[#This Row],[Order Date]])</f>
        <v>2021</v>
      </c>
      <c r="Z536" s="3" t="str">
        <f>TEXT(Table1[[#This Row],[Order Date]],"MMM")</f>
        <v>Aug</v>
      </c>
      <c r="AA536" s="3">
        <f>DAY(Table1[[#This Row],[Order Date]])</f>
        <v>18</v>
      </c>
    </row>
    <row r="537" spans="1:27" x14ac:dyDescent="0.35">
      <c r="A537" s="1">
        <v>536</v>
      </c>
      <c r="B537" s="1" t="s">
        <v>2476</v>
      </c>
      <c r="C537" s="1" t="s">
        <v>2477</v>
      </c>
      <c r="D537" s="1" t="s">
        <v>2478</v>
      </c>
      <c r="E537" t="s">
        <v>62</v>
      </c>
      <c r="F537" t="s">
        <v>2479</v>
      </c>
      <c r="G537" t="s">
        <v>75</v>
      </c>
      <c r="H537" t="s">
        <v>94</v>
      </c>
      <c r="I537" s="1" t="s">
        <v>28</v>
      </c>
      <c r="J537" t="s">
        <v>128</v>
      </c>
      <c r="K537" t="s">
        <v>129</v>
      </c>
      <c r="L537" s="1">
        <v>848800</v>
      </c>
      <c r="M537" s="1" t="s">
        <v>66</v>
      </c>
      <c r="N537" t="s">
        <v>2480</v>
      </c>
      <c r="O537" t="s">
        <v>32</v>
      </c>
      <c r="P537" t="s">
        <v>33</v>
      </c>
      <c r="Q537" t="s">
        <v>34</v>
      </c>
      <c r="R537">
        <v>17837.55</v>
      </c>
      <c r="S537" s="25" t="e">
        <f>IF(Table1[[#This Row],[Sales]]=MIN(Table1[Sales]), Table1[[#This Row],[Sales]], NA())</f>
        <v>#N/A</v>
      </c>
      <c r="T537" s="25">
        <f>IF(AND(Table1[[#This Row],[Sales]]&lt;&gt;MIN(Table1[Sales]),Table1[[#This Row],[Sales]]&lt;&gt;MAX(Table1[Sales])), Table1[[#This Row],[Sales]], NA())</f>
        <v>17837.55</v>
      </c>
      <c r="U537" s="25" t="e">
        <f>IF(Table1[[#This Row],[Sales]]=MAX(Table1[Sales]), Table1[[#This Row],[Sales]], NA())</f>
        <v>#N/A</v>
      </c>
      <c r="V537">
        <v>8</v>
      </c>
      <c r="W537">
        <v>0.1</v>
      </c>
      <c r="X537">
        <v>981.07</v>
      </c>
      <c r="Y537" s="3">
        <f>YEAR(Table1[[#This Row],[Order Date]])</f>
        <v>2021</v>
      </c>
      <c r="Z537" s="3" t="str">
        <f>TEXT(Table1[[#This Row],[Order Date]],"MMM")</f>
        <v>Feb</v>
      </c>
      <c r="AA537" s="3">
        <f>DAY(Table1[[#This Row],[Order Date]])</f>
        <v>28</v>
      </c>
    </row>
    <row r="538" spans="1:27" x14ac:dyDescent="0.35">
      <c r="A538" s="1">
        <v>537</v>
      </c>
      <c r="B538" s="1" t="s">
        <v>2481</v>
      </c>
      <c r="C538" s="1" t="s">
        <v>2048</v>
      </c>
      <c r="D538" s="1" t="s">
        <v>286</v>
      </c>
      <c r="E538" t="s">
        <v>24</v>
      </c>
      <c r="F538" t="s">
        <v>2482</v>
      </c>
      <c r="G538" t="s">
        <v>188</v>
      </c>
      <c r="H538" t="s">
        <v>94</v>
      </c>
      <c r="I538" s="1" t="s">
        <v>28</v>
      </c>
      <c r="J538" t="s">
        <v>53</v>
      </c>
      <c r="K538" t="s">
        <v>54</v>
      </c>
      <c r="L538" s="1">
        <v>467107</v>
      </c>
      <c r="M538" s="1" t="s">
        <v>55</v>
      </c>
      <c r="N538" t="s">
        <v>2483</v>
      </c>
      <c r="O538" t="s">
        <v>46</v>
      </c>
      <c r="P538" t="s">
        <v>57</v>
      </c>
      <c r="Q538" t="s">
        <v>58</v>
      </c>
      <c r="R538">
        <v>54498.06</v>
      </c>
      <c r="S538" s="25" t="e">
        <f>IF(Table1[[#This Row],[Sales]]=MIN(Table1[Sales]), Table1[[#This Row],[Sales]], NA())</f>
        <v>#N/A</v>
      </c>
      <c r="T538" s="25">
        <f>IF(AND(Table1[[#This Row],[Sales]]&lt;&gt;MIN(Table1[Sales]),Table1[[#This Row],[Sales]]&lt;&gt;MAX(Table1[Sales])), Table1[[#This Row],[Sales]], NA())</f>
        <v>54498.06</v>
      </c>
      <c r="U538" s="25" t="e">
        <f>IF(Table1[[#This Row],[Sales]]=MAX(Table1[Sales]), Table1[[#This Row],[Sales]], NA())</f>
        <v>#N/A</v>
      </c>
      <c r="V538">
        <v>5</v>
      </c>
      <c r="W538">
        <v>0.1</v>
      </c>
      <c r="X538">
        <v>2997.39</v>
      </c>
      <c r="Y538" s="3">
        <f>YEAR(Table1[[#This Row],[Order Date]])</f>
        <v>2025</v>
      </c>
      <c r="Z538" s="3" t="str">
        <f>TEXT(Table1[[#This Row],[Order Date]],"MMM")</f>
        <v>Oct</v>
      </c>
      <c r="AA538" s="3">
        <f>DAY(Table1[[#This Row],[Order Date]])</f>
        <v>11</v>
      </c>
    </row>
    <row r="539" spans="1:27" x14ac:dyDescent="0.35">
      <c r="A539" s="1">
        <v>538</v>
      </c>
      <c r="B539" s="1" t="s">
        <v>2484</v>
      </c>
      <c r="C539" s="1" t="s">
        <v>1873</v>
      </c>
      <c r="D539" s="1" t="s">
        <v>2485</v>
      </c>
      <c r="E539" t="s">
        <v>38</v>
      </c>
      <c r="F539" t="s">
        <v>2486</v>
      </c>
      <c r="G539" t="s">
        <v>40</v>
      </c>
      <c r="H539" t="s">
        <v>41</v>
      </c>
      <c r="I539" s="1" t="s">
        <v>28</v>
      </c>
      <c r="J539" t="s">
        <v>128</v>
      </c>
      <c r="K539" t="s">
        <v>129</v>
      </c>
      <c r="L539" s="1">
        <v>812885</v>
      </c>
      <c r="M539" s="1" t="s">
        <v>66</v>
      </c>
      <c r="N539" t="s">
        <v>2487</v>
      </c>
      <c r="O539" t="s">
        <v>46</v>
      </c>
      <c r="P539" t="s">
        <v>57</v>
      </c>
      <c r="Q539" t="s">
        <v>58</v>
      </c>
      <c r="R539">
        <v>96847.94</v>
      </c>
      <c r="S539" s="25" t="e">
        <f>IF(Table1[[#This Row],[Sales]]=MIN(Table1[Sales]), Table1[[#This Row],[Sales]], NA())</f>
        <v>#N/A</v>
      </c>
      <c r="T539" s="25">
        <f>IF(AND(Table1[[#This Row],[Sales]]&lt;&gt;MIN(Table1[Sales]),Table1[[#This Row],[Sales]]&lt;&gt;MAX(Table1[Sales])), Table1[[#This Row],[Sales]], NA())</f>
        <v>96847.94</v>
      </c>
      <c r="U539" s="25" t="e">
        <f>IF(Table1[[#This Row],[Sales]]=MAX(Table1[Sales]), Table1[[#This Row],[Sales]], NA())</f>
        <v>#N/A</v>
      </c>
      <c r="V539">
        <v>4</v>
      </c>
      <c r="W539">
        <v>0.3</v>
      </c>
      <c r="X539">
        <v>484.24</v>
      </c>
      <c r="Y539" s="3">
        <f>YEAR(Table1[[#This Row],[Order Date]])</f>
        <v>2021</v>
      </c>
      <c r="Z539" s="3" t="str">
        <f>TEXT(Table1[[#This Row],[Order Date]],"MMM")</f>
        <v>Jan</v>
      </c>
      <c r="AA539" s="3">
        <f>DAY(Table1[[#This Row],[Order Date]])</f>
        <v>14</v>
      </c>
    </row>
    <row r="540" spans="1:27" x14ac:dyDescent="0.35">
      <c r="A540" s="1">
        <v>539</v>
      </c>
      <c r="B540" s="1" t="s">
        <v>2488</v>
      </c>
      <c r="C540" s="1" t="s">
        <v>1938</v>
      </c>
      <c r="D540" s="1" t="s">
        <v>2390</v>
      </c>
      <c r="E540" t="s">
        <v>24</v>
      </c>
      <c r="F540" t="s">
        <v>2489</v>
      </c>
      <c r="G540" t="s">
        <v>110</v>
      </c>
      <c r="H540" t="s">
        <v>41</v>
      </c>
      <c r="I540" s="1" t="s">
        <v>28</v>
      </c>
      <c r="J540" t="s">
        <v>29</v>
      </c>
      <c r="K540" t="s">
        <v>29</v>
      </c>
      <c r="L540" s="1">
        <v>726528</v>
      </c>
      <c r="M540" s="1" t="s">
        <v>30</v>
      </c>
      <c r="N540" t="s">
        <v>2490</v>
      </c>
      <c r="O540" t="s">
        <v>46</v>
      </c>
      <c r="P540" t="s">
        <v>57</v>
      </c>
      <c r="Q540" t="s">
        <v>58</v>
      </c>
      <c r="R540">
        <v>31400.02</v>
      </c>
      <c r="S540" s="25" t="e">
        <f>IF(Table1[[#This Row],[Sales]]=MIN(Table1[Sales]), Table1[[#This Row],[Sales]], NA())</f>
        <v>#N/A</v>
      </c>
      <c r="T540" s="25">
        <f>IF(AND(Table1[[#This Row],[Sales]]&lt;&gt;MIN(Table1[Sales]),Table1[[#This Row],[Sales]]&lt;&gt;MAX(Table1[Sales])), Table1[[#This Row],[Sales]], NA())</f>
        <v>31400.02</v>
      </c>
      <c r="U540" s="25" t="e">
        <f>IF(Table1[[#This Row],[Sales]]=MAX(Table1[Sales]), Table1[[#This Row],[Sales]], NA())</f>
        <v>#N/A</v>
      </c>
      <c r="V540">
        <v>8</v>
      </c>
      <c r="W540">
        <v>0</v>
      </c>
      <c r="X540">
        <v>2512</v>
      </c>
      <c r="Y540" s="3">
        <f>YEAR(Table1[[#This Row],[Order Date]])</f>
        <v>2021</v>
      </c>
      <c r="Z540" s="3" t="str">
        <f>TEXT(Table1[[#This Row],[Order Date]],"MMM")</f>
        <v>Jan</v>
      </c>
      <c r="AA540" s="3">
        <f>DAY(Table1[[#This Row],[Order Date]])</f>
        <v>5</v>
      </c>
    </row>
    <row r="541" spans="1:27" x14ac:dyDescent="0.35">
      <c r="A541" s="1">
        <v>540</v>
      </c>
      <c r="B541" s="1" t="s">
        <v>2491</v>
      </c>
      <c r="C541" s="1" t="s">
        <v>2492</v>
      </c>
      <c r="D541" s="1" t="s">
        <v>2214</v>
      </c>
      <c r="E541" t="s">
        <v>24</v>
      </c>
      <c r="F541" t="s">
        <v>2493</v>
      </c>
      <c r="G541" t="s">
        <v>26</v>
      </c>
      <c r="H541" t="s">
        <v>41</v>
      </c>
      <c r="I541" s="1" t="s">
        <v>28</v>
      </c>
      <c r="J541" t="s">
        <v>128</v>
      </c>
      <c r="K541" t="s">
        <v>129</v>
      </c>
      <c r="L541" s="1">
        <v>761662</v>
      </c>
      <c r="M541" s="1" t="s">
        <v>66</v>
      </c>
      <c r="N541" t="s">
        <v>2494</v>
      </c>
      <c r="O541" t="s">
        <v>46</v>
      </c>
      <c r="P541" t="s">
        <v>47</v>
      </c>
      <c r="Q541" t="s">
        <v>48</v>
      </c>
      <c r="R541">
        <v>93106.18</v>
      </c>
      <c r="S541" s="25" t="e">
        <f>IF(Table1[[#This Row],[Sales]]=MIN(Table1[Sales]), Table1[[#This Row],[Sales]], NA())</f>
        <v>#N/A</v>
      </c>
      <c r="T541" s="25">
        <f>IF(AND(Table1[[#This Row],[Sales]]&lt;&gt;MIN(Table1[Sales]),Table1[[#This Row],[Sales]]&lt;&gt;MAX(Table1[Sales])), Table1[[#This Row],[Sales]], NA())</f>
        <v>93106.18</v>
      </c>
      <c r="U541" s="25" t="e">
        <f>IF(Table1[[#This Row],[Sales]]=MAX(Table1[Sales]), Table1[[#This Row],[Sales]], NA())</f>
        <v>#N/A</v>
      </c>
      <c r="V541">
        <v>3</v>
      </c>
      <c r="W541">
        <v>0</v>
      </c>
      <c r="X541">
        <v>7448.49</v>
      </c>
      <c r="Y541" s="3">
        <f>YEAR(Table1[[#This Row],[Order Date]])</f>
        <v>2021</v>
      </c>
      <c r="Z541" s="3" t="str">
        <f>TEXT(Table1[[#This Row],[Order Date]],"MMM")</f>
        <v>Dec</v>
      </c>
      <c r="AA541" s="3">
        <f>DAY(Table1[[#This Row],[Order Date]])</f>
        <v>10</v>
      </c>
    </row>
    <row r="542" spans="1:27" x14ac:dyDescent="0.35">
      <c r="A542" s="1">
        <v>541</v>
      </c>
      <c r="B542" s="1" t="s">
        <v>2495</v>
      </c>
      <c r="C542" s="1" t="s">
        <v>2496</v>
      </c>
      <c r="D542" s="1" t="s">
        <v>1569</v>
      </c>
      <c r="E542" t="s">
        <v>62</v>
      </c>
      <c r="F542" t="s">
        <v>2497</v>
      </c>
      <c r="G542" t="s">
        <v>40</v>
      </c>
      <c r="H542" t="s">
        <v>94</v>
      </c>
      <c r="I542" s="1" t="s">
        <v>28</v>
      </c>
      <c r="J542" t="s">
        <v>53</v>
      </c>
      <c r="K542" t="s">
        <v>54</v>
      </c>
      <c r="L542" s="1">
        <v>261789</v>
      </c>
      <c r="M542" s="1" t="s">
        <v>55</v>
      </c>
      <c r="N542" t="s">
        <v>2498</v>
      </c>
      <c r="O542" t="s">
        <v>32</v>
      </c>
      <c r="P542" t="s">
        <v>33</v>
      </c>
      <c r="Q542" t="s">
        <v>34</v>
      </c>
      <c r="R542">
        <v>13634.51</v>
      </c>
      <c r="S542" s="25" t="e">
        <f>IF(Table1[[#This Row],[Sales]]=MIN(Table1[Sales]), Table1[[#This Row],[Sales]], NA())</f>
        <v>#N/A</v>
      </c>
      <c r="T542" s="25">
        <f>IF(AND(Table1[[#This Row],[Sales]]&lt;&gt;MIN(Table1[Sales]),Table1[[#This Row],[Sales]]&lt;&gt;MAX(Table1[Sales])), Table1[[#This Row],[Sales]], NA())</f>
        <v>13634.51</v>
      </c>
      <c r="U542" s="25" t="e">
        <f>IF(Table1[[#This Row],[Sales]]=MAX(Table1[Sales]), Table1[[#This Row],[Sales]], NA())</f>
        <v>#N/A</v>
      </c>
      <c r="V542">
        <v>2</v>
      </c>
      <c r="W542">
        <v>0</v>
      </c>
      <c r="X542">
        <v>1090.76</v>
      </c>
      <c r="Y542" s="3">
        <f>YEAR(Table1[[#This Row],[Order Date]])</f>
        <v>2021</v>
      </c>
      <c r="Z542" s="3" t="str">
        <f>TEXT(Table1[[#This Row],[Order Date]],"MMM")</f>
        <v>Jan</v>
      </c>
      <c r="AA542" s="3">
        <f>DAY(Table1[[#This Row],[Order Date]])</f>
        <v>13</v>
      </c>
    </row>
    <row r="543" spans="1:27" x14ac:dyDescent="0.35">
      <c r="A543" s="1">
        <v>542</v>
      </c>
      <c r="B543" s="1" t="s">
        <v>2499</v>
      </c>
      <c r="C543" s="1" t="s">
        <v>2500</v>
      </c>
      <c r="D543" s="1" t="s">
        <v>606</v>
      </c>
      <c r="E543" t="s">
        <v>115</v>
      </c>
      <c r="F543" t="s">
        <v>2501</v>
      </c>
      <c r="G543" t="s">
        <v>26</v>
      </c>
      <c r="H543" t="s">
        <v>27</v>
      </c>
      <c r="I543" s="1" t="s">
        <v>28</v>
      </c>
      <c r="J543" t="s">
        <v>29</v>
      </c>
      <c r="K543" t="s">
        <v>29</v>
      </c>
      <c r="L543" s="1">
        <v>358572</v>
      </c>
      <c r="M543" s="1" t="s">
        <v>30</v>
      </c>
      <c r="N543" t="s">
        <v>2502</v>
      </c>
      <c r="O543" t="s">
        <v>32</v>
      </c>
      <c r="P543" t="s">
        <v>33</v>
      </c>
      <c r="Q543" t="s">
        <v>34</v>
      </c>
      <c r="R543">
        <v>39538.78</v>
      </c>
      <c r="S543" s="25" t="e">
        <f>IF(Table1[[#This Row],[Sales]]=MIN(Table1[Sales]), Table1[[#This Row],[Sales]], NA())</f>
        <v>#N/A</v>
      </c>
      <c r="T543" s="25">
        <f>IF(AND(Table1[[#This Row],[Sales]]&lt;&gt;MIN(Table1[Sales]),Table1[[#This Row],[Sales]]&lt;&gt;MAX(Table1[Sales])), Table1[[#This Row],[Sales]], NA())</f>
        <v>39538.78</v>
      </c>
      <c r="U543" s="25" t="e">
        <f>IF(Table1[[#This Row],[Sales]]=MAX(Table1[Sales]), Table1[[#This Row],[Sales]], NA())</f>
        <v>#N/A</v>
      </c>
      <c r="V543">
        <v>5</v>
      </c>
      <c r="W543">
        <v>0.1</v>
      </c>
      <c r="X543">
        <v>2174.63</v>
      </c>
      <c r="Y543" s="3">
        <f>YEAR(Table1[[#This Row],[Order Date]])</f>
        <v>2025</v>
      </c>
      <c r="Z543" s="3" t="str">
        <f>TEXT(Table1[[#This Row],[Order Date]],"MMM")</f>
        <v>Nov</v>
      </c>
      <c r="AA543" s="3">
        <f>DAY(Table1[[#This Row],[Order Date]])</f>
        <v>4</v>
      </c>
    </row>
    <row r="544" spans="1:27" x14ac:dyDescent="0.35">
      <c r="A544" s="1">
        <v>543</v>
      </c>
      <c r="B544" s="1" t="s">
        <v>2503</v>
      </c>
      <c r="C544" s="1" t="s">
        <v>663</v>
      </c>
      <c r="D544" s="1" t="s">
        <v>181</v>
      </c>
      <c r="E544" t="s">
        <v>38</v>
      </c>
      <c r="F544" t="s">
        <v>2504</v>
      </c>
      <c r="G544" t="s">
        <v>122</v>
      </c>
      <c r="H544" t="s">
        <v>94</v>
      </c>
      <c r="I544" s="1" t="s">
        <v>28</v>
      </c>
      <c r="J544" t="s">
        <v>42</v>
      </c>
      <c r="K544" t="s">
        <v>43</v>
      </c>
      <c r="L544" s="1">
        <v>741128</v>
      </c>
      <c r="M544" s="1" t="s">
        <v>44</v>
      </c>
      <c r="N544" t="s">
        <v>2505</v>
      </c>
      <c r="O544" t="s">
        <v>46</v>
      </c>
      <c r="P544" t="s">
        <v>57</v>
      </c>
      <c r="Q544" t="s">
        <v>58</v>
      </c>
      <c r="R544">
        <v>33243.72</v>
      </c>
      <c r="S544" s="25" t="e">
        <f>IF(Table1[[#This Row],[Sales]]=MIN(Table1[Sales]), Table1[[#This Row],[Sales]], NA())</f>
        <v>#N/A</v>
      </c>
      <c r="T544" s="25">
        <f>IF(AND(Table1[[#This Row],[Sales]]&lt;&gt;MIN(Table1[Sales]),Table1[[#This Row],[Sales]]&lt;&gt;MAX(Table1[Sales])), Table1[[#This Row],[Sales]], NA())</f>
        <v>33243.72</v>
      </c>
      <c r="U544" s="25" t="e">
        <f>IF(Table1[[#This Row],[Sales]]=MAX(Table1[Sales]), Table1[[#This Row],[Sales]], NA())</f>
        <v>#N/A</v>
      </c>
      <c r="V544">
        <v>3</v>
      </c>
      <c r="W544">
        <v>0.2</v>
      </c>
      <c r="X544">
        <v>997.31</v>
      </c>
      <c r="Y544" s="3">
        <f>YEAR(Table1[[#This Row],[Order Date]])</f>
        <v>2022</v>
      </c>
      <c r="Z544" s="3" t="str">
        <f>TEXT(Table1[[#This Row],[Order Date]],"MMM")</f>
        <v>Mar</v>
      </c>
      <c r="AA544" s="3">
        <f>DAY(Table1[[#This Row],[Order Date]])</f>
        <v>30</v>
      </c>
    </row>
    <row r="545" spans="1:27" x14ac:dyDescent="0.35">
      <c r="A545" s="1">
        <v>544</v>
      </c>
      <c r="B545" s="1" t="s">
        <v>2506</v>
      </c>
      <c r="C545" s="1" t="s">
        <v>2507</v>
      </c>
      <c r="D545" s="1" t="s">
        <v>2508</v>
      </c>
      <c r="E545" t="s">
        <v>24</v>
      </c>
      <c r="F545" t="s">
        <v>2509</v>
      </c>
      <c r="G545" t="s">
        <v>110</v>
      </c>
      <c r="H545" t="s">
        <v>27</v>
      </c>
      <c r="I545" s="1" t="s">
        <v>28</v>
      </c>
      <c r="J545" t="s">
        <v>42</v>
      </c>
      <c r="K545" t="s">
        <v>43</v>
      </c>
      <c r="L545" s="1">
        <v>362753</v>
      </c>
      <c r="M545" s="1" t="s">
        <v>44</v>
      </c>
      <c r="N545" t="s">
        <v>2510</v>
      </c>
      <c r="O545" t="s">
        <v>46</v>
      </c>
      <c r="P545" t="s">
        <v>57</v>
      </c>
      <c r="Q545" t="s">
        <v>58</v>
      </c>
      <c r="R545">
        <v>10705.52</v>
      </c>
      <c r="S545" s="25" t="e">
        <f>IF(Table1[[#This Row],[Sales]]=MIN(Table1[Sales]), Table1[[#This Row],[Sales]], NA())</f>
        <v>#N/A</v>
      </c>
      <c r="T545" s="25">
        <f>IF(AND(Table1[[#This Row],[Sales]]&lt;&gt;MIN(Table1[Sales]),Table1[[#This Row],[Sales]]&lt;&gt;MAX(Table1[Sales])), Table1[[#This Row],[Sales]], NA())</f>
        <v>10705.52</v>
      </c>
      <c r="U545" s="25" t="e">
        <f>IF(Table1[[#This Row],[Sales]]=MAX(Table1[Sales]), Table1[[#This Row],[Sales]], NA())</f>
        <v>#N/A</v>
      </c>
      <c r="V545">
        <v>2</v>
      </c>
      <c r="W545">
        <v>0.2</v>
      </c>
      <c r="X545">
        <v>321.17</v>
      </c>
      <c r="Y545" s="3">
        <f>YEAR(Table1[[#This Row],[Order Date]])</f>
        <v>2025</v>
      </c>
      <c r="Z545" s="3" t="str">
        <f>TEXT(Table1[[#This Row],[Order Date]],"MMM")</f>
        <v>Apr</v>
      </c>
      <c r="AA545" s="3">
        <f>DAY(Table1[[#This Row],[Order Date]])</f>
        <v>21</v>
      </c>
    </row>
    <row r="546" spans="1:27" x14ac:dyDescent="0.35">
      <c r="A546" s="1">
        <v>545</v>
      </c>
      <c r="B546" s="1" t="s">
        <v>2511</v>
      </c>
      <c r="C546" s="1" t="s">
        <v>548</v>
      </c>
      <c r="D546" s="1" t="s">
        <v>232</v>
      </c>
      <c r="E546" t="s">
        <v>62</v>
      </c>
      <c r="F546" t="s">
        <v>2512</v>
      </c>
      <c r="G546" t="s">
        <v>93</v>
      </c>
      <c r="H546" t="s">
        <v>41</v>
      </c>
      <c r="I546" s="1" t="s">
        <v>28</v>
      </c>
      <c r="J546" t="s">
        <v>64</v>
      </c>
      <c r="K546" t="s">
        <v>65</v>
      </c>
      <c r="L546" s="1">
        <v>174886</v>
      </c>
      <c r="M546" s="1" t="s">
        <v>66</v>
      </c>
      <c r="N546" t="s">
        <v>2513</v>
      </c>
      <c r="O546" t="s">
        <v>32</v>
      </c>
      <c r="P546" t="s">
        <v>33</v>
      </c>
      <c r="Q546" t="s">
        <v>34</v>
      </c>
      <c r="R546">
        <v>50786.59</v>
      </c>
      <c r="S546" s="25" t="e">
        <f>IF(Table1[[#This Row],[Sales]]=MIN(Table1[Sales]), Table1[[#This Row],[Sales]], NA())</f>
        <v>#N/A</v>
      </c>
      <c r="T546" s="25">
        <f>IF(AND(Table1[[#This Row],[Sales]]&lt;&gt;MIN(Table1[Sales]),Table1[[#This Row],[Sales]]&lt;&gt;MAX(Table1[Sales])), Table1[[#This Row],[Sales]], NA())</f>
        <v>50786.59</v>
      </c>
      <c r="U546" s="25" t="e">
        <f>IF(Table1[[#This Row],[Sales]]=MAX(Table1[Sales]), Table1[[#This Row],[Sales]], NA())</f>
        <v>#N/A</v>
      </c>
      <c r="V546">
        <v>8</v>
      </c>
      <c r="W546">
        <v>0.1</v>
      </c>
      <c r="X546">
        <v>2793.26</v>
      </c>
      <c r="Y546" s="3">
        <f>YEAR(Table1[[#This Row],[Order Date]])</f>
        <v>2021</v>
      </c>
      <c r="Z546" s="3" t="str">
        <f>TEXT(Table1[[#This Row],[Order Date]],"MMM")</f>
        <v>Oct</v>
      </c>
      <c r="AA546" s="3">
        <f>DAY(Table1[[#This Row],[Order Date]])</f>
        <v>14</v>
      </c>
    </row>
    <row r="547" spans="1:27" x14ac:dyDescent="0.35">
      <c r="A547" s="1">
        <v>546</v>
      </c>
      <c r="B547" s="1" t="s">
        <v>2514</v>
      </c>
      <c r="C547" s="1" t="s">
        <v>2515</v>
      </c>
      <c r="D547" s="1" t="s">
        <v>1361</v>
      </c>
      <c r="E547" t="s">
        <v>24</v>
      </c>
      <c r="F547" t="s">
        <v>2516</v>
      </c>
      <c r="G547" t="s">
        <v>93</v>
      </c>
      <c r="H547" t="s">
        <v>94</v>
      </c>
      <c r="I547" s="1" t="s">
        <v>28</v>
      </c>
      <c r="J547" t="s">
        <v>64</v>
      </c>
      <c r="K547" t="s">
        <v>65</v>
      </c>
      <c r="L547" s="1">
        <v>280998</v>
      </c>
      <c r="M547" s="1" t="s">
        <v>66</v>
      </c>
      <c r="N547" t="s">
        <v>2517</v>
      </c>
      <c r="O547" t="s">
        <v>32</v>
      </c>
      <c r="P547" t="s">
        <v>33</v>
      </c>
      <c r="Q547" t="s">
        <v>34</v>
      </c>
      <c r="R547">
        <v>49451.11</v>
      </c>
      <c r="S547" s="25" t="e">
        <f>IF(Table1[[#This Row],[Sales]]=MIN(Table1[Sales]), Table1[[#This Row],[Sales]], NA())</f>
        <v>#N/A</v>
      </c>
      <c r="T547" s="25">
        <f>IF(AND(Table1[[#This Row],[Sales]]&lt;&gt;MIN(Table1[Sales]),Table1[[#This Row],[Sales]]&lt;&gt;MAX(Table1[Sales])), Table1[[#This Row],[Sales]], NA())</f>
        <v>49451.11</v>
      </c>
      <c r="U547" s="25" t="e">
        <f>IF(Table1[[#This Row],[Sales]]=MAX(Table1[Sales]), Table1[[#This Row],[Sales]], NA())</f>
        <v>#N/A</v>
      </c>
      <c r="V547">
        <v>1</v>
      </c>
      <c r="W547">
        <v>0</v>
      </c>
      <c r="X547">
        <v>3956.09</v>
      </c>
      <c r="Y547" s="3">
        <f>YEAR(Table1[[#This Row],[Order Date]])</f>
        <v>2024</v>
      </c>
      <c r="Z547" s="3" t="str">
        <f>TEXT(Table1[[#This Row],[Order Date]],"MMM")</f>
        <v>Aug</v>
      </c>
      <c r="AA547" s="3">
        <f>DAY(Table1[[#This Row],[Order Date]])</f>
        <v>9</v>
      </c>
    </row>
    <row r="548" spans="1:27" x14ac:dyDescent="0.35">
      <c r="A548" s="1">
        <v>547</v>
      </c>
      <c r="B548" s="1" t="s">
        <v>2518</v>
      </c>
      <c r="C548" s="1" t="s">
        <v>2519</v>
      </c>
      <c r="D548" s="1" t="s">
        <v>2520</v>
      </c>
      <c r="E548" t="s">
        <v>62</v>
      </c>
      <c r="F548" t="s">
        <v>2521</v>
      </c>
      <c r="G548" t="s">
        <v>75</v>
      </c>
      <c r="H548" t="s">
        <v>94</v>
      </c>
      <c r="I548" s="1" t="s">
        <v>28</v>
      </c>
      <c r="J548" t="s">
        <v>64</v>
      </c>
      <c r="K548" t="s">
        <v>65</v>
      </c>
      <c r="L548" s="1">
        <v>820867</v>
      </c>
      <c r="M548" s="1" t="s">
        <v>66</v>
      </c>
      <c r="N548" t="s">
        <v>2522</v>
      </c>
      <c r="O548" t="s">
        <v>32</v>
      </c>
      <c r="P548" t="s">
        <v>33</v>
      </c>
      <c r="Q548" t="s">
        <v>34</v>
      </c>
      <c r="R548">
        <v>80058.69</v>
      </c>
      <c r="S548" s="25" t="e">
        <f>IF(Table1[[#This Row],[Sales]]=MIN(Table1[Sales]), Table1[[#This Row],[Sales]], NA())</f>
        <v>#N/A</v>
      </c>
      <c r="T548" s="25">
        <f>IF(AND(Table1[[#This Row],[Sales]]&lt;&gt;MIN(Table1[Sales]),Table1[[#This Row],[Sales]]&lt;&gt;MAX(Table1[Sales])), Table1[[#This Row],[Sales]], NA())</f>
        <v>80058.69</v>
      </c>
      <c r="U548" s="25" t="e">
        <f>IF(Table1[[#This Row],[Sales]]=MAX(Table1[Sales]), Table1[[#This Row],[Sales]], NA())</f>
        <v>#N/A</v>
      </c>
      <c r="V548">
        <v>9</v>
      </c>
      <c r="W548">
        <v>0.3</v>
      </c>
      <c r="X548">
        <v>400.29</v>
      </c>
      <c r="Y548" s="3">
        <f>YEAR(Table1[[#This Row],[Order Date]])</f>
        <v>2025</v>
      </c>
      <c r="Z548" s="3" t="str">
        <f>TEXT(Table1[[#This Row],[Order Date]],"MMM")</f>
        <v>Jun</v>
      </c>
      <c r="AA548" s="3">
        <f>DAY(Table1[[#This Row],[Order Date]])</f>
        <v>18</v>
      </c>
    </row>
    <row r="549" spans="1:27" x14ac:dyDescent="0.35">
      <c r="A549" s="1">
        <v>548</v>
      </c>
      <c r="B549" s="1" t="s">
        <v>2523</v>
      </c>
      <c r="C549" s="1" t="s">
        <v>2524</v>
      </c>
      <c r="D549" s="1" t="s">
        <v>2525</v>
      </c>
      <c r="E549" t="s">
        <v>62</v>
      </c>
      <c r="F549" t="s">
        <v>2526</v>
      </c>
      <c r="G549" t="s">
        <v>188</v>
      </c>
      <c r="H549" t="s">
        <v>27</v>
      </c>
      <c r="I549" s="1" t="s">
        <v>28</v>
      </c>
      <c r="J549" t="s">
        <v>42</v>
      </c>
      <c r="K549" t="s">
        <v>43</v>
      </c>
      <c r="L549" s="1">
        <v>847264</v>
      </c>
      <c r="M549" s="1" t="s">
        <v>44</v>
      </c>
      <c r="N549" t="s">
        <v>2527</v>
      </c>
      <c r="O549" t="s">
        <v>68</v>
      </c>
      <c r="P549" t="s">
        <v>69</v>
      </c>
      <c r="Q549" t="s">
        <v>70</v>
      </c>
      <c r="R549">
        <v>46343.63</v>
      </c>
      <c r="S549" s="25" t="e">
        <f>IF(Table1[[#This Row],[Sales]]=MIN(Table1[Sales]), Table1[[#This Row],[Sales]], NA())</f>
        <v>#N/A</v>
      </c>
      <c r="T549" s="25">
        <f>IF(AND(Table1[[#This Row],[Sales]]&lt;&gt;MIN(Table1[Sales]),Table1[[#This Row],[Sales]]&lt;&gt;MAX(Table1[Sales])), Table1[[#This Row],[Sales]], NA())</f>
        <v>46343.63</v>
      </c>
      <c r="U549" s="25" t="e">
        <f>IF(Table1[[#This Row],[Sales]]=MAX(Table1[Sales]), Table1[[#This Row],[Sales]], NA())</f>
        <v>#N/A</v>
      </c>
      <c r="V549">
        <v>10</v>
      </c>
      <c r="W549">
        <v>0.2</v>
      </c>
      <c r="X549">
        <v>1390.31</v>
      </c>
      <c r="Y549" s="3">
        <f>YEAR(Table1[[#This Row],[Order Date]])</f>
        <v>2023</v>
      </c>
      <c r="Z549" s="3" t="str">
        <f>TEXT(Table1[[#This Row],[Order Date]],"MMM")</f>
        <v>Feb</v>
      </c>
      <c r="AA549" s="3">
        <f>DAY(Table1[[#This Row],[Order Date]])</f>
        <v>27</v>
      </c>
    </row>
    <row r="550" spans="1:27" x14ac:dyDescent="0.35">
      <c r="A550" s="1">
        <v>549</v>
      </c>
      <c r="B550" s="1" t="s">
        <v>2528</v>
      </c>
      <c r="C550" s="1" t="s">
        <v>2529</v>
      </c>
      <c r="D550" s="1" t="s">
        <v>688</v>
      </c>
      <c r="E550" t="s">
        <v>62</v>
      </c>
      <c r="F550" t="s">
        <v>2530</v>
      </c>
      <c r="G550" t="s">
        <v>122</v>
      </c>
      <c r="H550" t="s">
        <v>94</v>
      </c>
      <c r="I550" s="1" t="s">
        <v>28</v>
      </c>
      <c r="J550" t="s">
        <v>42</v>
      </c>
      <c r="K550" t="s">
        <v>43</v>
      </c>
      <c r="L550" s="1">
        <v>666798</v>
      </c>
      <c r="M550" s="1" t="s">
        <v>44</v>
      </c>
      <c r="N550" t="s">
        <v>2531</v>
      </c>
      <c r="O550" t="s">
        <v>68</v>
      </c>
      <c r="P550" t="s">
        <v>69</v>
      </c>
      <c r="Q550" t="s">
        <v>70</v>
      </c>
      <c r="R550">
        <v>5671.54</v>
      </c>
      <c r="S550" s="25" t="e">
        <f>IF(Table1[[#This Row],[Sales]]=MIN(Table1[Sales]), Table1[[#This Row],[Sales]], NA())</f>
        <v>#N/A</v>
      </c>
      <c r="T550" s="25">
        <f>IF(AND(Table1[[#This Row],[Sales]]&lt;&gt;MIN(Table1[Sales]),Table1[[#This Row],[Sales]]&lt;&gt;MAX(Table1[Sales])), Table1[[#This Row],[Sales]], NA())</f>
        <v>5671.54</v>
      </c>
      <c r="U550" s="25" t="e">
        <f>IF(Table1[[#This Row],[Sales]]=MAX(Table1[Sales]), Table1[[#This Row],[Sales]], NA())</f>
        <v>#N/A</v>
      </c>
      <c r="V550">
        <v>6</v>
      </c>
      <c r="W550">
        <v>0.1</v>
      </c>
      <c r="X550">
        <v>311.93</v>
      </c>
      <c r="Y550" s="3">
        <f>YEAR(Table1[[#This Row],[Order Date]])</f>
        <v>2023</v>
      </c>
      <c r="Z550" s="3" t="str">
        <f>TEXT(Table1[[#This Row],[Order Date]],"MMM")</f>
        <v>Sep</v>
      </c>
      <c r="AA550" s="3">
        <f>DAY(Table1[[#This Row],[Order Date]])</f>
        <v>9</v>
      </c>
    </row>
    <row r="551" spans="1:27" x14ac:dyDescent="0.35">
      <c r="A551" s="1">
        <v>550</v>
      </c>
      <c r="B551" s="1" t="s">
        <v>2532</v>
      </c>
      <c r="C551" s="1" t="s">
        <v>1165</v>
      </c>
      <c r="D551" s="1" t="s">
        <v>2533</v>
      </c>
      <c r="E551" t="s">
        <v>115</v>
      </c>
      <c r="F551" t="s">
        <v>2534</v>
      </c>
      <c r="G551" t="s">
        <v>40</v>
      </c>
      <c r="H551" t="s">
        <v>27</v>
      </c>
      <c r="I551" s="1" t="s">
        <v>28</v>
      </c>
      <c r="J551" t="s">
        <v>29</v>
      </c>
      <c r="K551" t="s">
        <v>29</v>
      </c>
      <c r="L551" s="1">
        <v>529216</v>
      </c>
      <c r="M551" s="1" t="s">
        <v>30</v>
      </c>
      <c r="N551" t="s">
        <v>2535</v>
      </c>
      <c r="O551" t="s">
        <v>32</v>
      </c>
      <c r="P551" t="s">
        <v>33</v>
      </c>
      <c r="Q551" t="s">
        <v>34</v>
      </c>
      <c r="R551">
        <v>2407.4299999999998</v>
      </c>
      <c r="S551" s="25" t="e">
        <f>IF(Table1[[#This Row],[Sales]]=MIN(Table1[Sales]), Table1[[#This Row],[Sales]], NA())</f>
        <v>#N/A</v>
      </c>
      <c r="T551" s="25">
        <f>IF(AND(Table1[[#This Row],[Sales]]&lt;&gt;MIN(Table1[Sales]),Table1[[#This Row],[Sales]]&lt;&gt;MAX(Table1[Sales])), Table1[[#This Row],[Sales]], NA())</f>
        <v>2407.4299999999998</v>
      </c>
      <c r="U551" s="25" t="e">
        <f>IF(Table1[[#This Row],[Sales]]=MAX(Table1[Sales]), Table1[[#This Row],[Sales]], NA())</f>
        <v>#N/A</v>
      </c>
      <c r="V551">
        <v>8</v>
      </c>
      <c r="W551">
        <v>0.2</v>
      </c>
      <c r="X551">
        <v>72.22</v>
      </c>
      <c r="Y551" s="3">
        <f>YEAR(Table1[[#This Row],[Order Date]])</f>
        <v>2021</v>
      </c>
      <c r="Z551" s="3" t="str">
        <f>TEXT(Table1[[#This Row],[Order Date]],"MMM")</f>
        <v>Feb</v>
      </c>
      <c r="AA551" s="3">
        <f>DAY(Table1[[#This Row],[Order Date]])</f>
        <v>17</v>
      </c>
    </row>
    <row r="552" spans="1:27" x14ac:dyDescent="0.35">
      <c r="A552" s="1">
        <v>551</v>
      </c>
      <c r="B552" s="1" t="s">
        <v>2536</v>
      </c>
      <c r="C552" s="1" t="s">
        <v>196</v>
      </c>
      <c r="D552" s="1" t="s">
        <v>2537</v>
      </c>
      <c r="E552" t="s">
        <v>38</v>
      </c>
      <c r="F552" t="s">
        <v>2538</v>
      </c>
      <c r="G552" t="s">
        <v>122</v>
      </c>
      <c r="H552" t="s">
        <v>27</v>
      </c>
      <c r="I552" s="1" t="s">
        <v>28</v>
      </c>
      <c r="J552" t="s">
        <v>42</v>
      </c>
      <c r="K552" t="s">
        <v>43</v>
      </c>
      <c r="L552" s="1">
        <v>254826</v>
      </c>
      <c r="M552" s="1" t="s">
        <v>44</v>
      </c>
      <c r="N552" t="s">
        <v>2539</v>
      </c>
      <c r="O552" t="s">
        <v>32</v>
      </c>
      <c r="P552" t="s">
        <v>33</v>
      </c>
      <c r="Q552" t="s">
        <v>34</v>
      </c>
      <c r="R552">
        <v>48193.82</v>
      </c>
      <c r="S552" s="25" t="e">
        <f>IF(Table1[[#This Row],[Sales]]=MIN(Table1[Sales]), Table1[[#This Row],[Sales]], NA())</f>
        <v>#N/A</v>
      </c>
      <c r="T552" s="25">
        <f>IF(AND(Table1[[#This Row],[Sales]]&lt;&gt;MIN(Table1[Sales]),Table1[[#This Row],[Sales]]&lt;&gt;MAX(Table1[Sales])), Table1[[#This Row],[Sales]], NA())</f>
        <v>48193.82</v>
      </c>
      <c r="U552" s="25" t="e">
        <f>IF(Table1[[#This Row],[Sales]]=MAX(Table1[Sales]), Table1[[#This Row],[Sales]], NA())</f>
        <v>#N/A</v>
      </c>
      <c r="V552">
        <v>5</v>
      </c>
      <c r="W552">
        <v>0.3</v>
      </c>
      <c r="X552">
        <v>240.97</v>
      </c>
      <c r="Y552" s="3">
        <f>YEAR(Table1[[#This Row],[Order Date]])</f>
        <v>2023</v>
      </c>
      <c r="Z552" s="3" t="str">
        <f>TEXT(Table1[[#This Row],[Order Date]],"MMM")</f>
        <v>Feb</v>
      </c>
      <c r="AA552" s="3">
        <f>DAY(Table1[[#This Row],[Order Date]])</f>
        <v>18</v>
      </c>
    </row>
    <row r="553" spans="1:27" x14ac:dyDescent="0.35">
      <c r="A553" s="1">
        <v>552</v>
      </c>
      <c r="B553" s="1" t="s">
        <v>2540</v>
      </c>
      <c r="C553" s="1" t="s">
        <v>1156</v>
      </c>
      <c r="D553" s="1" t="s">
        <v>2541</v>
      </c>
      <c r="E553" t="s">
        <v>62</v>
      </c>
      <c r="F553" t="s">
        <v>2542</v>
      </c>
      <c r="G553" t="s">
        <v>81</v>
      </c>
      <c r="H553" t="s">
        <v>27</v>
      </c>
      <c r="I553" s="1" t="s">
        <v>28</v>
      </c>
      <c r="J553" t="s">
        <v>128</v>
      </c>
      <c r="K553" t="s">
        <v>129</v>
      </c>
      <c r="L553" s="1">
        <v>364304</v>
      </c>
      <c r="M553" s="1" t="s">
        <v>66</v>
      </c>
      <c r="N553" t="s">
        <v>2543</v>
      </c>
      <c r="O553" t="s">
        <v>46</v>
      </c>
      <c r="P553" t="s">
        <v>47</v>
      </c>
      <c r="Q553" t="s">
        <v>48</v>
      </c>
      <c r="R553">
        <v>82431.520000000004</v>
      </c>
      <c r="S553" s="25" t="e">
        <f>IF(Table1[[#This Row],[Sales]]=MIN(Table1[Sales]), Table1[[#This Row],[Sales]], NA())</f>
        <v>#N/A</v>
      </c>
      <c r="T553" s="25">
        <f>IF(AND(Table1[[#This Row],[Sales]]&lt;&gt;MIN(Table1[Sales]),Table1[[#This Row],[Sales]]&lt;&gt;MAX(Table1[Sales])), Table1[[#This Row],[Sales]], NA())</f>
        <v>82431.520000000004</v>
      </c>
      <c r="U553" s="25" t="e">
        <f>IF(Table1[[#This Row],[Sales]]=MAX(Table1[Sales]), Table1[[#This Row],[Sales]], NA())</f>
        <v>#N/A</v>
      </c>
      <c r="V553">
        <v>5</v>
      </c>
      <c r="W553">
        <v>0.3</v>
      </c>
      <c r="X553">
        <v>412.16</v>
      </c>
      <c r="Y553" s="3">
        <f>YEAR(Table1[[#This Row],[Order Date]])</f>
        <v>2025</v>
      </c>
      <c r="Z553" s="3" t="str">
        <f>TEXT(Table1[[#This Row],[Order Date]],"MMM")</f>
        <v>May</v>
      </c>
      <c r="AA553" s="3">
        <f>DAY(Table1[[#This Row],[Order Date]])</f>
        <v>11</v>
      </c>
    </row>
    <row r="554" spans="1:27" x14ac:dyDescent="0.35">
      <c r="A554" s="1">
        <v>553</v>
      </c>
      <c r="B554" s="1" t="s">
        <v>2544</v>
      </c>
      <c r="C554" s="1" t="s">
        <v>2545</v>
      </c>
      <c r="D554" s="1" t="s">
        <v>2546</v>
      </c>
      <c r="E554" t="s">
        <v>115</v>
      </c>
      <c r="F554" t="s">
        <v>2547</v>
      </c>
      <c r="G554" t="s">
        <v>140</v>
      </c>
      <c r="H554" t="s">
        <v>41</v>
      </c>
      <c r="I554" s="1" t="s">
        <v>28</v>
      </c>
      <c r="J554" t="s">
        <v>42</v>
      </c>
      <c r="K554" t="s">
        <v>43</v>
      </c>
      <c r="L554" s="1">
        <v>979447</v>
      </c>
      <c r="M554" s="1" t="s">
        <v>44</v>
      </c>
      <c r="N554" t="s">
        <v>2548</v>
      </c>
      <c r="O554" t="s">
        <v>32</v>
      </c>
      <c r="P554" t="s">
        <v>33</v>
      </c>
      <c r="Q554" t="s">
        <v>34</v>
      </c>
      <c r="R554">
        <v>68884.820000000007</v>
      </c>
      <c r="S554" s="25" t="e">
        <f>IF(Table1[[#This Row],[Sales]]=MIN(Table1[Sales]), Table1[[#This Row],[Sales]], NA())</f>
        <v>#N/A</v>
      </c>
      <c r="T554" s="25">
        <f>IF(AND(Table1[[#This Row],[Sales]]&lt;&gt;MIN(Table1[Sales]),Table1[[#This Row],[Sales]]&lt;&gt;MAX(Table1[Sales])), Table1[[#This Row],[Sales]], NA())</f>
        <v>68884.820000000007</v>
      </c>
      <c r="U554" s="25" t="e">
        <f>IF(Table1[[#This Row],[Sales]]=MAX(Table1[Sales]), Table1[[#This Row],[Sales]], NA())</f>
        <v>#N/A</v>
      </c>
      <c r="V554">
        <v>4</v>
      </c>
      <c r="W554">
        <v>0.1</v>
      </c>
      <c r="X554">
        <v>3788.67</v>
      </c>
      <c r="Y554" s="3">
        <f>YEAR(Table1[[#This Row],[Order Date]])</f>
        <v>2021</v>
      </c>
      <c r="Z554" s="3" t="str">
        <f>TEXT(Table1[[#This Row],[Order Date]],"MMM")</f>
        <v>Mar</v>
      </c>
      <c r="AA554" s="3">
        <f>DAY(Table1[[#This Row],[Order Date]])</f>
        <v>24</v>
      </c>
    </row>
    <row r="555" spans="1:27" x14ac:dyDescent="0.35">
      <c r="A555" s="1">
        <v>554</v>
      </c>
      <c r="B555" s="1" t="s">
        <v>2549</v>
      </c>
      <c r="C555" s="1" t="s">
        <v>2550</v>
      </c>
      <c r="D555" s="1" t="s">
        <v>290</v>
      </c>
      <c r="E555" t="s">
        <v>115</v>
      </c>
      <c r="F555" t="s">
        <v>2551</v>
      </c>
      <c r="G555" t="s">
        <v>87</v>
      </c>
      <c r="H555" t="s">
        <v>27</v>
      </c>
      <c r="I555" s="1" t="s">
        <v>28</v>
      </c>
      <c r="J555" t="s">
        <v>42</v>
      </c>
      <c r="K555" t="s">
        <v>43</v>
      </c>
      <c r="L555" s="1">
        <v>266874</v>
      </c>
      <c r="M555" s="1" t="s">
        <v>44</v>
      </c>
      <c r="N555" t="s">
        <v>2552</v>
      </c>
      <c r="O555" t="s">
        <v>68</v>
      </c>
      <c r="P555" t="s">
        <v>69</v>
      </c>
      <c r="Q555" t="s">
        <v>70</v>
      </c>
      <c r="R555">
        <v>51117.18</v>
      </c>
      <c r="S555" s="25" t="e">
        <f>IF(Table1[[#This Row],[Sales]]=MIN(Table1[Sales]), Table1[[#This Row],[Sales]], NA())</f>
        <v>#N/A</v>
      </c>
      <c r="T555" s="25">
        <f>IF(AND(Table1[[#This Row],[Sales]]&lt;&gt;MIN(Table1[Sales]),Table1[[#This Row],[Sales]]&lt;&gt;MAX(Table1[Sales])), Table1[[#This Row],[Sales]], NA())</f>
        <v>51117.18</v>
      </c>
      <c r="U555" s="25" t="e">
        <f>IF(Table1[[#This Row],[Sales]]=MAX(Table1[Sales]), Table1[[#This Row],[Sales]], NA())</f>
        <v>#N/A</v>
      </c>
      <c r="V555">
        <v>7</v>
      </c>
      <c r="W555">
        <v>0</v>
      </c>
      <c r="X555">
        <v>4089.37</v>
      </c>
      <c r="Y555" s="3">
        <f>YEAR(Table1[[#This Row],[Order Date]])</f>
        <v>2024</v>
      </c>
      <c r="Z555" s="3" t="str">
        <f>TEXT(Table1[[#This Row],[Order Date]],"MMM")</f>
        <v>May</v>
      </c>
      <c r="AA555" s="3">
        <f>DAY(Table1[[#This Row],[Order Date]])</f>
        <v>22</v>
      </c>
    </row>
    <row r="556" spans="1:27" x14ac:dyDescent="0.35">
      <c r="A556" s="1">
        <v>555</v>
      </c>
      <c r="B556" s="1" t="s">
        <v>2553</v>
      </c>
      <c r="C556" s="1" t="s">
        <v>2554</v>
      </c>
      <c r="D556" s="1" t="s">
        <v>252</v>
      </c>
      <c r="E556" t="s">
        <v>38</v>
      </c>
      <c r="F556" t="s">
        <v>2555</v>
      </c>
      <c r="G556" t="s">
        <v>110</v>
      </c>
      <c r="H556" t="s">
        <v>94</v>
      </c>
      <c r="I556" s="1" t="s">
        <v>28</v>
      </c>
      <c r="J556" t="s">
        <v>64</v>
      </c>
      <c r="K556" t="s">
        <v>65</v>
      </c>
      <c r="L556" s="1">
        <v>928857</v>
      </c>
      <c r="M556" s="1" t="s">
        <v>66</v>
      </c>
      <c r="N556" t="s">
        <v>2556</v>
      </c>
      <c r="O556" t="s">
        <v>46</v>
      </c>
      <c r="P556" t="s">
        <v>47</v>
      </c>
      <c r="Q556" t="s">
        <v>48</v>
      </c>
      <c r="R556">
        <v>87401.65</v>
      </c>
      <c r="S556" s="25" t="e">
        <f>IF(Table1[[#This Row],[Sales]]=MIN(Table1[Sales]), Table1[[#This Row],[Sales]], NA())</f>
        <v>#N/A</v>
      </c>
      <c r="T556" s="25">
        <f>IF(AND(Table1[[#This Row],[Sales]]&lt;&gt;MIN(Table1[Sales]),Table1[[#This Row],[Sales]]&lt;&gt;MAX(Table1[Sales])), Table1[[#This Row],[Sales]], NA())</f>
        <v>87401.65</v>
      </c>
      <c r="U556" s="25" t="e">
        <f>IF(Table1[[#This Row],[Sales]]=MAX(Table1[Sales]), Table1[[#This Row],[Sales]], NA())</f>
        <v>#N/A</v>
      </c>
      <c r="V556">
        <v>6</v>
      </c>
      <c r="W556">
        <v>0</v>
      </c>
      <c r="X556">
        <v>6992.13</v>
      </c>
      <c r="Y556" s="3">
        <f>YEAR(Table1[[#This Row],[Order Date]])</f>
        <v>2024</v>
      </c>
      <c r="Z556" s="3" t="str">
        <f>TEXT(Table1[[#This Row],[Order Date]],"MMM")</f>
        <v>Mar</v>
      </c>
      <c r="AA556" s="3">
        <f>DAY(Table1[[#This Row],[Order Date]])</f>
        <v>5</v>
      </c>
    </row>
    <row r="557" spans="1:27" x14ac:dyDescent="0.35">
      <c r="A557" s="1">
        <v>556</v>
      </c>
      <c r="B557" s="1" t="s">
        <v>2557</v>
      </c>
      <c r="C557" s="1" t="s">
        <v>760</v>
      </c>
      <c r="D557" s="1" t="s">
        <v>703</v>
      </c>
      <c r="E557" t="s">
        <v>115</v>
      </c>
      <c r="F557" t="s">
        <v>2558</v>
      </c>
      <c r="G557" t="s">
        <v>26</v>
      </c>
      <c r="H557" t="s">
        <v>41</v>
      </c>
      <c r="I557" s="1" t="s">
        <v>28</v>
      </c>
      <c r="J557" t="s">
        <v>53</v>
      </c>
      <c r="K557" t="s">
        <v>54</v>
      </c>
      <c r="L557" s="1">
        <v>380746</v>
      </c>
      <c r="M557" s="1" t="s">
        <v>55</v>
      </c>
      <c r="N557" t="s">
        <v>2559</v>
      </c>
      <c r="O557" t="s">
        <v>46</v>
      </c>
      <c r="P557" t="s">
        <v>57</v>
      </c>
      <c r="Q557" t="s">
        <v>58</v>
      </c>
      <c r="R557">
        <v>12169.14</v>
      </c>
      <c r="S557" s="25" t="e">
        <f>IF(Table1[[#This Row],[Sales]]=MIN(Table1[Sales]), Table1[[#This Row],[Sales]], NA())</f>
        <v>#N/A</v>
      </c>
      <c r="T557" s="25">
        <f>IF(AND(Table1[[#This Row],[Sales]]&lt;&gt;MIN(Table1[Sales]),Table1[[#This Row],[Sales]]&lt;&gt;MAX(Table1[Sales])), Table1[[#This Row],[Sales]], NA())</f>
        <v>12169.14</v>
      </c>
      <c r="U557" s="25" t="e">
        <f>IF(Table1[[#This Row],[Sales]]=MAX(Table1[Sales]), Table1[[#This Row],[Sales]], NA())</f>
        <v>#N/A</v>
      </c>
      <c r="V557">
        <v>9</v>
      </c>
      <c r="W557">
        <v>0.3</v>
      </c>
      <c r="X557">
        <v>60.85</v>
      </c>
      <c r="Y557" s="3">
        <f>YEAR(Table1[[#This Row],[Order Date]])</f>
        <v>2025</v>
      </c>
      <c r="Z557" s="3" t="str">
        <f>TEXT(Table1[[#This Row],[Order Date]],"MMM")</f>
        <v>Jun</v>
      </c>
      <c r="AA557" s="3">
        <f>DAY(Table1[[#This Row],[Order Date]])</f>
        <v>28</v>
      </c>
    </row>
    <row r="558" spans="1:27" x14ac:dyDescent="0.35">
      <c r="A558" s="1">
        <v>557</v>
      </c>
      <c r="B558" s="1" t="s">
        <v>2560</v>
      </c>
      <c r="C558" s="1" t="s">
        <v>2529</v>
      </c>
      <c r="D558" s="1" t="s">
        <v>2561</v>
      </c>
      <c r="E558" t="s">
        <v>24</v>
      </c>
      <c r="F558" t="s">
        <v>2562</v>
      </c>
      <c r="G558" t="s">
        <v>188</v>
      </c>
      <c r="H558" t="s">
        <v>27</v>
      </c>
      <c r="I558" s="1" t="s">
        <v>28</v>
      </c>
      <c r="J558" t="s">
        <v>128</v>
      </c>
      <c r="K558" t="s">
        <v>129</v>
      </c>
      <c r="L558" s="1">
        <v>222562</v>
      </c>
      <c r="M558" s="1" t="s">
        <v>66</v>
      </c>
      <c r="N558" t="s">
        <v>2563</v>
      </c>
      <c r="O558" t="s">
        <v>46</v>
      </c>
      <c r="P558" t="s">
        <v>47</v>
      </c>
      <c r="Q558" t="s">
        <v>48</v>
      </c>
      <c r="R558">
        <v>38526.42</v>
      </c>
      <c r="S558" s="25" t="e">
        <f>IF(Table1[[#This Row],[Sales]]=MIN(Table1[Sales]), Table1[[#This Row],[Sales]], NA())</f>
        <v>#N/A</v>
      </c>
      <c r="T558" s="25">
        <f>IF(AND(Table1[[#This Row],[Sales]]&lt;&gt;MIN(Table1[Sales]),Table1[[#This Row],[Sales]]&lt;&gt;MAX(Table1[Sales])), Table1[[#This Row],[Sales]], NA())</f>
        <v>38526.42</v>
      </c>
      <c r="U558" s="25" t="e">
        <f>IF(Table1[[#This Row],[Sales]]=MAX(Table1[Sales]), Table1[[#This Row],[Sales]], NA())</f>
        <v>#N/A</v>
      </c>
      <c r="V558">
        <v>7</v>
      </c>
      <c r="W558">
        <v>0.2</v>
      </c>
      <c r="X558">
        <v>1155.79</v>
      </c>
      <c r="Y558" s="3">
        <f>YEAR(Table1[[#This Row],[Order Date]])</f>
        <v>2023</v>
      </c>
      <c r="Z558" s="3" t="str">
        <f>TEXT(Table1[[#This Row],[Order Date]],"MMM")</f>
        <v>Sep</v>
      </c>
      <c r="AA558" s="3">
        <f>DAY(Table1[[#This Row],[Order Date]])</f>
        <v>9</v>
      </c>
    </row>
    <row r="559" spans="1:27" x14ac:dyDescent="0.35">
      <c r="A559" s="1">
        <v>558</v>
      </c>
      <c r="B559" s="1" t="s">
        <v>2564</v>
      </c>
      <c r="C559" s="1" t="s">
        <v>1543</v>
      </c>
      <c r="D559" s="1" t="s">
        <v>1398</v>
      </c>
      <c r="E559" t="s">
        <v>62</v>
      </c>
      <c r="F559" t="s">
        <v>2565</v>
      </c>
      <c r="G559" t="s">
        <v>40</v>
      </c>
      <c r="H559" t="s">
        <v>41</v>
      </c>
      <c r="I559" s="1" t="s">
        <v>28</v>
      </c>
      <c r="J559" t="s">
        <v>128</v>
      </c>
      <c r="K559" t="s">
        <v>129</v>
      </c>
      <c r="L559" s="1">
        <v>432196</v>
      </c>
      <c r="M559" s="1" t="s">
        <v>66</v>
      </c>
      <c r="N559" t="s">
        <v>2566</v>
      </c>
      <c r="O559" t="s">
        <v>32</v>
      </c>
      <c r="P559" t="s">
        <v>33</v>
      </c>
      <c r="Q559" t="s">
        <v>34</v>
      </c>
      <c r="R559">
        <v>49100.53</v>
      </c>
      <c r="S559" s="25" t="e">
        <f>IF(Table1[[#This Row],[Sales]]=MIN(Table1[Sales]), Table1[[#This Row],[Sales]], NA())</f>
        <v>#N/A</v>
      </c>
      <c r="T559" s="25">
        <f>IF(AND(Table1[[#This Row],[Sales]]&lt;&gt;MIN(Table1[Sales]),Table1[[#This Row],[Sales]]&lt;&gt;MAX(Table1[Sales])), Table1[[#This Row],[Sales]], NA())</f>
        <v>49100.53</v>
      </c>
      <c r="U559" s="25" t="e">
        <f>IF(Table1[[#This Row],[Sales]]=MAX(Table1[Sales]), Table1[[#This Row],[Sales]], NA())</f>
        <v>#N/A</v>
      </c>
      <c r="V559">
        <v>6</v>
      </c>
      <c r="W559">
        <v>0.1</v>
      </c>
      <c r="X559">
        <v>2700.53</v>
      </c>
      <c r="Y559" s="3">
        <f>YEAR(Table1[[#This Row],[Order Date]])</f>
        <v>2021</v>
      </c>
      <c r="Z559" s="3" t="str">
        <f>TEXT(Table1[[#This Row],[Order Date]],"MMM")</f>
        <v>Dec</v>
      </c>
      <c r="AA559" s="3">
        <f>DAY(Table1[[#This Row],[Order Date]])</f>
        <v>5</v>
      </c>
    </row>
    <row r="560" spans="1:27" x14ac:dyDescent="0.35">
      <c r="A560" s="1">
        <v>559</v>
      </c>
      <c r="B560" s="1" t="s">
        <v>2567</v>
      </c>
      <c r="C560" s="1" t="s">
        <v>2568</v>
      </c>
      <c r="D560" s="1" t="s">
        <v>2569</v>
      </c>
      <c r="E560" t="s">
        <v>24</v>
      </c>
      <c r="F560" t="s">
        <v>2570</v>
      </c>
      <c r="G560" t="s">
        <v>87</v>
      </c>
      <c r="H560" t="s">
        <v>27</v>
      </c>
      <c r="I560" s="1" t="s">
        <v>28</v>
      </c>
      <c r="J560" t="s">
        <v>64</v>
      </c>
      <c r="K560" t="s">
        <v>65</v>
      </c>
      <c r="L560" s="1">
        <v>508410</v>
      </c>
      <c r="M560" s="1" t="s">
        <v>66</v>
      </c>
      <c r="N560" t="s">
        <v>2571</v>
      </c>
      <c r="O560" t="s">
        <v>46</v>
      </c>
      <c r="P560" t="s">
        <v>47</v>
      </c>
      <c r="Q560" t="s">
        <v>48</v>
      </c>
      <c r="R560">
        <v>59407.14</v>
      </c>
      <c r="S560" s="25" t="e">
        <f>IF(Table1[[#This Row],[Sales]]=MIN(Table1[Sales]), Table1[[#This Row],[Sales]], NA())</f>
        <v>#N/A</v>
      </c>
      <c r="T560" s="25">
        <f>IF(AND(Table1[[#This Row],[Sales]]&lt;&gt;MIN(Table1[Sales]),Table1[[#This Row],[Sales]]&lt;&gt;MAX(Table1[Sales])), Table1[[#This Row],[Sales]], NA())</f>
        <v>59407.14</v>
      </c>
      <c r="U560" s="25" t="e">
        <f>IF(Table1[[#This Row],[Sales]]=MAX(Table1[Sales]), Table1[[#This Row],[Sales]], NA())</f>
        <v>#N/A</v>
      </c>
      <c r="V560">
        <v>2</v>
      </c>
      <c r="W560">
        <v>0.3</v>
      </c>
      <c r="X560">
        <v>297.04000000000002</v>
      </c>
      <c r="Y560" s="3">
        <f>YEAR(Table1[[#This Row],[Order Date]])</f>
        <v>2024</v>
      </c>
      <c r="Z560" s="3" t="str">
        <f>TEXT(Table1[[#This Row],[Order Date]],"MMM")</f>
        <v>Feb</v>
      </c>
      <c r="AA560" s="3">
        <f>DAY(Table1[[#This Row],[Order Date]])</f>
        <v>17</v>
      </c>
    </row>
    <row r="561" spans="1:27" x14ac:dyDescent="0.35">
      <c r="A561" s="1">
        <v>560</v>
      </c>
      <c r="B561" s="1" t="s">
        <v>2572</v>
      </c>
      <c r="C561" s="1" t="s">
        <v>2573</v>
      </c>
      <c r="D561" s="1" t="s">
        <v>2088</v>
      </c>
      <c r="E561" t="s">
        <v>62</v>
      </c>
      <c r="F561" t="s">
        <v>2574</v>
      </c>
      <c r="G561" t="s">
        <v>40</v>
      </c>
      <c r="H561" t="s">
        <v>27</v>
      </c>
      <c r="I561" s="1" t="s">
        <v>28</v>
      </c>
      <c r="J561" t="s">
        <v>42</v>
      </c>
      <c r="K561" t="s">
        <v>43</v>
      </c>
      <c r="L561" s="1">
        <v>571806</v>
      </c>
      <c r="M561" s="1" t="s">
        <v>44</v>
      </c>
      <c r="N561" t="s">
        <v>2575</v>
      </c>
      <c r="O561" t="s">
        <v>46</v>
      </c>
      <c r="P561" t="s">
        <v>57</v>
      </c>
      <c r="Q561" t="s">
        <v>58</v>
      </c>
      <c r="R561">
        <v>53784.01</v>
      </c>
      <c r="S561" s="25" t="e">
        <f>IF(Table1[[#This Row],[Sales]]=MIN(Table1[Sales]), Table1[[#This Row],[Sales]], NA())</f>
        <v>#N/A</v>
      </c>
      <c r="T561" s="25">
        <f>IF(AND(Table1[[#This Row],[Sales]]&lt;&gt;MIN(Table1[Sales]),Table1[[#This Row],[Sales]]&lt;&gt;MAX(Table1[Sales])), Table1[[#This Row],[Sales]], NA())</f>
        <v>53784.01</v>
      </c>
      <c r="U561" s="25" t="e">
        <f>IF(Table1[[#This Row],[Sales]]=MAX(Table1[Sales]), Table1[[#This Row],[Sales]], NA())</f>
        <v>#N/A</v>
      </c>
      <c r="V561">
        <v>3</v>
      </c>
      <c r="W561">
        <v>0.3</v>
      </c>
      <c r="X561">
        <v>268.92</v>
      </c>
      <c r="Y561" s="3">
        <f>YEAR(Table1[[#This Row],[Order Date]])</f>
        <v>2025</v>
      </c>
      <c r="Z561" s="3" t="str">
        <f>TEXT(Table1[[#This Row],[Order Date]],"MMM")</f>
        <v>Dec</v>
      </c>
      <c r="AA561" s="3">
        <f>DAY(Table1[[#This Row],[Order Date]])</f>
        <v>2</v>
      </c>
    </row>
    <row r="562" spans="1:27" x14ac:dyDescent="0.35">
      <c r="A562" s="1">
        <v>561</v>
      </c>
      <c r="B562" s="1" t="s">
        <v>2576</v>
      </c>
      <c r="C562" s="1" t="s">
        <v>461</v>
      </c>
      <c r="D562" s="1" t="s">
        <v>417</v>
      </c>
      <c r="E562" t="s">
        <v>24</v>
      </c>
      <c r="F562" t="s">
        <v>2577</v>
      </c>
      <c r="G562" t="s">
        <v>93</v>
      </c>
      <c r="H562" t="s">
        <v>27</v>
      </c>
      <c r="I562" s="1" t="s">
        <v>28</v>
      </c>
      <c r="J562" t="s">
        <v>53</v>
      </c>
      <c r="K562" t="s">
        <v>54</v>
      </c>
      <c r="L562" s="1">
        <v>830281</v>
      </c>
      <c r="M562" s="1" t="s">
        <v>55</v>
      </c>
      <c r="N562" t="s">
        <v>2578</v>
      </c>
      <c r="O562" t="s">
        <v>68</v>
      </c>
      <c r="P562" t="s">
        <v>69</v>
      </c>
      <c r="Q562" t="s">
        <v>70</v>
      </c>
      <c r="R562">
        <v>54201.14</v>
      </c>
      <c r="S562" s="25" t="e">
        <f>IF(Table1[[#This Row],[Sales]]=MIN(Table1[Sales]), Table1[[#This Row],[Sales]], NA())</f>
        <v>#N/A</v>
      </c>
      <c r="T562" s="25">
        <f>IF(AND(Table1[[#This Row],[Sales]]&lt;&gt;MIN(Table1[Sales]),Table1[[#This Row],[Sales]]&lt;&gt;MAX(Table1[Sales])), Table1[[#This Row],[Sales]], NA())</f>
        <v>54201.14</v>
      </c>
      <c r="U562" s="25" t="e">
        <f>IF(Table1[[#This Row],[Sales]]=MAX(Table1[Sales]), Table1[[#This Row],[Sales]], NA())</f>
        <v>#N/A</v>
      </c>
      <c r="V562">
        <v>5</v>
      </c>
      <c r="W562">
        <v>0</v>
      </c>
      <c r="X562">
        <v>4336.09</v>
      </c>
      <c r="Y562" s="3">
        <f>YEAR(Table1[[#This Row],[Order Date]])</f>
        <v>2021</v>
      </c>
      <c r="Z562" s="3" t="str">
        <f>TEXT(Table1[[#This Row],[Order Date]],"MMM")</f>
        <v>May</v>
      </c>
      <c r="AA562" s="3">
        <f>DAY(Table1[[#This Row],[Order Date]])</f>
        <v>1</v>
      </c>
    </row>
    <row r="563" spans="1:27" x14ac:dyDescent="0.35">
      <c r="A563" s="1">
        <v>562</v>
      </c>
      <c r="B563" s="1" t="s">
        <v>2579</v>
      </c>
      <c r="C563" s="1" t="s">
        <v>2580</v>
      </c>
      <c r="D563" s="1" t="s">
        <v>2581</v>
      </c>
      <c r="E563" t="s">
        <v>62</v>
      </c>
      <c r="F563" t="s">
        <v>2582</v>
      </c>
      <c r="G563" t="s">
        <v>81</v>
      </c>
      <c r="H563" t="s">
        <v>94</v>
      </c>
      <c r="I563" s="1" t="s">
        <v>28</v>
      </c>
      <c r="J563" t="s">
        <v>29</v>
      </c>
      <c r="K563" t="s">
        <v>29</v>
      </c>
      <c r="L563" s="1">
        <v>261069</v>
      </c>
      <c r="M563" s="1" t="s">
        <v>30</v>
      </c>
      <c r="N563" t="s">
        <v>2583</v>
      </c>
      <c r="O563" t="s">
        <v>32</v>
      </c>
      <c r="P563" t="s">
        <v>33</v>
      </c>
      <c r="Q563" t="s">
        <v>34</v>
      </c>
      <c r="R563">
        <v>79520.639999999999</v>
      </c>
      <c r="S563" s="25" t="e">
        <f>IF(Table1[[#This Row],[Sales]]=MIN(Table1[Sales]), Table1[[#This Row],[Sales]], NA())</f>
        <v>#N/A</v>
      </c>
      <c r="T563" s="25">
        <f>IF(AND(Table1[[#This Row],[Sales]]&lt;&gt;MIN(Table1[Sales]),Table1[[#This Row],[Sales]]&lt;&gt;MAX(Table1[Sales])), Table1[[#This Row],[Sales]], NA())</f>
        <v>79520.639999999999</v>
      </c>
      <c r="U563" s="25" t="e">
        <f>IF(Table1[[#This Row],[Sales]]=MAX(Table1[Sales]), Table1[[#This Row],[Sales]], NA())</f>
        <v>#N/A</v>
      </c>
      <c r="V563">
        <v>4</v>
      </c>
      <c r="W563">
        <v>0.2</v>
      </c>
      <c r="X563">
        <v>2385.62</v>
      </c>
      <c r="Y563" s="3">
        <f>YEAR(Table1[[#This Row],[Order Date]])</f>
        <v>2021</v>
      </c>
      <c r="Z563" s="3" t="str">
        <f>TEXT(Table1[[#This Row],[Order Date]],"MMM")</f>
        <v>Jul</v>
      </c>
      <c r="AA563" s="3">
        <f>DAY(Table1[[#This Row],[Order Date]])</f>
        <v>19</v>
      </c>
    </row>
    <row r="564" spans="1:27" x14ac:dyDescent="0.35">
      <c r="A564" s="1">
        <v>563</v>
      </c>
      <c r="B564" s="1" t="s">
        <v>2584</v>
      </c>
      <c r="C564" s="1" t="s">
        <v>2467</v>
      </c>
      <c r="D564" s="1" t="s">
        <v>2585</v>
      </c>
      <c r="E564" t="s">
        <v>38</v>
      </c>
      <c r="F564" t="s">
        <v>2586</v>
      </c>
      <c r="G564" t="s">
        <v>93</v>
      </c>
      <c r="H564" t="s">
        <v>41</v>
      </c>
      <c r="I564" s="1" t="s">
        <v>28</v>
      </c>
      <c r="J564" t="s">
        <v>42</v>
      </c>
      <c r="K564" t="s">
        <v>43</v>
      </c>
      <c r="L564" s="1">
        <v>438652</v>
      </c>
      <c r="M564" s="1" t="s">
        <v>44</v>
      </c>
      <c r="N564" t="s">
        <v>2587</v>
      </c>
      <c r="O564" t="s">
        <v>32</v>
      </c>
      <c r="P564" t="s">
        <v>33</v>
      </c>
      <c r="Q564" t="s">
        <v>34</v>
      </c>
      <c r="R564">
        <v>42408.66</v>
      </c>
      <c r="S564" s="25" t="e">
        <f>IF(Table1[[#This Row],[Sales]]=MIN(Table1[Sales]), Table1[[#This Row],[Sales]], NA())</f>
        <v>#N/A</v>
      </c>
      <c r="T564" s="25">
        <f>IF(AND(Table1[[#This Row],[Sales]]&lt;&gt;MIN(Table1[Sales]),Table1[[#This Row],[Sales]]&lt;&gt;MAX(Table1[Sales])), Table1[[#This Row],[Sales]], NA())</f>
        <v>42408.66</v>
      </c>
      <c r="U564" s="25" t="e">
        <f>IF(Table1[[#This Row],[Sales]]=MAX(Table1[Sales]), Table1[[#This Row],[Sales]], NA())</f>
        <v>#N/A</v>
      </c>
      <c r="V564">
        <v>4</v>
      </c>
      <c r="W564">
        <v>0.1</v>
      </c>
      <c r="X564">
        <v>2332.48</v>
      </c>
      <c r="Y564" s="3">
        <f>YEAR(Table1[[#This Row],[Order Date]])</f>
        <v>2022</v>
      </c>
      <c r="Z564" s="3" t="str">
        <f>TEXT(Table1[[#This Row],[Order Date]],"MMM")</f>
        <v>Jul</v>
      </c>
      <c r="AA564" s="3">
        <f>DAY(Table1[[#This Row],[Order Date]])</f>
        <v>11</v>
      </c>
    </row>
    <row r="565" spans="1:27" x14ac:dyDescent="0.35">
      <c r="A565" s="1">
        <v>564</v>
      </c>
      <c r="B565" s="1" t="s">
        <v>2588</v>
      </c>
      <c r="C565" s="1" t="s">
        <v>2332</v>
      </c>
      <c r="D565" s="1" t="s">
        <v>2333</v>
      </c>
      <c r="E565" t="s">
        <v>24</v>
      </c>
      <c r="F565" t="s">
        <v>2589</v>
      </c>
      <c r="G565" t="s">
        <v>110</v>
      </c>
      <c r="H565" t="s">
        <v>41</v>
      </c>
      <c r="I565" s="1" t="s">
        <v>28</v>
      </c>
      <c r="J565" t="s">
        <v>128</v>
      </c>
      <c r="K565" t="s">
        <v>129</v>
      </c>
      <c r="L565" s="1">
        <v>106001</v>
      </c>
      <c r="M565" s="1" t="s">
        <v>66</v>
      </c>
      <c r="N565" t="s">
        <v>2590</v>
      </c>
      <c r="O565" t="s">
        <v>32</v>
      </c>
      <c r="P565" t="s">
        <v>33</v>
      </c>
      <c r="Q565" t="s">
        <v>34</v>
      </c>
      <c r="R565">
        <v>18886.66</v>
      </c>
      <c r="S565" s="25" t="e">
        <f>IF(Table1[[#This Row],[Sales]]=MIN(Table1[Sales]), Table1[[#This Row],[Sales]], NA())</f>
        <v>#N/A</v>
      </c>
      <c r="T565" s="25">
        <f>IF(AND(Table1[[#This Row],[Sales]]&lt;&gt;MIN(Table1[Sales]),Table1[[#This Row],[Sales]]&lt;&gt;MAX(Table1[Sales])), Table1[[#This Row],[Sales]], NA())</f>
        <v>18886.66</v>
      </c>
      <c r="U565" s="25" t="e">
        <f>IF(Table1[[#This Row],[Sales]]=MAX(Table1[Sales]), Table1[[#This Row],[Sales]], NA())</f>
        <v>#N/A</v>
      </c>
      <c r="V565">
        <v>2</v>
      </c>
      <c r="W565">
        <v>0.1</v>
      </c>
      <c r="X565">
        <v>1038.77</v>
      </c>
      <c r="Y565" s="3">
        <f>YEAR(Table1[[#This Row],[Order Date]])</f>
        <v>2025</v>
      </c>
      <c r="Z565" s="3" t="str">
        <f>TEXT(Table1[[#This Row],[Order Date]],"MMM")</f>
        <v>Jul</v>
      </c>
      <c r="AA565" s="3">
        <f>DAY(Table1[[#This Row],[Order Date]])</f>
        <v>1</v>
      </c>
    </row>
    <row r="566" spans="1:27" x14ac:dyDescent="0.35">
      <c r="A566" s="1">
        <v>565</v>
      </c>
      <c r="B566" s="1" t="s">
        <v>2591</v>
      </c>
      <c r="C566" s="1" t="s">
        <v>2592</v>
      </c>
      <c r="D566" s="1" t="s">
        <v>2593</v>
      </c>
      <c r="E566" t="s">
        <v>115</v>
      </c>
      <c r="F566" t="s">
        <v>2594</v>
      </c>
      <c r="G566" t="s">
        <v>122</v>
      </c>
      <c r="H566" t="s">
        <v>94</v>
      </c>
      <c r="I566" s="1" t="s">
        <v>28</v>
      </c>
      <c r="J566" t="s">
        <v>42</v>
      </c>
      <c r="K566" t="s">
        <v>43</v>
      </c>
      <c r="L566" s="1">
        <v>400516</v>
      </c>
      <c r="M566" s="1" t="s">
        <v>44</v>
      </c>
      <c r="N566" t="s">
        <v>2595</v>
      </c>
      <c r="O566" t="s">
        <v>46</v>
      </c>
      <c r="P566" t="s">
        <v>47</v>
      </c>
      <c r="Q566" t="s">
        <v>48</v>
      </c>
      <c r="R566">
        <v>64866.22</v>
      </c>
      <c r="S566" s="25" t="e">
        <f>IF(Table1[[#This Row],[Sales]]=MIN(Table1[Sales]), Table1[[#This Row],[Sales]], NA())</f>
        <v>#N/A</v>
      </c>
      <c r="T566" s="25">
        <f>IF(AND(Table1[[#This Row],[Sales]]&lt;&gt;MIN(Table1[Sales]),Table1[[#This Row],[Sales]]&lt;&gt;MAX(Table1[Sales])), Table1[[#This Row],[Sales]], NA())</f>
        <v>64866.22</v>
      </c>
      <c r="U566" s="25" t="e">
        <f>IF(Table1[[#This Row],[Sales]]=MAX(Table1[Sales]), Table1[[#This Row],[Sales]], NA())</f>
        <v>#N/A</v>
      </c>
      <c r="V566">
        <v>8</v>
      </c>
      <c r="W566">
        <v>0.2</v>
      </c>
      <c r="X566">
        <v>1945.99</v>
      </c>
      <c r="Y566" s="3">
        <f>YEAR(Table1[[#This Row],[Order Date]])</f>
        <v>2021</v>
      </c>
      <c r="Z566" s="3" t="str">
        <f>TEXT(Table1[[#This Row],[Order Date]],"MMM")</f>
        <v>May</v>
      </c>
      <c r="AA566" s="3">
        <f>DAY(Table1[[#This Row],[Order Date]])</f>
        <v>25</v>
      </c>
    </row>
    <row r="567" spans="1:27" x14ac:dyDescent="0.35">
      <c r="A567" s="1">
        <v>566</v>
      </c>
      <c r="B567" s="1" t="s">
        <v>2596</v>
      </c>
      <c r="C567" s="1" t="s">
        <v>2597</v>
      </c>
      <c r="D567" s="1" t="s">
        <v>2097</v>
      </c>
      <c r="E567" t="s">
        <v>62</v>
      </c>
      <c r="F567" t="s">
        <v>2598</v>
      </c>
      <c r="G567" t="s">
        <v>140</v>
      </c>
      <c r="H567" t="s">
        <v>27</v>
      </c>
      <c r="I567" s="1" t="s">
        <v>28</v>
      </c>
      <c r="J567" t="s">
        <v>128</v>
      </c>
      <c r="K567" t="s">
        <v>129</v>
      </c>
      <c r="L567" s="1">
        <v>389163</v>
      </c>
      <c r="M567" s="1" t="s">
        <v>66</v>
      </c>
      <c r="N567" t="s">
        <v>2599</v>
      </c>
      <c r="O567" t="s">
        <v>46</v>
      </c>
      <c r="P567" t="s">
        <v>57</v>
      </c>
      <c r="Q567" t="s">
        <v>58</v>
      </c>
      <c r="R567">
        <v>93335.74</v>
      </c>
      <c r="S567" s="25" t="e">
        <f>IF(Table1[[#This Row],[Sales]]=MIN(Table1[Sales]), Table1[[#This Row],[Sales]], NA())</f>
        <v>#N/A</v>
      </c>
      <c r="T567" s="25">
        <f>IF(AND(Table1[[#This Row],[Sales]]&lt;&gt;MIN(Table1[Sales]),Table1[[#This Row],[Sales]]&lt;&gt;MAX(Table1[Sales])), Table1[[#This Row],[Sales]], NA())</f>
        <v>93335.74</v>
      </c>
      <c r="U567" s="25" t="e">
        <f>IF(Table1[[#This Row],[Sales]]=MAX(Table1[Sales]), Table1[[#This Row],[Sales]], NA())</f>
        <v>#N/A</v>
      </c>
      <c r="V567">
        <v>2</v>
      </c>
      <c r="W567">
        <v>0.3</v>
      </c>
      <c r="X567">
        <v>466.68</v>
      </c>
      <c r="Y567" s="3">
        <f>YEAR(Table1[[#This Row],[Order Date]])</f>
        <v>2024</v>
      </c>
      <c r="Z567" s="3" t="str">
        <f>TEXT(Table1[[#This Row],[Order Date]],"MMM")</f>
        <v>Mar</v>
      </c>
      <c r="AA567" s="3">
        <f>DAY(Table1[[#This Row],[Order Date]])</f>
        <v>21</v>
      </c>
    </row>
    <row r="568" spans="1:27" x14ac:dyDescent="0.35">
      <c r="A568" s="1">
        <v>567</v>
      </c>
      <c r="B568" s="1" t="s">
        <v>2600</v>
      </c>
      <c r="C568" s="1" t="s">
        <v>485</v>
      </c>
      <c r="D568" s="1" t="s">
        <v>2601</v>
      </c>
      <c r="E568" t="s">
        <v>24</v>
      </c>
      <c r="F568" t="s">
        <v>2602</v>
      </c>
      <c r="G568" t="s">
        <v>110</v>
      </c>
      <c r="H568" t="s">
        <v>94</v>
      </c>
      <c r="I568" s="1" t="s">
        <v>28</v>
      </c>
      <c r="J568" t="s">
        <v>128</v>
      </c>
      <c r="K568" t="s">
        <v>129</v>
      </c>
      <c r="L568" s="1">
        <v>706019</v>
      </c>
      <c r="M568" s="1" t="s">
        <v>66</v>
      </c>
      <c r="N568" t="s">
        <v>2603</v>
      </c>
      <c r="O568" t="s">
        <v>46</v>
      </c>
      <c r="P568" t="s">
        <v>57</v>
      </c>
      <c r="Q568" t="s">
        <v>58</v>
      </c>
      <c r="R568">
        <v>32986.82</v>
      </c>
      <c r="S568" s="25" t="e">
        <f>IF(Table1[[#This Row],[Sales]]=MIN(Table1[Sales]), Table1[[#This Row],[Sales]], NA())</f>
        <v>#N/A</v>
      </c>
      <c r="T568" s="25">
        <f>IF(AND(Table1[[#This Row],[Sales]]&lt;&gt;MIN(Table1[Sales]),Table1[[#This Row],[Sales]]&lt;&gt;MAX(Table1[Sales])), Table1[[#This Row],[Sales]], NA())</f>
        <v>32986.82</v>
      </c>
      <c r="U568" s="25" t="e">
        <f>IF(Table1[[#This Row],[Sales]]=MAX(Table1[Sales]), Table1[[#This Row],[Sales]], NA())</f>
        <v>#N/A</v>
      </c>
      <c r="V568">
        <v>3</v>
      </c>
      <c r="W568">
        <v>0.3</v>
      </c>
      <c r="X568">
        <v>164.93</v>
      </c>
      <c r="Y568" s="3">
        <f>YEAR(Table1[[#This Row],[Order Date]])</f>
        <v>2022</v>
      </c>
      <c r="Z568" s="3" t="str">
        <f>TEXT(Table1[[#This Row],[Order Date]],"MMM")</f>
        <v>Mar</v>
      </c>
      <c r="AA568" s="3">
        <f>DAY(Table1[[#This Row],[Order Date]])</f>
        <v>3</v>
      </c>
    </row>
    <row r="569" spans="1:27" x14ac:dyDescent="0.35">
      <c r="A569" s="1">
        <v>568</v>
      </c>
      <c r="B569" s="1" t="s">
        <v>2604</v>
      </c>
      <c r="C569" s="1" t="s">
        <v>2605</v>
      </c>
      <c r="D569" s="1" t="s">
        <v>779</v>
      </c>
      <c r="E569" t="s">
        <v>115</v>
      </c>
      <c r="F569" t="s">
        <v>2606</v>
      </c>
      <c r="G569" t="s">
        <v>140</v>
      </c>
      <c r="H569" t="s">
        <v>41</v>
      </c>
      <c r="I569" s="1" t="s">
        <v>28</v>
      </c>
      <c r="J569" t="s">
        <v>53</v>
      </c>
      <c r="K569" t="s">
        <v>54</v>
      </c>
      <c r="L569" s="1">
        <v>347874</v>
      </c>
      <c r="M569" s="1" t="s">
        <v>55</v>
      </c>
      <c r="N569" t="s">
        <v>2607</v>
      </c>
      <c r="O569" t="s">
        <v>68</v>
      </c>
      <c r="P569" t="s">
        <v>69</v>
      </c>
      <c r="Q569" t="s">
        <v>70</v>
      </c>
      <c r="R569">
        <v>94320.54</v>
      </c>
      <c r="S569" s="25" t="e">
        <f>IF(Table1[[#This Row],[Sales]]=MIN(Table1[Sales]), Table1[[#This Row],[Sales]], NA())</f>
        <v>#N/A</v>
      </c>
      <c r="T569" s="25">
        <f>IF(AND(Table1[[#This Row],[Sales]]&lt;&gt;MIN(Table1[Sales]),Table1[[#This Row],[Sales]]&lt;&gt;MAX(Table1[Sales])), Table1[[#This Row],[Sales]], NA())</f>
        <v>94320.54</v>
      </c>
      <c r="U569" s="25" t="e">
        <f>IF(Table1[[#This Row],[Sales]]=MAX(Table1[Sales]), Table1[[#This Row],[Sales]], NA())</f>
        <v>#N/A</v>
      </c>
      <c r="V569">
        <v>8</v>
      </c>
      <c r="W569">
        <v>0.3</v>
      </c>
      <c r="X569">
        <v>471.6</v>
      </c>
      <c r="Y569" s="3">
        <f>YEAR(Table1[[#This Row],[Order Date]])</f>
        <v>2021</v>
      </c>
      <c r="Z569" s="3" t="str">
        <f>TEXT(Table1[[#This Row],[Order Date]],"MMM")</f>
        <v>Mar</v>
      </c>
      <c r="AA569" s="3">
        <f>DAY(Table1[[#This Row],[Order Date]])</f>
        <v>15</v>
      </c>
    </row>
    <row r="570" spans="1:27" x14ac:dyDescent="0.35">
      <c r="A570" s="1">
        <v>569</v>
      </c>
      <c r="B570" s="1" t="s">
        <v>2608</v>
      </c>
      <c r="C570" s="1" t="s">
        <v>2609</v>
      </c>
      <c r="D570" s="1" t="s">
        <v>2610</v>
      </c>
      <c r="E570" t="s">
        <v>38</v>
      </c>
      <c r="F570" t="s">
        <v>2611</v>
      </c>
      <c r="G570" t="s">
        <v>87</v>
      </c>
      <c r="H570" t="s">
        <v>41</v>
      </c>
      <c r="I570" s="1" t="s">
        <v>28</v>
      </c>
      <c r="J570" t="s">
        <v>64</v>
      </c>
      <c r="K570" t="s">
        <v>65</v>
      </c>
      <c r="L570" s="1">
        <v>943240</v>
      </c>
      <c r="M570" s="1" t="s">
        <v>66</v>
      </c>
      <c r="N570" t="s">
        <v>2612</v>
      </c>
      <c r="O570" t="s">
        <v>68</v>
      </c>
      <c r="P570" t="s">
        <v>69</v>
      </c>
      <c r="Q570" t="s">
        <v>70</v>
      </c>
      <c r="R570">
        <v>15562.21</v>
      </c>
      <c r="S570" s="25" t="e">
        <f>IF(Table1[[#This Row],[Sales]]=MIN(Table1[Sales]), Table1[[#This Row],[Sales]], NA())</f>
        <v>#N/A</v>
      </c>
      <c r="T570" s="25">
        <f>IF(AND(Table1[[#This Row],[Sales]]&lt;&gt;MIN(Table1[Sales]),Table1[[#This Row],[Sales]]&lt;&gt;MAX(Table1[Sales])), Table1[[#This Row],[Sales]], NA())</f>
        <v>15562.21</v>
      </c>
      <c r="U570" s="25" t="e">
        <f>IF(Table1[[#This Row],[Sales]]=MAX(Table1[Sales]), Table1[[#This Row],[Sales]], NA())</f>
        <v>#N/A</v>
      </c>
      <c r="V570">
        <v>3</v>
      </c>
      <c r="W570">
        <v>0.1</v>
      </c>
      <c r="X570">
        <v>855.92</v>
      </c>
      <c r="Y570" s="3">
        <f>YEAR(Table1[[#This Row],[Order Date]])</f>
        <v>2022</v>
      </c>
      <c r="Z570" s="3" t="str">
        <f>TEXT(Table1[[#This Row],[Order Date]],"MMM")</f>
        <v>Feb</v>
      </c>
      <c r="AA570" s="3">
        <f>DAY(Table1[[#This Row],[Order Date]])</f>
        <v>10</v>
      </c>
    </row>
    <row r="571" spans="1:27" x14ac:dyDescent="0.35">
      <c r="A571" s="1">
        <v>570</v>
      </c>
      <c r="B571" s="1" t="s">
        <v>2613</v>
      </c>
      <c r="C571" s="1" t="s">
        <v>1539</v>
      </c>
      <c r="D571" s="1" t="s">
        <v>2614</v>
      </c>
      <c r="E571" t="s">
        <v>62</v>
      </c>
      <c r="F571" t="s">
        <v>2615</v>
      </c>
      <c r="G571" t="s">
        <v>110</v>
      </c>
      <c r="H571" t="s">
        <v>27</v>
      </c>
      <c r="I571" s="1" t="s">
        <v>28</v>
      </c>
      <c r="J571" t="s">
        <v>128</v>
      </c>
      <c r="K571" t="s">
        <v>129</v>
      </c>
      <c r="L571" s="1">
        <v>884153</v>
      </c>
      <c r="M571" s="1" t="s">
        <v>66</v>
      </c>
      <c r="N571" t="s">
        <v>2616</v>
      </c>
      <c r="O571" t="s">
        <v>32</v>
      </c>
      <c r="P571" t="s">
        <v>33</v>
      </c>
      <c r="Q571" t="s">
        <v>34</v>
      </c>
      <c r="R571">
        <v>49440.36</v>
      </c>
      <c r="S571" s="25" t="e">
        <f>IF(Table1[[#This Row],[Sales]]=MIN(Table1[Sales]), Table1[[#This Row],[Sales]], NA())</f>
        <v>#N/A</v>
      </c>
      <c r="T571" s="25">
        <f>IF(AND(Table1[[#This Row],[Sales]]&lt;&gt;MIN(Table1[Sales]),Table1[[#This Row],[Sales]]&lt;&gt;MAX(Table1[Sales])), Table1[[#This Row],[Sales]], NA())</f>
        <v>49440.36</v>
      </c>
      <c r="U571" s="25" t="e">
        <f>IF(Table1[[#This Row],[Sales]]=MAX(Table1[Sales]), Table1[[#This Row],[Sales]], NA())</f>
        <v>#N/A</v>
      </c>
      <c r="V571">
        <v>2</v>
      </c>
      <c r="W571">
        <v>0.1</v>
      </c>
      <c r="X571">
        <v>2719.22</v>
      </c>
      <c r="Y571" s="3">
        <f>YEAR(Table1[[#This Row],[Order Date]])</f>
        <v>2022</v>
      </c>
      <c r="Z571" s="3" t="str">
        <f>TEXT(Table1[[#This Row],[Order Date]],"MMM")</f>
        <v>Apr</v>
      </c>
      <c r="AA571" s="3">
        <f>DAY(Table1[[#This Row],[Order Date]])</f>
        <v>10</v>
      </c>
    </row>
    <row r="572" spans="1:27" x14ac:dyDescent="0.35">
      <c r="A572" s="1">
        <v>571</v>
      </c>
      <c r="B572" s="1" t="s">
        <v>2617</v>
      </c>
      <c r="C572" s="1" t="s">
        <v>2618</v>
      </c>
      <c r="D572" s="1" t="s">
        <v>2619</v>
      </c>
      <c r="E572" t="s">
        <v>38</v>
      </c>
      <c r="F572" t="s">
        <v>2620</v>
      </c>
      <c r="G572" t="s">
        <v>140</v>
      </c>
      <c r="H572" t="s">
        <v>94</v>
      </c>
      <c r="I572" s="1" t="s">
        <v>28</v>
      </c>
      <c r="J572" t="s">
        <v>128</v>
      </c>
      <c r="K572" t="s">
        <v>129</v>
      </c>
      <c r="L572" s="1">
        <v>560827</v>
      </c>
      <c r="M572" s="1" t="s">
        <v>66</v>
      </c>
      <c r="N572" t="s">
        <v>2621</v>
      </c>
      <c r="O572" t="s">
        <v>32</v>
      </c>
      <c r="P572" t="s">
        <v>33</v>
      </c>
      <c r="Q572" t="s">
        <v>34</v>
      </c>
      <c r="R572">
        <v>77334.100000000006</v>
      </c>
      <c r="S572" s="25" t="e">
        <f>IF(Table1[[#This Row],[Sales]]=MIN(Table1[Sales]), Table1[[#This Row],[Sales]], NA())</f>
        <v>#N/A</v>
      </c>
      <c r="T572" s="25">
        <f>IF(AND(Table1[[#This Row],[Sales]]&lt;&gt;MIN(Table1[Sales]),Table1[[#This Row],[Sales]]&lt;&gt;MAX(Table1[Sales])), Table1[[#This Row],[Sales]], NA())</f>
        <v>77334.100000000006</v>
      </c>
      <c r="U572" s="25" t="e">
        <f>IF(Table1[[#This Row],[Sales]]=MAX(Table1[Sales]), Table1[[#This Row],[Sales]], NA())</f>
        <v>#N/A</v>
      </c>
      <c r="V572">
        <v>6</v>
      </c>
      <c r="W572">
        <v>0.3</v>
      </c>
      <c r="X572">
        <v>386.67</v>
      </c>
      <c r="Y572" s="3">
        <f>YEAR(Table1[[#This Row],[Order Date]])</f>
        <v>2025</v>
      </c>
      <c r="Z572" s="3" t="str">
        <f>TEXT(Table1[[#This Row],[Order Date]],"MMM")</f>
        <v>May</v>
      </c>
      <c r="AA572" s="3">
        <f>DAY(Table1[[#This Row],[Order Date]])</f>
        <v>13</v>
      </c>
    </row>
    <row r="573" spans="1:27" x14ac:dyDescent="0.35">
      <c r="A573" s="1">
        <v>572</v>
      </c>
      <c r="B573" s="1" t="s">
        <v>2622</v>
      </c>
      <c r="C573" s="1" t="s">
        <v>2623</v>
      </c>
      <c r="D573" s="1" t="s">
        <v>2624</v>
      </c>
      <c r="E573" t="s">
        <v>115</v>
      </c>
      <c r="F573" t="s">
        <v>2625</v>
      </c>
      <c r="G573" t="s">
        <v>188</v>
      </c>
      <c r="H573" t="s">
        <v>27</v>
      </c>
      <c r="I573" s="1" t="s">
        <v>28</v>
      </c>
      <c r="J573" t="s">
        <v>128</v>
      </c>
      <c r="K573" t="s">
        <v>129</v>
      </c>
      <c r="L573" s="1">
        <v>770965</v>
      </c>
      <c r="M573" s="1" t="s">
        <v>66</v>
      </c>
      <c r="N573" t="s">
        <v>2626</v>
      </c>
      <c r="O573" t="s">
        <v>46</v>
      </c>
      <c r="P573" t="s">
        <v>57</v>
      </c>
      <c r="Q573" t="s">
        <v>58</v>
      </c>
      <c r="R573">
        <v>93074.74</v>
      </c>
      <c r="S573" s="25" t="e">
        <f>IF(Table1[[#This Row],[Sales]]=MIN(Table1[Sales]), Table1[[#This Row],[Sales]], NA())</f>
        <v>#N/A</v>
      </c>
      <c r="T573" s="25">
        <f>IF(AND(Table1[[#This Row],[Sales]]&lt;&gt;MIN(Table1[Sales]),Table1[[#This Row],[Sales]]&lt;&gt;MAX(Table1[Sales])), Table1[[#This Row],[Sales]], NA())</f>
        <v>93074.74</v>
      </c>
      <c r="U573" s="25" t="e">
        <f>IF(Table1[[#This Row],[Sales]]=MAX(Table1[Sales]), Table1[[#This Row],[Sales]], NA())</f>
        <v>#N/A</v>
      </c>
      <c r="V573">
        <v>4</v>
      </c>
      <c r="W573">
        <v>0.2</v>
      </c>
      <c r="X573">
        <v>2792.24</v>
      </c>
      <c r="Y573" s="3">
        <f>YEAR(Table1[[#This Row],[Order Date]])</f>
        <v>2023</v>
      </c>
      <c r="Z573" s="3" t="str">
        <f>TEXT(Table1[[#This Row],[Order Date]],"MMM")</f>
        <v>Mar</v>
      </c>
      <c r="AA573" s="3">
        <f>DAY(Table1[[#This Row],[Order Date]])</f>
        <v>7</v>
      </c>
    </row>
    <row r="574" spans="1:27" x14ac:dyDescent="0.35">
      <c r="A574" s="1">
        <v>573</v>
      </c>
      <c r="B574" s="1" t="s">
        <v>2627</v>
      </c>
      <c r="C574" s="1" t="s">
        <v>2446</v>
      </c>
      <c r="D574" s="1" t="s">
        <v>2229</v>
      </c>
      <c r="E574" t="s">
        <v>24</v>
      </c>
      <c r="F574" t="s">
        <v>2628</v>
      </c>
      <c r="G574" t="s">
        <v>110</v>
      </c>
      <c r="H574" t="s">
        <v>41</v>
      </c>
      <c r="I574" s="1" t="s">
        <v>28</v>
      </c>
      <c r="J574" t="s">
        <v>29</v>
      </c>
      <c r="K574" t="s">
        <v>29</v>
      </c>
      <c r="L574" s="1">
        <v>239544</v>
      </c>
      <c r="M574" s="1" t="s">
        <v>30</v>
      </c>
      <c r="N574" t="s">
        <v>2629</v>
      </c>
      <c r="O574" t="s">
        <v>68</v>
      </c>
      <c r="P574" t="s">
        <v>69</v>
      </c>
      <c r="Q574" t="s">
        <v>70</v>
      </c>
      <c r="R574">
        <v>97438</v>
      </c>
      <c r="S574" s="25" t="e">
        <f>IF(Table1[[#This Row],[Sales]]=MIN(Table1[Sales]), Table1[[#This Row],[Sales]], NA())</f>
        <v>#N/A</v>
      </c>
      <c r="T574" s="25">
        <f>IF(AND(Table1[[#This Row],[Sales]]&lt;&gt;MIN(Table1[Sales]),Table1[[#This Row],[Sales]]&lt;&gt;MAX(Table1[Sales])), Table1[[#This Row],[Sales]], NA())</f>
        <v>97438</v>
      </c>
      <c r="U574" s="25" t="e">
        <f>IF(Table1[[#This Row],[Sales]]=MAX(Table1[Sales]), Table1[[#This Row],[Sales]], NA())</f>
        <v>#N/A</v>
      </c>
      <c r="V574">
        <v>3</v>
      </c>
      <c r="W574">
        <v>0.1</v>
      </c>
      <c r="X574">
        <v>5359.09</v>
      </c>
      <c r="Y574" s="3">
        <f>YEAR(Table1[[#This Row],[Order Date]])</f>
        <v>2022</v>
      </c>
      <c r="Z574" s="3" t="str">
        <f>TEXT(Table1[[#This Row],[Order Date]],"MMM")</f>
        <v>Nov</v>
      </c>
      <c r="AA574" s="3">
        <f>DAY(Table1[[#This Row],[Order Date]])</f>
        <v>9</v>
      </c>
    </row>
    <row r="575" spans="1:27" x14ac:dyDescent="0.35">
      <c r="A575" s="1">
        <v>574</v>
      </c>
      <c r="B575" s="1" t="s">
        <v>2630</v>
      </c>
      <c r="C575" s="1" t="s">
        <v>607</v>
      </c>
      <c r="D575" s="1" t="s">
        <v>2631</v>
      </c>
      <c r="E575" t="s">
        <v>38</v>
      </c>
      <c r="F575" t="s">
        <v>2632</v>
      </c>
      <c r="G575" t="s">
        <v>122</v>
      </c>
      <c r="H575" t="s">
        <v>41</v>
      </c>
      <c r="I575" s="1" t="s">
        <v>28</v>
      </c>
      <c r="J575" t="s">
        <v>64</v>
      </c>
      <c r="K575" t="s">
        <v>65</v>
      </c>
      <c r="L575" s="1">
        <v>422516</v>
      </c>
      <c r="M575" s="1" t="s">
        <v>66</v>
      </c>
      <c r="N575" t="s">
        <v>2633</v>
      </c>
      <c r="O575" t="s">
        <v>46</v>
      </c>
      <c r="P575" t="s">
        <v>57</v>
      </c>
      <c r="Q575" t="s">
        <v>58</v>
      </c>
      <c r="R575">
        <v>8470.75</v>
      </c>
      <c r="S575" s="25" t="e">
        <f>IF(Table1[[#This Row],[Sales]]=MIN(Table1[Sales]), Table1[[#This Row],[Sales]], NA())</f>
        <v>#N/A</v>
      </c>
      <c r="T575" s="25">
        <f>IF(AND(Table1[[#This Row],[Sales]]&lt;&gt;MIN(Table1[Sales]),Table1[[#This Row],[Sales]]&lt;&gt;MAX(Table1[Sales])), Table1[[#This Row],[Sales]], NA())</f>
        <v>8470.75</v>
      </c>
      <c r="U575" s="25" t="e">
        <f>IF(Table1[[#This Row],[Sales]]=MAX(Table1[Sales]), Table1[[#This Row],[Sales]], NA())</f>
        <v>#N/A</v>
      </c>
      <c r="V575">
        <v>6</v>
      </c>
      <c r="W575">
        <v>0.3</v>
      </c>
      <c r="X575">
        <v>42.35</v>
      </c>
      <c r="Y575" s="3">
        <f>YEAR(Table1[[#This Row],[Order Date]])</f>
        <v>2025</v>
      </c>
      <c r="Z575" s="3" t="str">
        <f>TEXT(Table1[[#This Row],[Order Date]],"MMM")</f>
        <v>Nov</v>
      </c>
      <c r="AA575" s="3">
        <f>DAY(Table1[[#This Row],[Order Date]])</f>
        <v>11</v>
      </c>
    </row>
    <row r="576" spans="1:27" x14ac:dyDescent="0.35">
      <c r="A576" s="1">
        <v>575</v>
      </c>
      <c r="B576" s="1" t="s">
        <v>2634</v>
      </c>
      <c r="C576" s="1" t="s">
        <v>1499</v>
      </c>
      <c r="D576" s="1" t="s">
        <v>2635</v>
      </c>
      <c r="E576" t="s">
        <v>24</v>
      </c>
      <c r="F576" t="s">
        <v>2636</v>
      </c>
      <c r="G576" t="s">
        <v>93</v>
      </c>
      <c r="H576" t="s">
        <v>94</v>
      </c>
      <c r="I576" s="1" t="s">
        <v>28</v>
      </c>
      <c r="J576" t="s">
        <v>42</v>
      </c>
      <c r="K576" t="s">
        <v>43</v>
      </c>
      <c r="L576" s="1">
        <v>840315</v>
      </c>
      <c r="M576" s="1" t="s">
        <v>44</v>
      </c>
      <c r="N576" t="s">
        <v>2637</v>
      </c>
      <c r="O576" t="s">
        <v>68</v>
      </c>
      <c r="P576" t="s">
        <v>69</v>
      </c>
      <c r="Q576" t="s">
        <v>70</v>
      </c>
      <c r="R576">
        <v>30772.5</v>
      </c>
      <c r="S576" s="25" t="e">
        <f>IF(Table1[[#This Row],[Sales]]=MIN(Table1[Sales]), Table1[[#This Row],[Sales]], NA())</f>
        <v>#N/A</v>
      </c>
      <c r="T576" s="25">
        <f>IF(AND(Table1[[#This Row],[Sales]]&lt;&gt;MIN(Table1[Sales]),Table1[[#This Row],[Sales]]&lt;&gt;MAX(Table1[Sales])), Table1[[#This Row],[Sales]], NA())</f>
        <v>30772.5</v>
      </c>
      <c r="U576" s="25" t="e">
        <f>IF(Table1[[#This Row],[Sales]]=MAX(Table1[Sales]), Table1[[#This Row],[Sales]], NA())</f>
        <v>#N/A</v>
      </c>
      <c r="V576">
        <v>3</v>
      </c>
      <c r="W576">
        <v>0</v>
      </c>
      <c r="X576">
        <v>2461.8000000000002</v>
      </c>
      <c r="Y576" s="3">
        <f>YEAR(Table1[[#This Row],[Order Date]])</f>
        <v>2023</v>
      </c>
      <c r="Z576" s="3" t="str">
        <f>TEXT(Table1[[#This Row],[Order Date]],"MMM")</f>
        <v>Oct</v>
      </c>
      <c r="AA576" s="3">
        <f>DAY(Table1[[#This Row],[Order Date]])</f>
        <v>22</v>
      </c>
    </row>
    <row r="577" spans="1:27" x14ac:dyDescent="0.35">
      <c r="A577" s="1">
        <v>576</v>
      </c>
      <c r="B577" s="1" t="s">
        <v>2638</v>
      </c>
      <c r="C577" s="1" t="s">
        <v>2252</v>
      </c>
      <c r="D577" s="1" t="s">
        <v>2639</v>
      </c>
      <c r="E577" t="s">
        <v>62</v>
      </c>
      <c r="F577" t="s">
        <v>2640</v>
      </c>
      <c r="G577" t="s">
        <v>122</v>
      </c>
      <c r="H577" t="s">
        <v>27</v>
      </c>
      <c r="I577" s="1" t="s">
        <v>28</v>
      </c>
      <c r="J577" t="s">
        <v>64</v>
      </c>
      <c r="K577" t="s">
        <v>65</v>
      </c>
      <c r="L577" s="1">
        <v>231391</v>
      </c>
      <c r="M577" s="1" t="s">
        <v>66</v>
      </c>
      <c r="N577" t="s">
        <v>2641</v>
      </c>
      <c r="O577" t="s">
        <v>46</v>
      </c>
      <c r="P577" t="s">
        <v>47</v>
      </c>
      <c r="Q577" t="s">
        <v>48</v>
      </c>
      <c r="R577">
        <v>53057.15</v>
      </c>
      <c r="S577" s="25" t="e">
        <f>IF(Table1[[#This Row],[Sales]]=MIN(Table1[Sales]), Table1[[#This Row],[Sales]], NA())</f>
        <v>#N/A</v>
      </c>
      <c r="T577" s="25">
        <f>IF(AND(Table1[[#This Row],[Sales]]&lt;&gt;MIN(Table1[Sales]),Table1[[#This Row],[Sales]]&lt;&gt;MAX(Table1[Sales])), Table1[[#This Row],[Sales]], NA())</f>
        <v>53057.15</v>
      </c>
      <c r="U577" s="25" t="e">
        <f>IF(Table1[[#This Row],[Sales]]=MAX(Table1[Sales]), Table1[[#This Row],[Sales]], NA())</f>
        <v>#N/A</v>
      </c>
      <c r="V577">
        <v>3</v>
      </c>
      <c r="W577">
        <v>0</v>
      </c>
      <c r="X577">
        <v>4244.57</v>
      </c>
      <c r="Y577" s="3">
        <f>YEAR(Table1[[#This Row],[Order Date]])</f>
        <v>2025</v>
      </c>
      <c r="Z577" s="3" t="str">
        <f>TEXT(Table1[[#This Row],[Order Date]],"MMM")</f>
        <v>Sep</v>
      </c>
      <c r="AA577" s="3">
        <f>DAY(Table1[[#This Row],[Order Date]])</f>
        <v>25</v>
      </c>
    </row>
    <row r="578" spans="1:27" x14ac:dyDescent="0.35">
      <c r="A578" s="1">
        <v>577</v>
      </c>
      <c r="B578" s="1" t="s">
        <v>2642</v>
      </c>
      <c r="C578" s="1" t="s">
        <v>2643</v>
      </c>
      <c r="D578" s="1" t="s">
        <v>2644</v>
      </c>
      <c r="E578" t="s">
        <v>62</v>
      </c>
      <c r="F578" t="s">
        <v>2645</v>
      </c>
      <c r="G578" t="s">
        <v>110</v>
      </c>
      <c r="H578" t="s">
        <v>27</v>
      </c>
      <c r="I578" s="1" t="s">
        <v>28</v>
      </c>
      <c r="J578" t="s">
        <v>64</v>
      </c>
      <c r="K578" t="s">
        <v>65</v>
      </c>
      <c r="L578" s="1">
        <v>776997</v>
      </c>
      <c r="M578" s="1" t="s">
        <v>66</v>
      </c>
      <c r="N578" t="s">
        <v>2646</v>
      </c>
      <c r="O578" t="s">
        <v>46</v>
      </c>
      <c r="P578" t="s">
        <v>57</v>
      </c>
      <c r="Q578" t="s">
        <v>58</v>
      </c>
      <c r="R578">
        <v>81372.86</v>
      </c>
      <c r="S578" s="25" t="e">
        <f>IF(Table1[[#This Row],[Sales]]=MIN(Table1[Sales]), Table1[[#This Row],[Sales]], NA())</f>
        <v>#N/A</v>
      </c>
      <c r="T578" s="25">
        <f>IF(AND(Table1[[#This Row],[Sales]]&lt;&gt;MIN(Table1[Sales]),Table1[[#This Row],[Sales]]&lt;&gt;MAX(Table1[Sales])), Table1[[#This Row],[Sales]], NA())</f>
        <v>81372.86</v>
      </c>
      <c r="U578" s="25" t="e">
        <f>IF(Table1[[#This Row],[Sales]]=MAX(Table1[Sales]), Table1[[#This Row],[Sales]], NA())</f>
        <v>#N/A</v>
      </c>
      <c r="V578">
        <v>6</v>
      </c>
      <c r="W578">
        <v>0.2</v>
      </c>
      <c r="X578">
        <v>2441.19</v>
      </c>
      <c r="Y578" s="3">
        <f>YEAR(Table1[[#This Row],[Order Date]])</f>
        <v>2023</v>
      </c>
      <c r="Z578" s="3" t="str">
        <f>TEXT(Table1[[#This Row],[Order Date]],"MMM")</f>
        <v>Dec</v>
      </c>
      <c r="AA578" s="3">
        <f>DAY(Table1[[#This Row],[Order Date]])</f>
        <v>16</v>
      </c>
    </row>
    <row r="579" spans="1:27" x14ac:dyDescent="0.35">
      <c r="A579" s="1">
        <v>578</v>
      </c>
      <c r="B579" s="1" t="s">
        <v>2647</v>
      </c>
      <c r="C579" s="1" t="s">
        <v>2648</v>
      </c>
      <c r="D579" s="1" t="s">
        <v>2649</v>
      </c>
      <c r="E579" t="s">
        <v>38</v>
      </c>
      <c r="F579" t="s">
        <v>2650</v>
      </c>
      <c r="G579" t="s">
        <v>40</v>
      </c>
      <c r="H579" t="s">
        <v>27</v>
      </c>
      <c r="I579" s="1" t="s">
        <v>28</v>
      </c>
      <c r="J579" t="s">
        <v>53</v>
      </c>
      <c r="K579" t="s">
        <v>54</v>
      </c>
      <c r="L579" s="1">
        <v>522504</v>
      </c>
      <c r="M579" s="1" t="s">
        <v>55</v>
      </c>
      <c r="N579" t="s">
        <v>2651</v>
      </c>
      <c r="O579" t="s">
        <v>68</v>
      </c>
      <c r="P579" t="s">
        <v>69</v>
      </c>
      <c r="Q579" t="s">
        <v>70</v>
      </c>
      <c r="R579">
        <v>77473.77</v>
      </c>
      <c r="S579" s="25" t="e">
        <f>IF(Table1[[#This Row],[Sales]]=MIN(Table1[Sales]), Table1[[#This Row],[Sales]], NA())</f>
        <v>#N/A</v>
      </c>
      <c r="T579" s="25">
        <f>IF(AND(Table1[[#This Row],[Sales]]&lt;&gt;MIN(Table1[Sales]),Table1[[#This Row],[Sales]]&lt;&gt;MAX(Table1[Sales])), Table1[[#This Row],[Sales]], NA())</f>
        <v>77473.77</v>
      </c>
      <c r="U579" s="25" t="e">
        <f>IF(Table1[[#This Row],[Sales]]=MAX(Table1[Sales]), Table1[[#This Row],[Sales]], NA())</f>
        <v>#N/A</v>
      </c>
      <c r="V579">
        <v>1</v>
      </c>
      <c r="W579">
        <v>0</v>
      </c>
      <c r="X579">
        <v>6197.9</v>
      </c>
      <c r="Y579" s="3">
        <f>YEAR(Table1[[#This Row],[Order Date]])</f>
        <v>2023</v>
      </c>
      <c r="Z579" s="3" t="str">
        <f>TEXT(Table1[[#This Row],[Order Date]],"MMM")</f>
        <v>Apr</v>
      </c>
      <c r="AA579" s="3">
        <f>DAY(Table1[[#This Row],[Order Date]])</f>
        <v>23</v>
      </c>
    </row>
    <row r="580" spans="1:27" x14ac:dyDescent="0.35">
      <c r="A580" s="1">
        <v>579</v>
      </c>
      <c r="B580" s="1" t="s">
        <v>2652</v>
      </c>
      <c r="C580" s="1" t="s">
        <v>2653</v>
      </c>
      <c r="D580" s="1" t="s">
        <v>2654</v>
      </c>
      <c r="E580" t="s">
        <v>38</v>
      </c>
      <c r="F580" t="s">
        <v>2655</v>
      </c>
      <c r="G580" t="s">
        <v>75</v>
      </c>
      <c r="H580" t="s">
        <v>27</v>
      </c>
      <c r="I580" s="1" t="s">
        <v>28</v>
      </c>
      <c r="J580" t="s">
        <v>64</v>
      </c>
      <c r="K580" t="s">
        <v>65</v>
      </c>
      <c r="L580" s="1">
        <v>259097</v>
      </c>
      <c r="M580" s="1" t="s">
        <v>66</v>
      </c>
      <c r="N580" t="s">
        <v>2656</v>
      </c>
      <c r="O580" t="s">
        <v>46</v>
      </c>
      <c r="P580" t="s">
        <v>47</v>
      </c>
      <c r="Q580" t="s">
        <v>48</v>
      </c>
      <c r="R580">
        <v>29500.48</v>
      </c>
      <c r="S580" s="25" t="e">
        <f>IF(Table1[[#This Row],[Sales]]=MIN(Table1[Sales]), Table1[[#This Row],[Sales]], NA())</f>
        <v>#N/A</v>
      </c>
      <c r="T580" s="25">
        <f>IF(AND(Table1[[#This Row],[Sales]]&lt;&gt;MIN(Table1[Sales]),Table1[[#This Row],[Sales]]&lt;&gt;MAX(Table1[Sales])), Table1[[#This Row],[Sales]], NA())</f>
        <v>29500.48</v>
      </c>
      <c r="U580" s="25" t="e">
        <f>IF(Table1[[#This Row],[Sales]]=MAX(Table1[Sales]), Table1[[#This Row],[Sales]], NA())</f>
        <v>#N/A</v>
      </c>
      <c r="V580">
        <v>9</v>
      </c>
      <c r="W580">
        <v>0.1</v>
      </c>
      <c r="X580">
        <v>1622.53</v>
      </c>
      <c r="Y580" s="3">
        <f>YEAR(Table1[[#This Row],[Order Date]])</f>
        <v>2024</v>
      </c>
      <c r="Z580" s="3" t="str">
        <f>TEXT(Table1[[#This Row],[Order Date]],"MMM")</f>
        <v>Dec</v>
      </c>
      <c r="AA580" s="3">
        <f>DAY(Table1[[#This Row],[Order Date]])</f>
        <v>30</v>
      </c>
    </row>
    <row r="581" spans="1:27" x14ac:dyDescent="0.35">
      <c r="A581" s="1">
        <v>580</v>
      </c>
      <c r="B581" s="1" t="s">
        <v>2657</v>
      </c>
      <c r="C581" s="1" t="s">
        <v>2658</v>
      </c>
      <c r="D581" s="1" t="s">
        <v>2659</v>
      </c>
      <c r="E581" t="s">
        <v>115</v>
      </c>
      <c r="F581" t="s">
        <v>2660</v>
      </c>
      <c r="G581" t="s">
        <v>87</v>
      </c>
      <c r="H581" t="s">
        <v>27</v>
      </c>
      <c r="I581" s="1" t="s">
        <v>28</v>
      </c>
      <c r="J581" t="s">
        <v>29</v>
      </c>
      <c r="K581" t="s">
        <v>29</v>
      </c>
      <c r="L581" s="1">
        <v>427283</v>
      </c>
      <c r="M581" s="1" t="s">
        <v>30</v>
      </c>
      <c r="N581" t="s">
        <v>2661</v>
      </c>
      <c r="O581" t="s">
        <v>32</v>
      </c>
      <c r="P581" t="s">
        <v>33</v>
      </c>
      <c r="Q581" t="s">
        <v>34</v>
      </c>
      <c r="R581">
        <v>99540.94</v>
      </c>
      <c r="S581" s="25" t="e">
        <f>IF(Table1[[#This Row],[Sales]]=MIN(Table1[Sales]), Table1[[#This Row],[Sales]], NA())</f>
        <v>#N/A</v>
      </c>
      <c r="T581" s="25">
        <f>IF(AND(Table1[[#This Row],[Sales]]&lt;&gt;MIN(Table1[Sales]),Table1[[#This Row],[Sales]]&lt;&gt;MAX(Table1[Sales])), Table1[[#This Row],[Sales]], NA())</f>
        <v>99540.94</v>
      </c>
      <c r="U581" s="25" t="e">
        <f>IF(Table1[[#This Row],[Sales]]=MAX(Table1[Sales]), Table1[[#This Row],[Sales]], NA())</f>
        <v>#N/A</v>
      </c>
      <c r="V581">
        <v>2</v>
      </c>
      <c r="W581">
        <v>0.3</v>
      </c>
      <c r="X581">
        <v>497.7</v>
      </c>
      <c r="Y581" s="3">
        <f>YEAR(Table1[[#This Row],[Order Date]])</f>
        <v>2022</v>
      </c>
      <c r="Z581" s="3" t="str">
        <f>TEXT(Table1[[#This Row],[Order Date]],"MMM")</f>
        <v>Nov</v>
      </c>
      <c r="AA581" s="3">
        <f>DAY(Table1[[#This Row],[Order Date]])</f>
        <v>19</v>
      </c>
    </row>
    <row r="582" spans="1:27" x14ac:dyDescent="0.35">
      <c r="A582" s="1">
        <v>581</v>
      </c>
      <c r="B582" s="1" t="s">
        <v>2662</v>
      </c>
      <c r="C582" s="1" t="s">
        <v>547</v>
      </c>
      <c r="D582" s="1" t="s">
        <v>2663</v>
      </c>
      <c r="E582" t="s">
        <v>62</v>
      </c>
      <c r="F582" t="s">
        <v>2664</v>
      </c>
      <c r="G582" t="s">
        <v>75</v>
      </c>
      <c r="H582" t="s">
        <v>41</v>
      </c>
      <c r="I582" s="1" t="s">
        <v>28</v>
      </c>
      <c r="J582" t="s">
        <v>64</v>
      </c>
      <c r="K582" t="s">
        <v>65</v>
      </c>
      <c r="L582" s="1">
        <v>597382</v>
      </c>
      <c r="M582" s="1" t="s">
        <v>66</v>
      </c>
      <c r="N582" t="s">
        <v>2665</v>
      </c>
      <c r="O582" t="s">
        <v>68</v>
      </c>
      <c r="P582" t="s">
        <v>69</v>
      </c>
      <c r="Q582" t="s">
        <v>70</v>
      </c>
      <c r="R582">
        <v>38158.769999999997</v>
      </c>
      <c r="S582" s="25" t="e">
        <f>IF(Table1[[#This Row],[Sales]]=MIN(Table1[Sales]), Table1[[#This Row],[Sales]], NA())</f>
        <v>#N/A</v>
      </c>
      <c r="T582" s="25">
        <f>IF(AND(Table1[[#This Row],[Sales]]&lt;&gt;MIN(Table1[Sales]),Table1[[#This Row],[Sales]]&lt;&gt;MAX(Table1[Sales])), Table1[[#This Row],[Sales]], NA())</f>
        <v>38158.769999999997</v>
      </c>
      <c r="U582" s="25" t="e">
        <f>IF(Table1[[#This Row],[Sales]]=MAX(Table1[Sales]), Table1[[#This Row],[Sales]], NA())</f>
        <v>#N/A</v>
      </c>
      <c r="V582">
        <v>3</v>
      </c>
      <c r="W582">
        <v>0.1</v>
      </c>
      <c r="X582">
        <v>2098.73</v>
      </c>
      <c r="Y582" s="3">
        <f>YEAR(Table1[[#This Row],[Order Date]])</f>
        <v>2021</v>
      </c>
      <c r="Z582" s="3" t="str">
        <f>TEXT(Table1[[#This Row],[Order Date]],"MMM")</f>
        <v>Oct</v>
      </c>
      <c r="AA582" s="3">
        <f>DAY(Table1[[#This Row],[Order Date]])</f>
        <v>10</v>
      </c>
    </row>
    <row r="583" spans="1:27" x14ac:dyDescent="0.35">
      <c r="A583" s="1">
        <v>582</v>
      </c>
      <c r="B583" s="1" t="s">
        <v>2666</v>
      </c>
      <c r="C583" s="1" t="s">
        <v>2667</v>
      </c>
      <c r="D583" s="1" t="s">
        <v>2668</v>
      </c>
      <c r="E583" t="s">
        <v>62</v>
      </c>
      <c r="F583" t="s">
        <v>2669</v>
      </c>
      <c r="G583" t="s">
        <v>75</v>
      </c>
      <c r="H583" t="s">
        <v>27</v>
      </c>
      <c r="I583" s="1" t="s">
        <v>28</v>
      </c>
      <c r="J583" t="s">
        <v>29</v>
      </c>
      <c r="K583" t="s">
        <v>29</v>
      </c>
      <c r="L583" s="1">
        <v>300007</v>
      </c>
      <c r="M583" s="1" t="s">
        <v>30</v>
      </c>
      <c r="N583" t="s">
        <v>2670</v>
      </c>
      <c r="O583" t="s">
        <v>32</v>
      </c>
      <c r="P583" t="s">
        <v>33</v>
      </c>
      <c r="Q583" t="s">
        <v>34</v>
      </c>
      <c r="R583">
        <v>68241.7</v>
      </c>
      <c r="S583" s="25" t="e">
        <f>IF(Table1[[#This Row],[Sales]]=MIN(Table1[Sales]), Table1[[#This Row],[Sales]], NA())</f>
        <v>#N/A</v>
      </c>
      <c r="T583" s="25">
        <f>IF(AND(Table1[[#This Row],[Sales]]&lt;&gt;MIN(Table1[Sales]),Table1[[#This Row],[Sales]]&lt;&gt;MAX(Table1[Sales])), Table1[[#This Row],[Sales]], NA())</f>
        <v>68241.7</v>
      </c>
      <c r="U583" s="25" t="e">
        <f>IF(Table1[[#This Row],[Sales]]=MAX(Table1[Sales]), Table1[[#This Row],[Sales]], NA())</f>
        <v>#N/A</v>
      </c>
      <c r="V583">
        <v>5</v>
      </c>
      <c r="W583">
        <v>0</v>
      </c>
      <c r="X583">
        <v>5459.34</v>
      </c>
      <c r="Y583" s="3">
        <f>YEAR(Table1[[#This Row],[Order Date]])</f>
        <v>2024</v>
      </c>
      <c r="Z583" s="3" t="str">
        <f>TEXT(Table1[[#This Row],[Order Date]],"MMM")</f>
        <v>Oct</v>
      </c>
      <c r="AA583" s="3">
        <f>DAY(Table1[[#This Row],[Order Date]])</f>
        <v>1</v>
      </c>
    </row>
    <row r="584" spans="1:27" x14ac:dyDescent="0.35">
      <c r="A584" s="1">
        <v>583</v>
      </c>
      <c r="B584" s="1" t="s">
        <v>2671</v>
      </c>
      <c r="C584" s="1" t="s">
        <v>2450</v>
      </c>
      <c r="D584" s="1" t="s">
        <v>2672</v>
      </c>
      <c r="E584" t="s">
        <v>24</v>
      </c>
      <c r="F584" t="s">
        <v>2673</v>
      </c>
      <c r="G584" t="s">
        <v>81</v>
      </c>
      <c r="H584" t="s">
        <v>27</v>
      </c>
      <c r="I584" s="1" t="s">
        <v>28</v>
      </c>
      <c r="J584" t="s">
        <v>64</v>
      </c>
      <c r="K584" t="s">
        <v>65</v>
      </c>
      <c r="L584" s="1">
        <v>894587</v>
      </c>
      <c r="M584" s="1" t="s">
        <v>66</v>
      </c>
      <c r="N584" t="s">
        <v>2674</v>
      </c>
      <c r="O584" t="s">
        <v>68</v>
      </c>
      <c r="P584" t="s">
        <v>69</v>
      </c>
      <c r="Q584" t="s">
        <v>70</v>
      </c>
      <c r="R584">
        <v>6126.4</v>
      </c>
      <c r="S584" s="25" t="e">
        <f>IF(Table1[[#This Row],[Sales]]=MIN(Table1[Sales]), Table1[[#This Row],[Sales]], NA())</f>
        <v>#N/A</v>
      </c>
      <c r="T584" s="25">
        <f>IF(AND(Table1[[#This Row],[Sales]]&lt;&gt;MIN(Table1[Sales]),Table1[[#This Row],[Sales]]&lt;&gt;MAX(Table1[Sales])), Table1[[#This Row],[Sales]], NA())</f>
        <v>6126.4</v>
      </c>
      <c r="U584" s="25" t="e">
        <f>IF(Table1[[#This Row],[Sales]]=MAX(Table1[Sales]), Table1[[#This Row],[Sales]], NA())</f>
        <v>#N/A</v>
      </c>
      <c r="V584">
        <v>8</v>
      </c>
      <c r="W584">
        <v>0.1</v>
      </c>
      <c r="X584">
        <v>336.95</v>
      </c>
      <c r="Y584" s="3">
        <f>YEAR(Table1[[#This Row],[Order Date]])</f>
        <v>2025</v>
      </c>
      <c r="Z584" s="3" t="str">
        <f>TEXT(Table1[[#This Row],[Order Date]],"MMM")</f>
        <v>Jul</v>
      </c>
      <c r="AA584" s="3">
        <f>DAY(Table1[[#This Row],[Order Date]])</f>
        <v>19</v>
      </c>
    </row>
    <row r="585" spans="1:27" x14ac:dyDescent="0.35">
      <c r="A585" s="1">
        <v>584</v>
      </c>
      <c r="B585" s="1" t="s">
        <v>2675</v>
      </c>
      <c r="C585" s="1" t="s">
        <v>2676</v>
      </c>
      <c r="D585" s="1" t="s">
        <v>2677</v>
      </c>
      <c r="E585" t="s">
        <v>115</v>
      </c>
      <c r="F585" t="s">
        <v>2678</v>
      </c>
      <c r="G585" t="s">
        <v>87</v>
      </c>
      <c r="H585" t="s">
        <v>94</v>
      </c>
      <c r="I585" s="1" t="s">
        <v>28</v>
      </c>
      <c r="J585" t="s">
        <v>128</v>
      </c>
      <c r="K585" t="s">
        <v>129</v>
      </c>
      <c r="L585" s="1">
        <v>540600</v>
      </c>
      <c r="M585" s="1" t="s">
        <v>66</v>
      </c>
      <c r="N585" t="s">
        <v>2679</v>
      </c>
      <c r="O585" t="s">
        <v>32</v>
      </c>
      <c r="P585" t="s">
        <v>33</v>
      </c>
      <c r="Q585" t="s">
        <v>34</v>
      </c>
      <c r="R585">
        <v>89660.35</v>
      </c>
      <c r="S585" s="25" t="e">
        <f>IF(Table1[[#This Row],[Sales]]=MIN(Table1[Sales]), Table1[[#This Row],[Sales]], NA())</f>
        <v>#N/A</v>
      </c>
      <c r="T585" s="25">
        <f>IF(AND(Table1[[#This Row],[Sales]]&lt;&gt;MIN(Table1[Sales]),Table1[[#This Row],[Sales]]&lt;&gt;MAX(Table1[Sales])), Table1[[#This Row],[Sales]], NA())</f>
        <v>89660.35</v>
      </c>
      <c r="U585" s="25" t="e">
        <f>IF(Table1[[#This Row],[Sales]]=MAX(Table1[Sales]), Table1[[#This Row],[Sales]], NA())</f>
        <v>#N/A</v>
      </c>
      <c r="V585">
        <v>5</v>
      </c>
      <c r="W585">
        <v>0</v>
      </c>
      <c r="X585">
        <v>7172.83</v>
      </c>
      <c r="Y585" s="3">
        <f>YEAR(Table1[[#This Row],[Order Date]])</f>
        <v>2024</v>
      </c>
      <c r="Z585" s="3" t="str">
        <f>TEXT(Table1[[#This Row],[Order Date]],"MMM")</f>
        <v>Apr</v>
      </c>
      <c r="AA585" s="3">
        <f>DAY(Table1[[#This Row],[Order Date]])</f>
        <v>29</v>
      </c>
    </row>
    <row r="586" spans="1:27" x14ac:dyDescent="0.35">
      <c r="A586" s="1">
        <v>585</v>
      </c>
      <c r="B586" s="1" t="s">
        <v>2680</v>
      </c>
      <c r="C586" s="1" t="s">
        <v>2681</v>
      </c>
      <c r="D586" s="1" t="s">
        <v>865</v>
      </c>
      <c r="E586" t="s">
        <v>62</v>
      </c>
      <c r="F586" t="s">
        <v>2682</v>
      </c>
      <c r="G586" t="s">
        <v>110</v>
      </c>
      <c r="H586" t="s">
        <v>41</v>
      </c>
      <c r="I586" s="1" t="s">
        <v>28</v>
      </c>
      <c r="J586" t="s">
        <v>29</v>
      </c>
      <c r="K586" t="s">
        <v>29</v>
      </c>
      <c r="L586" s="1">
        <v>373909</v>
      </c>
      <c r="M586" s="1" t="s">
        <v>30</v>
      </c>
      <c r="N586" t="s">
        <v>2683</v>
      </c>
      <c r="O586" t="s">
        <v>32</v>
      </c>
      <c r="P586" t="s">
        <v>33</v>
      </c>
      <c r="Q586" t="s">
        <v>34</v>
      </c>
      <c r="R586">
        <v>9105.66</v>
      </c>
      <c r="S586" s="25" t="e">
        <f>IF(Table1[[#This Row],[Sales]]=MIN(Table1[Sales]), Table1[[#This Row],[Sales]], NA())</f>
        <v>#N/A</v>
      </c>
      <c r="T586" s="25">
        <f>IF(AND(Table1[[#This Row],[Sales]]&lt;&gt;MIN(Table1[Sales]),Table1[[#This Row],[Sales]]&lt;&gt;MAX(Table1[Sales])), Table1[[#This Row],[Sales]], NA())</f>
        <v>9105.66</v>
      </c>
      <c r="U586" s="25" t="e">
        <f>IF(Table1[[#This Row],[Sales]]=MAX(Table1[Sales]), Table1[[#This Row],[Sales]], NA())</f>
        <v>#N/A</v>
      </c>
      <c r="V586">
        <v>4</v>
      </c>
      <c r="W586">
        <v>0</v>
      </c>
      <c r="X586">
        <v>728.45</v>
      </c>
      <c r="Y586" s="3">
        <f>YEAR(Table1[[#This Row],[Order Date]])</f>
        <v>2024</v>
      </c>
      <c r="Z586" s="3" t="str">
        <f>TEXT(Table1[[#This Row],[Order Date]],"MMM")</f>
        <v>Feb</v>
      </c>
      <c r="AA586" s="3">
        <f>DAY(Table1[[#This Row],[Order Date]])</f>
        <v>7</v>
      </c>
    </row>
    <row r="587" spans="1:27" x14ac:dyDescent="0.35">
      <c r="A587" s="1">
        <v>586</v>
      </c>
      <c r="B587" s="1" t="s">
        <v>2684</v>
      </c>
      <c r="C587" s="1" t="s">
        <v>1755</v>
      </c>
      <c r="D587" s="1" t="s">
        <v>2685</v>
      </c>
      <c r="E587" t="s">
        <v>62</v>
      </c>
      <c r="F587" t="s">
        <v>2686</v>
      </c>
      <c r="G587" t="s">
        <v>26</v>
      </c>
      <c r="H587" t="s">
        <v>27</v>
      </c>
      <c r="I587" s="1" t="s">
        <v>28</v>
      </c>
      <c r="J587" t="s">
        <v>42</v>
      </c>
      <c r="K587" t="s">
        <v>43</v>
      </c>
      <c r="L587" s="1">
        <v>397766</v>
      </c>
      <c r="M587" s="1" t="s">
        <v>44</v>
      </c>
      <c r="N587" t="s">
        <v>2687</v>
      </c>
      <c r="O587" t="s">
        <v>46</v>
      </c>
      <c r="P587" t="s">
        <v>57</v>
      </c>
      <c r="Q587" t="s">
        <v>58</v>
      </c>
      <c r="R587">
        <v>9522.26</v>
      </c>
      <c r="S587" s="25" t="e">
        <f>IF(Table1[[#This Row],[Sales]]=MIN(Table1[Sales]), Table1[[#This Row],[Sales]], NA())</f>
        <v>#N/A</v>
      </c>
      <c r="T587" s="25">
        <f>IF(AND(Table1[[#This Row],[Sales]]&lt;&gt;MIN(Table1[Sales]),Table1[[#This Row],[Sales]]&lt;&gt;MAX(Table1[Sales])), Table1[[#This Row],[Sales]], NA())</f>
        <v>9522.26</v>
      </c>
      <c r="U587" s="25" t="e">
        <f>IF(Table1[[#This Row],[Sales]]=MAX(Table1[Sales]), Table1[[#This Row],[Sales]], NA())</f>
        <v>#N/A</v>
      </c>
      <c r="V587">
        <v>5</v>
      </c>
      <c r="W587">
        <v>0</v>
      </c>
      <c r="X587">
        <v>761.78</v>
      </c>
      <c r="Y587" s="3">
        <f>YEAR(Table1[[#This Row],[Order Date]])</f>
        <v>2022</v>
      </c>
      <c r="Z587" s="3" t="str">
        <f>TEXT(Table1[[#This Row],[Order Date]],"MMM")</f>
        <v>Mar</v>
      </c>
      <c r="AA587" s="3">
        <f>DAY(Table1[[#This Row],[Order Date]])</f>
        <v>4</v>
      </c>
    </row>
    <row r="588" spans="1:27" x14ac:dyDescent="0.35">
      <c r="A588" s="1">
        <v>587</v>
      </c>
      <c r="B588" s="1" t="s">
        <v>2688</v>
      </c>
      <c r="C588" s="1" t="s">
        <v>2689</v>
      </c>
      <c r="D588" s="1" t="s">
        <v>180</v>
      </c>
      <c r="E588" t="s">
        <v>38</v>
      </c>
      <c r="F588" t="s">
        <v>2690</v>
      </c>
      <c r="G588" t="s">
        <v>87</v>
      </c>
      <c r="H588" t="s">
        <v>41</v>
      </c>
      <c r="I588" s="1" t="s">
        <v>28</v>
      </c>
      <c r="J588" t="s">
        <v>128</v>
      </c>
      <c r="K588" t="s">
        <v>129</v>
      </c>
      <c r="L588" s="1">
        <v>397365</v>
      </c>
      <c r="M588" s="1" t="s">
        <v>66</v>
      </c>
      <c r="N588" t="s">
        <v>2691</v>
      </c>
      <c r="O588" t="s">
        <v>68</v>
      </c>
      <c r="P588" t="s">
        <v>69</v>
      </c>
      <c r="Q588" t="s">
        <v>70</v>
      </c>
      <c r="R588">
        <v>19103.509999999998</v>
      </c>
      <c r="S588" s="25" t="e">
        <f>IF(Table1[[#This Row],[Sales]]=MIN(Table1[Sales]), Table1[[#This Row],[Sales]], NA())</f>
        <v>#N/A</v>
      </c>
      <c r="T588" s="25">
        <f>IF(AND(Table1[[#This Row],[Sales]]&lt;&gt;MIN(Table1[Sales]),Table1[[#This Row],[Sales]]&lt;&gt;MAX(Table1[Sales])), Table1[[#This Row],[Sales]], NA())</f>
        <v>19103.509999999998</v>
      </c>
      <c r="U588" s="25" t="e">
        <f>IF(Table1[[#This Row],[Sales]]=MAX(Table1[Sales]), Table1[[#This Row],[Sales]], NA())</f>
        <v>#N/A</v>
      </c>
      <c r="V588">
        <v>1</v>
      </c>
      <c r="W588">
        <v>0.2</v>
      </c>
      <c r="X588">
        <v>573.11</v>
      </c>
      <c r="Y588" s="3">
        <f>YEAR(Table1[[#This Row],[Order Date]])</f>
        <v>2022</v>
      </c>
      <c r="Z588" s="3" t="str">
        <f>TEXT(Table1[[#This Row],[Order Date]],"MMM")</f>
        <v>Mar</v>
      </c>
      <c r="AA588" s="3">
        <f>DAY(Table1[[#This Row],[Order Date]])</f>
        <v>19</v>
      </c>
    </row>
    <row r="589" spans="1:27" x14ac:dyDescent="0.35">
      <c r="A589" s="1">
        <v>588</v>
      </c>
      <c r="B589" s="1" t="s">
        <v>2692</v>
      </c>
      <c r="C589" s="1" t="s">
        <v>485</v>
      </c>
      <c r="D589" s="1" t="s">
        <v>2601</v>
      </c>
      <c r="E589" t="s">
        <v>115</v>
      </c>
      <c r="F589" t="s">
        <v>2693</v>
      </c>
      <c r="G589" t="s">
        <v>81</v>
      </c>
      <c r="H589" t="s">
        <v>27</v>
      </c>
      <c r="I589" s="1" t="s">
        <v>28</v>
      </c>
      <c r="J589" t="s">
        <v>42</v>
      </c>
      <c r="K589" t="s">
        <v>43</v>
      </c>
      <c r="L589" s="1">
        <v>160808</v>
      </c>
      <c r="M589" s="1" t="s">
        <v>44</v>
      </c>
      <c r="N589" t="s">
        <v>2694</v>
      </c>
      <c r="O589" t="s">
        <v>32</v>
      </c>
      <c r="P589" t="s">
        <v>33</v>
      </c>
      <c r="Q589" t="s">
        <v>34</v>
      </c>
      <c r="R589">
        <v>41828.69</v>
      </c>
      <c r="S589" s="25" t="e">
        <f>IF(Table1[[#This Row],[Sales]]=MIN(Table1[Sales]), Table1[[#This Row],[Sales]], NA())</f>
        <v>#N/A</v>
      </c>
      <c r="T589" s="25">
        <f>IF(AND(Table1[[#This Row],[Sales]]&lt;&gt;MIN(Table1[Sales]),Table1[[#This Row],[Sales]]&lt;&gt;MAX(Table1[Sales])), Table1[[#This Row],[Sales]], NA())</f>
        <v>41828.69</v>
      </c>
      <c r="U589" s="25" t="e">
        <f>IF(Table1[[#This Row],[Sales]]=MAX(Table1[Sales]), Table1[[#This Row],[Sales]], NA())</f>
        <v>#N/A</v>
      </c>
      <c r="V589">
        <v>7</v>
      </c>
      <c r="W589">
        <v>0.2</v>
      </c>
      <c r="X589">
        <v>1254.8599999999999</v>
      </c>
      <c r="Y589" s="3">
        <f>YEAR(Table1[[#This Row],[Order Date]])</f>
        <v>2022</v>
      </c>
      <c r="Z589" s="3" t="str">
        <f>TEXT(Table1[[#This Row],[Order Date]],"MMM")</f>
        <v>Mar</v>
      </c>
      <c r="AA589" s="3">
        <f>DAY(Table1[[#This Row],[Order Date]])</f>
        <v>3</v>
      </c>
    </row>
    <row r="590" spans="1:27" x14ac:dyDescent="0.35">
      <c r="A590" s="1">
        <v>589</v>
      </c>
      <c r="B590" s="1" t="s">
        <v>2695</v>
      </c>
      <c r="C590" s="1" t="s">
        <v>2279</v>
      </c>
      <c r="D590" s="1" t="s">
        <v>2181</v>
      </c>
      <c r="E590" t="s">
        <v>38</v>
      </c>
      <c r="F590" t="s">
        <v>2696</v>
      </c>
      <c r="G590" t="s">
        <v>110</v>
      </c>
      <c r="H590" t="s">
        <v>94</v>
      </c>
      <c r="I590" s="1" t="s">
        <v>28</v>
      </c>
      <c r="J590" t="s">
        <v>29</v>
      </c>
      <c r="K590" t="s">
        <v>29</v>
      </c>
      <c r="L590" s="1">
        <v>648145</v>
      </c>
      <c r="M590" s="1" t="s">
        <v>30</v>
      </c>
      <c r="N590" t="s">
        <v>2697</v>
      </c>
      <c r="O590" t="s">
        <v>46</v>
      </c>
      <c r="P590" t="s">
        <v>57</v>
      </c>
      <c r="Q590" t="s">
        <v>58</v>
      </c>
      <c r="R590">
        <v>64986.83</v>
      </c>
      <c r="S590" s="25" t="e">
        <f>IF(Table1[[#This Row],[Sales]]=MIN(Table1[Sales]), Table1[[#This Row],[Sales]], NA())</f>
        <v>#N/A</v>
      </c>
      <c r="T590" s="25">
        <f>IF(AND(Table1[[#This Row],[Sales]]&lt;&gt;MIN(Table1[Sales]),Table1[[#This Row],[Sales]]&lt;&gt;MAX(Table1[Sales])), Table1[[#This Row],[Sales]], NA())</f>
        <v>64986.83</v>
      </c>
      <c r="U590" s="25" t="e">
        <f>IF(Table1[[#This Row],[Sales]]=MAX(Table1[Sales]), Table1[[#This Row],[Sales]], NA())</f>
        <v>#N/A</v>
      </c>
      <c r="V590">
        <v>9</v>
      </c>
      <c r="W590">
        <v>0.1</v>
      </c>
      <c r="X590">
        <v>3574.28</v>
      </c>
      <c r="Y590" s="3">
        <f>YEAR(Table1[[#This Row],[Order Date]])</f>
        <v>2021</v>
      </c>
      <c r="Z590" s="3" t="str">
        <f>TEXT(Table1[[#This Row],[Order Date]],"MMM")</f>
        <v>Jan</v>
      </c>
      <c r="AA590" s="3">
        <f>DAY(Table1[[#This Row],[Order Date]])</f>
        <v>30</v>
      </c>
    </row>
    <row r="591" spans="1:27" x14ac:dyDescent="0.35">
      <c r="A591" s="1">
        <v>590</v>
      </c>
      <c r="B591" s="1" t="s">
        <v>2698</v>
      </c>
      <c r="C591" s="1" t="s">
        <v>2699</v>
      </c>
      <c r="D591" s="1" t="s">
        <v>648</v>
      </c>
      <c r="E591" t="s">
        <v>38</v>
      </c>
      <c r="F591" t="s">
        <v>2700</v>
      </c>
      <c r="G591" t="s">
        <v>140</v>
      </c>
      <c r="H591" t="s">
        <v>94</v>
      </c>
      <c r="I591" s="1" t="s">
        <v>28</v>
      </c>
      <c r="J591" t="s">
        <v>53</v>
      </c>
      <c r="K591" t="s">
        <v>54</v>
      </c>
      <c r="L591" s="1">
        <v>458554</v>
      </c>
      <c r="M591" s="1" t="s">
        <v>55</v>
      </c>
      <c r="N591" t="s">
        <v>2701</v>
      </c>
      <c r="O591" t="s">
        <v>46</v>
      </c>
      <c r="P591" t="s">
        <v>57</v>
      </c>
      <c r="Q591" t="s">
        <v>58</v>
      </c>
      <c r="R591">
        <v>63456.34</v>
      </c>
      <c r="S591" s="25" t="e">
        <f>IF(Table1[[#This Row],[Sales]]=MIN(Table1[Sales]), Table1[[#This Row],[Sales]], NA())</f>
        <v>#N/A</v>
      </c>
      <c r="T591" s="25">
        <f>IF(AND(Table1[[#This Row],[Sales]]&lt;&gt;MIN(Table1[Sales]),Table1[[#This Row],[Sales]]&lt;&gt;MAX(Table1[Sales])), Table1[[#This Row],[Sales]], NA())</f>
        <v>63456.34</v>
      </c>
      <c r="U591" s="25" t="e">
        <f>IF(Table1[[#This Row],[Sales]]=MAX(Table1[Sales]), Table1[[#This Row],[Sales]], NA())</f>
        <v>#N/A</v>
      </c>
      <c r="V591">
        <v>8</v>
      </c>
      <c r="W591">
        <v>0.1</v>
      </c>
      <c r="X591">
        <v>3490.1</v>
      </c>
      <c r="Y591" s="3">
        <f>YEAR(Table1[[#This Row],[Order Date]])</f>
        <v>2021</v>
      </c>
      <c r="Z591" s="3" t="str">
        <f>TEXT(Table1[[#This Row],[Order Date]],"MMM")</f>
        <v>May</v>
      </c>
      <c r="AA591" s="3">
        <f>DAY(Table1[[#This Row],[Order Date]])</f>
        <v>23</v>
      </c>
    </row>
    <row r="592" spans="1:27" x14ac:dyDescent="0.35">
      <c r="A592" s="1">
        <v>591</v>
      </c>
      <c r="B592" s="1" t="s">
        <v>2702</v>
      </c>
      <c r="C592" s="1" t="s">
        <v>707</v>
      </c>
      <c r="D592" s="1" t="s">
        <v>708</v>
      </c>
      <c r="E592" t="s">
        <v>24</v>
      </c>
      <c r="F592" t="s">
        <v>2703</v>
      </c>
      <c r="G592" t="s">
        <v>26</v>
      </c>
      <c r="H592" t="s">
        <v>94</v>
      </c>
      <c r="I592" s="1" t="s">
        <v>28</v>
      </c>
      <c r="J592" t="s">
        <v>53</v>
      </c>
      <c r="K592" t="s">
        <v>54</v>
      </c>
      <c r="L592" s="1">
        <v>616079</v>
      </c>
      <c r="M592" s="1" t="s">
        <v>55</v>
      </c>
      <c r="N592" t="s">
        <v>2704</v>
      </c>
      <c r="O592" t="s">
        <v>46</v>
      </c>
      <c r="P592" t="s">
        <v>57</v>
      </c>
      <c r="Q592" t="s">
        <v>58</v>
      </c>
      <c r="R592">
        <v>30210.41</v>
      </c>
      <c r="S592" s="25" t="e">
        <f>IF(Table1[[#This Row],[Sales]]=MIN(Table1[Sales]), Table1[[#This Row],[Sales]], NA())</f>
        <v>#N/A</v>
      </c>
      <c r="T592" s="25">
        <f>IF(AND(Table1[[#This Row],[Sales]]&lt;&gt;MIN(Table1[Sales]),Table1[[#This Row],[Sales]]&lt;&gt;MAX(Table1[Sales])), Table1[[#This Row],[Sales]], NA())</f>
        <v>30210.41</v>
      </c>
      <c r="U592" s="25" t="e">
        <f>IF(Table1[[#This Row],[Sales]]=MAX(Table1[Sales]), Table1[[#This Row],[Sales]], NA())</f>
        <v>#N/A</v>
      </c>
      <c r="V592">
        <v>7</v>
      </c>
      <c r="W592">
        <v>0.1</v>
      </c>
      <c r="X592">
        <v>1661.57</v>
      </c>
      <c r="Y592" s="3">
        <f>YEAR(Table1[[#This Row],[Order Date]])</f>
        <v>2025</v>
      </c>
      <c r="Z592" s="3" t="str">
        <f>TEXT(Table1[[#This Row],[Order Date]],"MMM")</f>
        <v>Aug</v>
      </c>
      <c r="AA592" s="3">
        <f>DAY(Table1[[#This Row],[Order Date]])</f>
        <v>21</v>
      </c>
    </row>
    <row r="593" spans="1:27" x14ac:dyDescent="0.35">
      <c r="A593" s="1">
        <v>592</v>
      </c>
      <c r="B593" s="1" t="s">
        <v>2705</v>
      </c>
      <c r="C593" s="1" t="s">
        <v>2706</v>
      </c>
      <c r="D593" s="1" t="s">
        <v>2063</v>
      </c>
      <c r="E593" t="s">
        <v>24</v>
      </c>
      <c r="F593" t="s">
        <v>2707</v>
      </c>
      <c r="G593" t="s">
        <v>87</v>
      </c>
      <c r="H593" t="s">
        <v>41</v>
      </c>
      <c r="I593" s="1" t="s">
        <v>28</v>
      </c>
      <c r="J593" t="s">
        <v>42</v>
      </c>
      <c r="K593" t="s">
        <v>43</v>
      </c>
      <c r="L593" s="1">
        <v>235383</v>
      </c>
      <c r="M593" s="1" t="s">
        <v>44</v>
      </c>
      <c r="N593" t="s">
        <v>2708</v>
      </c>
      <c r="O593" t="s">
        <v>68</v>
      </c>
      <c r="P593" t="s">
        <v>69</v>
      </c>
      <c r="Q593" t="s">
        <v>70</v>
      </c>
      <c r="R593">
        <v>28951.61</v>
      </c>
      <c r="S593" s="25" t="e">
        <f>IF(Table1[[#This Row],[Sales]]=MIN(Table1[Sales]), Table1[[#This Row],[Sales]], NA())</f>
        <v>#N/A</v>
      </c>
      <c r="T593" s="25">
        <f>IF(AND(Table1[[#This Row],[Sales]]&lt;&gt;MIN(Table1[Sales]),Table1[[#This Row],[Sales]]&lt;&gt;MAX(Table1[Sales])), Table1[[#This Row],[Sales]], NA())</f>
        <v>28951.61</v>
      </c>
      <c r="U593" s="25" t="e">
        <f>IF(Table1[[#This Row],[Sales]]=MAX(Table1[Sales]), Table1[[#This Row],[Sales]], NA())</f>
        <v>#N/A</v>
      </c>
      <c r="V593">
        <v>2</v>
      </c>
      <c r="W593">
        <v>0.2</v>
      </c>
      <c r="X593">
        <v>868.55</v>
      </c>
      <c r="Y593" s="3">
        <f>YEAR(Table1[[#This Row],[Order Date]])</f>
        <v>2022</v>
      </c>
      <c r="Z593" s="3" t="str">
        <f>TEXT(Table1[[#This Row],[Order Date]],"MMM")</f>
        <v>Dec</v>
      </c>
      <c r="AA593" s="3">
        <f>DAY(Table1[[#This Row],[Order Date]])</f>
        <v>7</v>
      </c>
    </row>
    <row r="594" spans="1:27" x14ac:dyDescent="0.35">
      <c r="A594" s="1">
        <v>593</v>
      </c>
      <c r="B594" s="1" t="s">
        <v>2709</v>
      </c>
      <c r="C594" s="1" t="s">
        <v>2228</v>
      </c>
      <c r="D594" s="1" t="s">
        <v>1141</v>
      </c>
      <c r="E594" t="s">
        <v>115</v>
      </c>
      <c r="F594" t="s">
        <v>2710</v>
      </c>
      <c r="G594" t="s">
        <v>140</v>
      </c>
      <c r="H594" t="s">
        <v>94</v>
      </c>
      <c r="I594" s="1" t="s">
        <v>28</v>
      </c>
      <c r="J594" t="s">
        <v>128</v>
      </c>
      <c r="K594" t="s">
        <v>129</v>
      </c>
      <c r="L594" s="1">
        <v>920990</v>
      </c>
      <c r="M594" s="1" t="s">
        <v>66</v>
      </c>
      <c r="N594" t="s">
        <v>2711</v>
      </c>
      <c r="O594" t="s">
        <v>68</v>
      </c>
      <c r="P594" t="s">
        <v>69</v>
      </c>
      <c r="Q594" t="s">
        <v>70</v>
      </c>
      <c r="R594">
        <v>60306.82</v>
      </c>
      <c r="S594" s="25" t="e">
        <f>IF(Table1[[#This Row],[Sales]]=MIN(Table1[Sales]), Table1[[#This Row],[Sales]], NA())</f>
        <v>#N/A</v>
      </c>
      <c r="T594" s="25">
        <f>IF(AND(Table1[[#This Row],[Sales]]&lt;&gt;MIN(Table1[Sales]),Table1[[#This Row],[Sales]]&lt;&gt;MAX(Table1[Sales])), Table1[[#This Row],[Sales]], NA())</f>
        <v>60306.82</v>
      </c>
      <c r="U594" s="25" t="e">
        <f>IF(Table1[[#This Row],[Sales]]=MAX(Table1[Sales]), Table1[[#This Row],[Sales]], NA())</f>
        <v>#N/A</v>
      </c>
      <c r="V594">
        <v>9</v>
      </c>
      <c r="W594">
        <v>0.3</v>
      </c>
      <c r="X594">
        <v>301.52999999999997</v>
      </c>
      <c r="Y594" s="3">
        <f>YEAR(Table1[[#This Row],[Order Date]])</f>
        <v>2022</v>
      </c>
      <c r="Z594" s="3" t="str">
        <f>TEXT(Table1[[#This Row],[Order Date]],"MMM")</f>
        <v>Nov</v>
      </c>
      <c r="AA594" s="3">
        <f>DAY(Table1[[#This Row],[Order Date]])</f>
        <v>10</v>
      </c>
    </row>
    <row r="595" spans="1:27" x14ac:dyDescent="0.35">
      <c r="A595" s="1">
        <v>594</v>
      </c>
      <c r="B595" s="1" t="s">
        <v>2712</v>
      </c>
      <c r="C595" s="1" t="s">
        <v>2451</v>
      </c>
      <c r="D595" s="1" t="s">
        <v>1450</v>
      </c>
      <c r="E595" t="s">
        <v>24</v>
      </c>
      <c r="F595" t="s">
        <v>2713</v>
      </c>
      <c r="G595" t="s">
        <v>188</v>
      </c>
      <c r="H595" t="s">
        <v>27</v>
      </c>
      <c r="I595" s="1" t="s">
        <v>28</v>
      </c>
      <c r="J595" t="s">
        <v>29</v>
      </c>
      <c r="K595" t="s">
        <v>29</v>
      </c>
      <c r="L595" s="1">
        <v>143388</v>
      </c>
      <c r="M595" s="1" t="s">
        <v>30</v>
      </c>
      <c r="N595" t="s">
        <v>2714</v>
      </c>
      <c r="O595" t="s">
        <v>46</v>
      </c>
      <c r="P595" t="s">
        <v>47</v>
      </c>
      <c r="Q595" t="s">
        <v>48</v>
      </c>
      <c r="R595">
        <v>60042.34</v>
      </c>
      <c r="S595" s="25" t="e">
        <f>IF(Table1[[#This Row],[Sales]]=MIN(Table1[Sales]), Table1[[#This Row],[Sales]], NA())</f>
        <v>#N/A</v>
      </c>
      <c r="T595" s="25">
        <f>IF(AND(Table1[[#This Row],[Sales]]&lt;&gt;MIN(Table1[Sales]),Table1[[#This Row],[Sales]]&lt;&gt;MAX(Table1[Sales])), Table1[[#This Row],[Sales]], NA())</f>
        <v>60042.34</v>
      </c>
      <c r="U595" s="25" t="e">
        <f>IF(Table1[[#This Row],[Sales]]=MAX(Table1[Sales]), Table1[[#This Row],[Sales]], NA())</f>
        <v>#N/A</v>
      </c>
      <c r="V595">
        <v>5</v>
      </c>
      <c r="W595">
        <v>0.1</v>
      </c>
      <c r="X595">
        <v>3302.33</v>
      </c>
      <c r="Y595" s="3">
        <f>YEAR(Table1[[#This Row],[Order Date]])</f>
        <v>2025</v>
      </c>
      <c r="Z595" s="3" t="str">
        <f>TEXT(Table1[[#This Row],[Order Date]],"MMM")</f>
        <v>Jul</v>
      </c>
      <c r="AA595" s="3">
        <f>DAY(Table1[[#This Row],[Order Date]])</f>
        <v>23</v>
      </c>
    </row>
    <row r="596" spans="1:27" x14ac:dyDescent="0.35">
      <c r="A596" s="1">
        <v>595</v>
      </c>
      <c r="B596" s="1" t="s">
        <v>2715</v>
      </c>
      <c r="C596" s="1" t="s">
        <v>91</v>
      </c>
      <c r="D596" s="1" t="s">
        <v>2716</v>
      </c>
      <c r="E596" t="s">
        <v>62</v>
      </c>
      <c r="F596" t="s">
        <v>2717</v>
      </c>
      <c r="G596" t="s">
        <v>26</v>
      </c>
      <c r="H596" t="s">
        <v>27</v>
      </c>
      <c r="I596" s="1" t="s">
        <v>28</v>
      </c>
      <c r="J596" t="s">
        <v>29</v>
      </c>
      <c r="K596" t="s">
        <v>29</v>
      </c>
      <c r="L596" s="1">
        <v>477590</v>
      </c>
      <c r="M596" s="1" t="s">
        <v>30</v>
      </c>
      <c r="N596" t="s">
        <v>2718</v>
      </c>
      <c r="O596" t="s">
        <v>68</v>
      </c>
      <c r="P596" t="s">
        <v>69</v>
      </c>
      <c r="Q596" t="s">
        <v>70</v>
      </c>
      <c r="R596">
        <v>91735.4</v>
      </c>
      <c r="S596" s="25" t="e">
        <f>IF(Table1[[#This Row],[Sales]]=MIN(Table1[Sales]), Table1[[#This Row],[Sales]], NA())</f>
        <v>#N/A</v>
      </c>
      <c r="T596" s="25">
        <f>IF(AND(Table1[[#This Row],[Sales]]&lt;&gt;MIN(Table1[Sales]),Table1[[#This Row],[Sales]]&lt;&gt;MAX(Table1[Sales])), Table1[[#This Row],[Sales]], NA())</f>
        <v>91735.4</v>
      </c>
      <c r="U596" s="25" t="e">
        <f>IF(Table1[[#This Row],[Sales]]=MAX(Table1[Sales]), Table1[[#This Row],[Sales]], NA())</f>
        <v>#N/A</v>
      </c>
      <c r="V596">
        <v>6</v>
      </c>
      <c r="W596">
        <v>0.3</v>
      </c>
      <c r="X596">
        <v>458.68</v>
      </c>
      <c r="Y596" s="3">
        <f>YEAR(Table1[[#This Row],[Order Date]])</f>
        <v>2023</v>
      </c>
      <c r="Z596" s="3" t="str">
        <f>TEXT(Table1[[#This Row],[Order Date]],"MMM")</f>
        <v>Aug</v>
      </c>
      <c r="AA596" s="3">
        <f>DAY(Table1[[#This Row],[Order Date]])</f>
        <v>30</v>
      </c>
    </row>
    <row r="597" spans="1:27" x14ac:dyDescent="0.35">
      <c r="A597" s="1">
        <v>596</v>
      </c>
      <c r="B597" s="1" t="s">
        <v>2719</v>
      </c>
      <c r="C597" s="1" t="s">
        <v>2720</v>
      </c>
      <c r="D597" s="1" t="s">
        <v>2721</v>
      </c>
      <c r="E597" t="s">
        <v>62</v>
      </c>
      <c r="F597" t="s">
        <v>2722</v>
      </c>
      <c r="G597" t="s">
        <v>87</v>
      </c>
      <c r="H597" t="s">
        <v>27</v>
      </c>
      <c r="I597" s="1" t="s">
        <v>28</v>
      </c>
      <c r="J597" t="s">
        <v>128</v>
      </c>
      <c r="K597" t="s">
        <v>129</v>
      </c>
      <c r="L597" s="1">
        <v>809123</v>
      </c>
      <c r="M597" s="1" t="s">
        <v>66</v>
      </c>
      <c r="N597" t="s">
        <v>2723</v>
      </c>
      <c r="O597" t="s">
        <v>32</v>
      </c>
      <c r="P597" t="s">
        <v>33</v>
      </c>
      <c r="Q597" t="s">
        <v>34</v>
      </c>
      <c r="R597">
        <v>88522.4</v>
      </c>
      <c r="S597" s="25" t="e">
        <f>IF(Table1[[#This Row],[Sales]]=MIN(Table1[Sales]), Table1[[#This Row],[Sales]], NA())</f>
        <v>#N/A</v>
      </c>
      <c r="T597" s="25">
        <f>IF(AND(Table1[[#This Row],[Sales]]&lt;&gt;MIN(Table1[Sales]),Table1[[#This Row],[Sales]]&lt;&gt;MAX(Table1[Sales])), Table1[[#This Row],[Sales]], NA())</f>
        <v>88522.4</v>
      </c>
      <c r="U597" s="25" t="e">
        <f>IF(Table1[[#This Row],[Sales]]=MAX(Table1[Sales]), Table1[[#This Row],[Sales]], NA())</f>
        <v>#N/A</v>
      </c>
      <c r="V597">
        <v>6</v>
      </c>
      <c r="W597">
        <v>0.1</v>
      </c>
      <c r="X597">
        <v>4868.7299999999996</v>
      </c>
      <c r="Y597" s="3">
        <f>YEAR(Table1[[#This Row],[Order Date]])</f>
        <v>2024</v>
      </c>
      <c r="Z597" s="3" t="str">
        <f>TEXT(Table1[[#This Row],[Order Date]],"MMM")</f>
        <v>Nov</v>
      </c>
      <c r="AA597" s="3">
        <f>DAY(Table1[[#This Row],[Order Date]])</f>
        <v>29</v>
      </c>
    </row>
    <row r="598" spans="1:27" x14ac:dyDescent="0.35">
      <c r="A598" s="1">
        <v>597</v>
      </c>
      <c r="B598" s="1" t="s">
        <v>2724</v>
      </c>
      <c r="C598" s="1" t="s">
        <v>2725</v>
      </c>
      <c r="D598" s="1" t="s">
        <v>1485</v>
      </c>
      <c r="E598" t="s">
        <v>115</v>
      </c>
      <c r="F598" t="s">
        <v>2726</v>
      </c>
      <c r="G598" t="s">
        <v>110</v>
      </c>
      <c r="H598" t="s">
        <v>94</v>
      </c>
      <c r="I598" s="1" t="s">
        <v>28</v>
      </c>
      <c r="J598" t="s">
        <v>64</v>
      </c>
      <c r="K598" t="s">
        <v>65</v>
      </c>
      <c r="L598" s="1">
        <v>317162</v>
      </c>
      <c r="M598" s="1" t="s">
        <v>66</v>
      </c>
      <c r="N598" t="s">
        <v>2727</v>
      </c>
      <c r="O598" t="s">
        <v>46</v>
      </c>
      <c r="P598" t="s">
        <v>57</v>
      </c>
      <c r="Q598" t="s">
        <v>58</v>
      </c>
      <c r="R598">
        <v>26776.63</v>
      </c>
      <c r="S598" s="25" t="e">
        <f>IF(Table1[[#This Row],[Sales]]=MIN(Table1[Sales]), Table1[[#This Row],[Sales]], NA())</f>
        <v>#N/A</v>
      </c>
      <c r="T598" s="25">
        <f>IF(AND(Table1[[#This Row],[Sales]]&lt;&gt;MIN(Table1[Sales]),Table1[[#This Row],[Sales]]&lt;&gt;MAX(Table1[Sales])), Table1[[#This Row],[Sales]], NA())</f>
        <v>26776.63</v>
      </c>
      <c r="U598" s="25" t="e">
        <f>IF(Table1[[#This Row],[Sales]]=MAX(Table1[Sales]), Table1[[#This Row],[Sales]], NA())</f>
        <v>#N/A</v>
      </c>
      <c r="V598">
        <v>5</v>
      </c>
      <c r="W598">
        <v>0</v>
      </c>
      <c r="X598">
        <v>2142.13</v>
      </c>
      <c r="Y598" s="3">
        <f>YEAR(Table1[[#This Row],[Order Date]])</f>
        <v>2024</v>
      </c>
      <c r="Z598" s="3" t="str">
        <f>TEXT(Table1[[#This Row],[Order Date]],"MMM")</f>
        <v>Jul</v>
      </c>
      <c r="AA598" s="3">
        <f>DAY(Table1[[#This Row],[Order Date]])</f>
        <v>1</v>
      </c>
    </row>
    <row r="599" spans="1:27" x14ac:dyDescent="0.35">
      <c r="A599" s="1">
        <v>598</v>
      </c>
      <c r="B599" s="1" t="s">
        <v>2728</v>
      </c>
      <c r="C599" s="1" t="s">
        <v>2729</v>
      </c>
      <c r="D599" s="1" t="s">
        <v>2730</v>
      </c>
      <c r="E599" t="s">
        <v>24</v>
      </c>
      <c r="F599" t="s">
        <v>2731</v>
      </c>
      <c r="G599" t="s">
        <v>81</v>
      </c>
      <c r="H599" t="s">
        <v>94</v>
      </c>
      <c r="I599" s="1" t="s">
        <v>28</v>
      </c>
      <c r="J599" t="s">
        <v>53</v>
      </c>
      <c r="K599" t="s">
        <v>54</v>
      </c>
      <c r="L599" s="1">
        <v>525392</v>
      </c>
      <c r="M599" s="1" t="s">
        <v>55</v>
      </c>
      <c r="N599" t="s">
        <v>2732</v>
      </c>
      <c r="O599" t="s">
        <v>46</v>
      </c>
      <c r="P599" t="s">
        <v>57</v>
      </c>
      <c r="Q599" t="s">
        <v>58</v>
      </c>
      <c r="R599">
        <v>79032.81</v>
      </c>
      <c r="S599" s="25" t="e">
        <f>IF(Table1[[#This Row],[Sales]]=MIN(Table1[Sales]), Table1[[#This Row],[Sales]], NA())</f>
        <v>#N/A</v>
      </c>
      <c r="T599" s="25">
        <f>IF(AND(Table1[[#This Row],[Sales]]&lt;&gt;MIN(Table1[Sales]),Table1[[#This Row],[Sales]]&lt;&gt;MAX(Table1[Sales])), Table1[[#This Row],[Sales]], NA())</f>
        <v>79032.81</v>
      </c>
      <c r="U599" s="25" t="e">
        <f>IF(Table1[[#This Row],[Sales]]=MAX(Table1[Sales]), Table1[[#This Row],[Sales]], NA())</f>
        <v>#N/A</v>
      </c>
      <c r="V599">
        <v>8</v>
      </c>
      <c r="W599">
        <v>0.2</v>
      </c>
      <c r="X599">
        <v>2370.98</v>
      </c>
      <c r="Y599" s="3">
        <f>YEAR(Table1[[#This Row],[Order Date]])</f>
        <v>2024</v>
      </c>
      <c r="Z599" s="3" t="str">
        <f>TEXT(Table1[[#This Row],[Order Date]],"MMM")</f>
        <v>Jun</v>
      </c>
      <c r="AA599" s="3">
        <f>DAY(Table1[[#This Row],[Order Date]])</f>
        <v>22</v>
      </c>
    </row>
    <row r="600" spans="1:27" x14ac:dyDescent="0.35">
      <c r="A600" s="1">
        <v>599</v>
      </c>
      <c r="B600" s="1" t="s">
        <v>2733</v>
      </c>
      <c r="C600" s="1" t="s">
        <v>2734</v>
      </c>
      <c r="D600" s="1" t="s">
        <v>2735</v>
      </c>
      <c r="E600" t="s">
        <v>24</v>
      </c>
      <c r="F600" t="s">
        <v>2736</v>
      </c>
      <c r="G600" t="s">
        <v>188</v>
      </c>
      <c r="H600" t="s">
        <v>41</v>
      </c>
      <c r="I600" s="1" t="s">
        <v>28</v>
      </c>
      <c r="J600" t="s">
        <v>29</v>
      </c>
      <c r="K600" t="s">
        <v>29</v>
      </c>
      <c r="L600" s="1">
        <v>523319</v>
      </c>
      <c r="M600" s="1" t="s">
        <v>30</v>
      </c>
      <c r="N600" t="s">
        <v>2737</v>
      </c>
      <c r="O600" t="s">
        <v>46</v>
      </c>
      <c r="P600" t="s">
        <v>57</v>
      </c>
      <c r="Q600" t="s">
        <v>58</v>
      </c>
      <c r="R600">
        <v>84317.58</v>
      </c>
      <c r="S600" s="25" t="e">
        <f>IF(Table1[[#This Row],[Sales]]=MIN(Table1[Sales]), Table1[[#This Row],[Sales]], NA())</f>
        <v>#N/A</v>
      </c>
      <c r="T600" s="25">
        <f>IF(AND(Table1[[#This Row],[Sales]]&lt;&gt;MIN(Table1[Sales]),Table1[[#This Row],[Sales]]&lt;&gt;MAX(Table1[Sales])), Table1[[#This Row],[Sales]], NA())</f>
        <v>84317.58</v>
      </c>
      <c r="U600" s="25" t="e">
        <f>IF(Table1[[#This Row],[Sales]]=MAX(Table1[Sales]), Table1[[#This Row],[Sales]], NA())</f>
        <v>#N/A</v>
      </c>
      <c r="V600">
        <v>7</v>
      </c>
      <c r="W600">
        <v>0.3</v>
      </c>
      <c r="X600">
        <v>421.59</v>
      </c>
      <c r="Y600" s="3">
        <f>YEAR(Table1[[#This Row],[Order Date]])</f>
        <v>2021</v>
      </c>
      <c r="Z600" s="3" t="str">
        <f>TEXT(Table1[[#This Row],[Order Date]],"MMM")</f>
        <v>Jul</v>
      </c>
      <c r="AA600" s="3">
        <f>DAY(Table1[[#This Row],[Order Date]])</f>
        <v>25</v>
      </c>
    </row>
    <row r="601" spans="1:27" x14ac:dyDescent="0.35">
      <c r="A601" s="1">
        <v>600</v>
      </c>
      <c r="B601" s="1" t="s">
        <v>2738</v>
      </c>
      <c r="C601" s="1" t="s">
        <v>2739</v>
      </c>
      <c r="D601" s="1" t="s">
        <v>372</v>
      </c>
      <c r="E601" t="s">
        <v>38</v>
      </c>
      <c r="F601" t="s">
        <v>2740</v>
      </c>
      <c r="G601" t="s">
        <v>81</v>
      </c>
      <c r="H601" t="s">
        <v>94</v>
      </c>
      <c r="I601" s="1" t="s">
        <v>28</v>
      </c>
      <c r="J601" t="s">
        <v>64</v>
      </c>
      <c r="K601" t="s">
        <v>65</v>
      </c>
      <c r="L601" s="1">
        <v>165312</v>
      </c>
      <c r="M601" s="1" t="s">
        <v>66</v>
      </c>
      <c r="N601" t="s">
        <v>2741</v>
      </c>
      <c r="O601" t="s">
        <v>32</v>
      </c>
      <c r="P601" t="s">
        <v>33</v>
      </c>
      <c r="Q601" t="s">
        <v>34</v>
      </c>
      <c r="R601">
        <v>82427.05</v>
      </c>
      <c r="S601" s="25" t="e">
        <f>IF(Table1[[#This Row],[Sales]]=MIN(Table1[Sales]), Table1[[#This Row],[Sales]], NA())</f>
        <v>#N/A</v>
      </c>
      <c r="T601" s="25">
        <f>IF(AND(Table1[[#This Row],[Sales]]&lt;&gt;MIN(Table1[Sales]),Table1[[#This Row],[Sales]]&lt;&gt;MAX(Table1[Sales])), Table1[[#This Row],[Sales]], NA())</f>
        <v>82427.05</v>
      </c>
      <c r="U601" s="25" t="e">
        <f>IF(Table1[[#This Row],[Sales]]=MAX(Table1[Sales]), Table1[[#This Row],[Sales]], NA())</f>
        <v>#N/A</v>
      </c>
      <c r="V601">
        <v>1</v>
      </c>
      <c r="W601">
        <v>0.2</v>
      </c>
      <c r="X601">
        <v>2472.81</v>
      </c>
      <c r="Y601" s="3">
        <f>YEAR(Table1[[#This Row],[Order Date]])</f>
        <v>2021</v>
      </c>
      <c r="Z601" s="3" t="str">
        <f>TEXT(Table1[[#This Row],[Order Date]],"MMM")</f>
        <v>May</v>
      </c>
      <c r="AA601" s="3">
        <f>DAY(Table1[[#This Row],[Order Date]])</f>
        <v>24</v>
      </c>
    </row>
    <row r="602" spans="1:27" x14ac:dyDescent="0.35">
      <c r="A602" s="1">
        <v>601</v>
      </c>
      <c r="B602" s="1" t="s">
        <v>2742</v>
      </c>
      <c r="C602" s="1" t="s">
        <v>2743</v>
      </c>
      <c r="D602" s="1" t="s">
        <v>2744</v>
      </c>
      <c r="E602" t="s">
        <v>115</v>
      </c>
      <c r="F602" t="s">
        <v>2745</v>
      </c>
      <c r="G602" t="s">
        <v>93</v>
      </c>
      <c r="H602" t="s">
        <v>41</v>
      </c>
      <c r="I602" s="1" t="s">
        <v>28</v>
      </c>
      <c r="J602" t="s">
        <v>42</v>
      </c>
      <c r="K602" t="s">
        <v>43</v>
      </c>
      <c r="L602" s="1">
        <v>166783</v>
      </c>
      <c r="M602" s="1" t="s">
        <v>44</v>
      </c>
      <c r="N602" t="s">
        <v>2746</v>
      </c>
      <c r="O602" t="s">
        <v>68</v>
      </c>
      <c r="P602" t="s">
        <v>69</v>
      </c>
      <c r="Q602" t="s">
        <v>70</v>
      </c>
      <c r="R602">
        <v>92138.53</v>
      </c>
      <c r="S602" s="25" t="e">
        <f>IF(Table1[[#This Row],[Sales]]=MIN(Table1[Sales]), Table1[[#This Row],[Sales]], NA())</f>
        <v>#N/A</v>
      </c>
      <c r="T602" s="25">
        <f>IF(AND(Table1[[#This Row],[Sales]]&lt;&gt;MIN(Table1[Sales]),Table1[[#This Row],[Sales]]&lt;&gt;MAX(Table1[Sales])), Table1[[#This Row],[Sales]], NA())</f>
        <v>92138.53</v>
      </c>
      <c r="U602" s="25" t="e">
        <f>IF(Table1[[#This Row],[Sales]]=MAX(Table1[Sales]), Table1[[#This Row],[Sales]], NA())</f>
        <v>#N/A</v>
      </c>
      <c r="V602">
        <v>7</v>
      </c>
      <c r="W602">
        <v>0.1</v>
      </c>
      <c r="X602">
        <v>5067.62</v>
      </c>
      <c r="Y602" s="3">
        <f>YEAR(Table1[[#This Row],[Order Date]])</f>
        <v>2025</v>
      </c>
      <c r="Z602" s="3" t="str">
        <f>TEXT(Table1[[#This Row],[Order Date]],"MMM")</f>
        <v>Sep</v>
      </c>
      <c r="AA602" s="3">
        <f>DAY(Table1[[#This Row],[Order Date]])</f>
        <v>19</v>
      </c>
    </row>
    <row r="603" spans="1:27" x14ac:dyDescent="0.35">
      <c r="A603" s="1">
        <v>602</v>
      </c>
      <c r="B603" s="1" t="s">
        <v>2747</v>
      </c>
      <c r="C603" s="1" t="s">
        <v>1798</v>
      </c>
      <c r="D603" s="1" t="s">
        <v>1695</v>
      </c>
      <c r="E603" t="s">
        <v>62</v>
      </c>
      <c r="F603" t="s">
        <v>2748</v>
      </c>
      <c r="G603" t="s">
        <v>188</v>
      </c>
      <c r="H603" t="s">
        <v>41</v>
      </c>
      <c r="I603" s="1" t="s">
        <v>28</v>
      </c>
      <c r="J603" t="s">
        <v>29</v>
      </c>
      <c r="K603" t="s">
        <v>29</v>
      </c>
      <c r="L603" s="1">
        <v>939449</v>
      </c>
      <c r="M603" s="1" t="s">
        <v>30</v>
      </c>
      <c r="N603" t="s">
        <v>2749</v>
      </c>
      <c r="O603" t="s">
        <v>46</v>
      </c>
      <c r="P603" t="s">
        <v>47</v>
      </c>
      <c r="Q603" t="s">
        <v>48</v>
      </c>
      <c r="R603">
        <v>49561.88</v>
      </c>
      <c r="S603" s="25" t="e">
        <f>IF(Table1[[#This Row],[Sales]]=MIN(Table1[Sales]), Table1[[#This Row],[Sales]], NA())</f>
        <v>#N/A</v>
      </c>
      <c r="T603" s="25">
        <f>IF(AND(Table1[[#This Row],[Sales]]&lt;&gt;MIN(Table1[Sales]),Table1[[#This Row],[Sales]]&lt;&gt;MAX(Table1[Sales])), Table1[[#This Row],[Sales]], NA())</f>
        <v>49561.88</v>
      </c>
      <c r="U603" s="25" t="e">
        <f>IF(Table1[[#This Row],[Sales]]=MAX(Table1[Sales]), Table1[[#This Row],[Sales]], NA())</f>
        <v>#N/A</v>
      </c>
      <c r="V603">
        <v>5</v>
      </c>
      <c r="W603">
        <v>0.3</v>
      </c>
      <c r="X603">
        <v>247.81</v>
      </c>
      <c r="Y603" s="3">
        <f>YEAR(Table1[[#This Row],[Order Date]])</f>
        <v>2025</v>
      </c>
      <c r="Z603" s="3" t="str">
        <f>TEXT(Table1[[#This Row],[Order Date]],"MMM")</f>
        <v>May</v>
      </c>
      <c r="AA603" s="3">
        <f>DAY(Table1[[#This Row],[Order Date]])</f>
        <v>28</v>
      </c>
    </row>
    <row r="604" spans="1:27" x14ac:dyDescent="0.35">
      <c r="A604" s="1">
        <v>603</v>
      </c>
      <c r="B604" s="1" t="s">
        <v>2750</v>
      </c>
      <c r="C604" s="1" t="s">
        <v>742</v>
      </c>
      <c r="D604" s="1" t="s">
        <v>2751</v>
      </c>
      <c r="E604" t="s">
        <v>24</v>
      </c>
      <c r="F604" t="s">
        <v>2752</v>
      </c>
      <c r="G604" t="s">
        <v>26</v>
      </c>
      <c r="H604" t="s">
        <v>41</v>
      </c>
      <c r="I604" s="1" t="s">
        <v>28</v>
      </c>
      <c r="J604" t="s">
        <v>64</v>
      </c>
      <c r="K604" t="s">
        <v>65</v>
      </c>
      <c r="L604" s="1">
        <v>301068</v>
      </c>
      <c r="M604" s="1" t="s">
        <v>66</v>
      </c>
      <c r="N604" t="s">
        <v>2753</v>
      </c>
      <c r="O604" t="s">
        <v>68</v>
      </c>
      <c r="P604" t="s">
        <v>69</v>
      </c>
      <c r="Q604" t="s">
        <v>70</v>
      </c>
      <c r="R604">
        <v>89794.61</v>
      </c>
      <c r="S604" s="25" t="e">
        <f>IF(Table1[[#This Row],[Sales]]=MIN(Table1[Sales]), Table1[[#This Row],[Sales]], NA())</f>
        <v>#N/A</v>
      </c>
      <c r="T604" s="25">
        <f>IF(AND(Table1[[#This Row],[Sales]]&lt;&gt;MIN(Table1[Sales]),Table1[[#This Row],[Sales]]&lt;&gt;MAX(Table1[Sales])), Table1[[#This Row],[Sales]], NA())</f>
        <v>89794.61</v>
      </c>
      <c r="U604" s="25" t="e">
        <f>IF(Table1[[#This Row],[Sales]]=MAX(Table1[Sales]), Table1[[#This Row],[Sales]], NA())</f>
        <v>#N/A</v>
      </c>
      <c r="V604">
        <v>8</v>
      </c>
      <c r="W604">
        <v>0.3</v>
      </c>
      <c r="X604">
        <v>448.97</v>
      </c>
      <c r="Y604" s="3">
        <f>YEAR(Table1[[#This Row],[Order Date]])</f>
        <v>2025</v>
      </c>
      <c r="Z604" s="3" t="str">
        <f>TEXT(Table1[[#This Row],[Order Date]],"MMM")</f>
        <v>Jan</v>
      </c>
      <c r="AA604" s="3">
        <f>DAY(Table1[[#This Row],[Order Date]])</f>
        <v>1</v>
      </c>
    </row>
    <row r="605" spans="1:27" x14ac:dyDescent="0.35">
      <c r="A605" s="1">
        <v>604</v>
      </c>
      <c r="B605" s="1" t="s">
        <v>2754</v>
      </c>
      <c r="C605" s="1" t="s">
        <v>1421</v>
      </c>
      <c r="D605" s="1" t="s">
        <v>1417</v>
      </c>
      <c r="E605" t="s">
        <v>62</v>
      </c>
      <c r="F605" t="s">
        <v>2755</v>
      </c>
      <c r="G605" t="s">
        <v>188</v>
      </c>
      <c r="H605" t="s">
        <v>94</v>
      </c>
      <c r="I605" s="1" t="s">
        <v>28</v>
      </c>
      <c r="J605" t="s">
        <v>128</v>
      </c>
      <c r="K605" t="s">
        <v>129</v>
      </c>
      <c r="L605" s="1">
        <v>353427</v>
      </c>
      <c r="M605" s="1" t="s">
        <v>66</v>
      </c>
      <c r="N605" t="s">
        <v>2756</v>
      </c>
      <c r="O605" t="s">
        <v>46</v>
      </c>
      <c r="P605" t="s">
        <v>47</v>
      </c>
      <c r="Q605" t="s">
        <v>48</v>
      </c>
      <c r="R605">
        <v>58652.85</v>
      </c>
      <c r="S605" s="25" t="e">
        <f>IF(Table1[[#This Row],[Sales]]=MIN(Table1[Sales]), Table1[[#This Row],[Sales]], NA())</f>
        <v>#N/A</v>
      </c>
      <c r="T605" s="25">
        <f>IF(AND(Table1[[#This Row],[Sales]]&lt;&gt;MIN(Table1[Sales]),Table1[[#This Row],[Sales]]&lt;&gt;MAX(Table1[Sales])), Table1[[#This Row],[Sales]], NA())</f>
        <v>58652.85</v>
      </c>
      <c r="U605" s="25" t="e">
        <f>IF(Table1[[#This Row],[Sales]]=MAX(Table1[Sales]), Table1[[#This Row],[Sales]], NA())</f>
        <v>#N/A</v>
      </c>
      <c r="V605">
        <v>9</v>
      </c>
      <c r="W605">
        <v>0</v>
      </c>
      <c r="X605">
        <v>4692.2299999999996</v>
      </c>
      <c r="Y605" s="3">
        <f>YEAR(Table1[[#This Row],[Order Date]])</f>
        <v>2021</v>
      </c>
      <c r="Z605" s="3" t="str">
        <f>TEXT(Table1[[#This Row],[Order Date]],"MMM")</f>
        <v>Jul</v>
      </c>
      <c r="AA605" s="3">
        <f>DAY(Table1[[#This Row],[Order Date]])</f>
        <v>13</v>
      </c>
    </row>
    <row r="606" spans="1:27" x14ac:dyDescent="0.35">
      <c r="A606" s="1">
        <v>605</v>
      </c>
      <c r="B606" s="1" t="s">
        <v>2757</v>
      </c>
      <c r="C606" s="1" t="s">
        <v>2758</v>
      </c>
      <c r="D606" s="1" t="s">
        <v>2759</v>
      </c>
      <c r="E606" t="s">
        <v>24</v>
      </c>
      <c r="F606" t="s">
        <v>2760</v>
      </c>
      <c r="G606" t="s">
        <v>122</v>
      </c>
      <c r="H606" t="s">
        <v>41</v>
      </c>
      <c r="I606" s="1" t="s">
        <v>28</v>
      </c>
      <c r="J606" t="s">
        <v>29</v>
      </c>
      <c r="K606" t="s">
        <v>29</v>
      </c>
      <c r="L606" s="1">
        <v>378973</v>
      </c>
      <c r="M606" s="1" t="s">
        <v>30</v>
      </c>
      <c r="N606" t="s">
        <v>2761</v>
      </c>
      <c r="O606" t="s">
        <v>32</v>
      </c>
      <c r="P606" t="s">
        <v>33</v>
      </c>
      <c r="Q606" t="s">
        <v>34</v>
      </c>
      <c r="R606">
        <v>37326.620000000003</v>
      </c>
      <c r="S606" s="25" t="e">
        <f>IF(Table1[[#This Row],[Sales]]=MIN(Table1[Sales]), Table1[[#This Row],[Sales]], NA())</f>
        <v>#N/A</v>
      </c>
      <c r="T606" s="25">
        <f>IF(AND(Table1[[#This Row],[Sales]]&lt;&gt;MIN(Table1[Sales]),Table1[[#This Row],[Sales]]&lt;&gt;MAX(Table1[Sales])), Table1[[#This Row],[Sales]], NA())</f>
        <v>37326.620000000003</v>
      </c>
      <c r="U606" s="25" t="e">
        <f>IF(Table1[[#This Row],[Sales]]=MAX(Table1[Sales]), Table1[[#This Row],[Sales]], NA())</f>
        <v>#N/A</v>
      </c>
      <c r="V606">
        <v>10</v>
      </c>
      <c r="W606">
        <v>0</v>
      </c>
      <c r="X606">
        <v>2986.13</v>
      </c>
      <c r="Y606" s="3">
        <f>YEAR(Table1[[#This Row],[Order Date]])</f>
        <v>2025</v>
      </c>
      <c r="Z606" s="3" t="str">
        <f>TEXT(Table1[[#This Row],[Order Date]],"MMM")</f>
        <v>Dec</v>
      </c>
      <c r="AA606" s="3">
        <f>DAY(Table1[[#This Row],[Order Date]])</f>
        <v>19</v>
      </c>
    </row>
    <row r="607" spans="1:27" x14ac:dyDescent="0.35">
      <c r="A607" s="1">
        <v>606</v>
      </c>
      <c r="B607" s="1" t="s">
        <v>2762</v>
      </c>
      <c r="C607" s="1" t="s">
        <v>779</v>
      </c>
      <c r="D607" s="1" t="s">
        <v>2545</v>
      </c>
      <c r="E607" t="s">
        <v>38</v>
      </c>
      <c r="F607" t="s">
        <v>2763</v>
      </c>
      <c r="G607" t="s">
        <v>40</v>
      </c>
      <c r="H607" t="s">
        <v>27</v>
      </c>
      <c r="I607" s="1" t="s">
        <v>28</v>
      </c>
      <c r="J607" t="s">
        <v>64</v>
      </c>
      <c r="K607" t="s">
        <v>65</v>
      </c>
      <c r="L607" s="1">
        <v>846319</v>
      </c>
      <c r="M607" s="1" t="s">
        <v>66</v>
      </c>
      <c r="N607" t="s">
        <v>2764</v>
      </c>
      <c r="O607" t="s">
        <v>46</v>
      </c>
      <c r="P607" t="s">
        <v>47</v>
      </c>
      <c r="Q607" t="s">
        <v>48</v>
      </c>
      <c r="R607">
        <v>98030.04</v>
      </c>
      <c r="S607" s="25" t="e">
        <f>IF(Table1[[#This Row],[Sales]]=MIN(Table1[Sales]), Table1[[#This Row],[Sales]], NA())</f>
        <v>#N/A</v>
      </c>
      <c r="T607" s="25">
        <f>IF(AND(Table1[[#This Row],[Sales]]&lt;&gt;MIN(Table1[Sales]),Table1[[#This Row],[Sales]]&lt;&gt;MAX(Table1[Sales])), Table1[[#This Row],[Sales]], NA())</f>
        <v>98030.04</v>
      </c>
      <c r="U607" s="25" t="e">
        <f>IF(Table1[[#This Row],[Sales]]=MAX(Table1[Sales]), Table1[[#This Row],[Sales]], NA())</f>
        <v>#N/A</v>
      </c>
      <c r="V607">
        <v>2</v>
      </c>
      <c r="W607">
        <v>0.1</v>
      </c>
      <c r="X607">
        <v>5391.65</v>
      </c>
      <c r="Y607" s="3">
        <f>YEAR(Table1[[#This Row],[Order Date]])</f>
        <v>2021</v>
      </c>
      <c r="Z607" s="3" t="str">
        <f>TEXT(Table1[[#This Row],[Order Date]],"MMM")</f>
        <v>Mar</v>
      </c>
      <c r="AA607" s="3">
        <f>DAY(Table1[[#This Row],[Order Date]])</f>
        <v>21</v>
      </c>
    </row>
    <row r="608" spans="1:27" x14ac:dyDescent="0.35">
      <c r="A608" s="1">
        <v>607</v>
      </c>
      <c r="B608" s="1" t="s">
        <v>2765</v>
      </c>
      <c r="C608" s="1" t="s">
        <v>2766</v>
      </c>
      <c r="D608" s="1" t="s">
        <v>1570</v>
      </c>
      <c r="E608" t="s">
        <v>62</v>
      </c>
      <c r="F608" t="s">
        <v>2767</v>
      </c>
      <c r="G608" t="s">
        <v>122</v>
      </c>
      <c r="H608" t="s">
        <v>41</v>
      </c>
      <c r="I608" s="1" t="s">
        <v>28</v>
      </c>
      <c r="J608" t="s">
        <v>128</v>
      </c>
      <c r="K608" t="s">
        <v>129</v>
      </c>
      <c r="L608" s="1">
        <v>976725</v>
      </c>
      <c r="M608" s="1" t="s">
        <v>66</v>
      </c>
      <c r="N608" t="s">
        <v>2768</v>
      </c>
      <c r="O608" t="s">
        <v>46</v>
      </c>
      <c r="P608" t="s">
        <v>47</v>
      </c>
      <c r="Q608" t="s">
        <v>48</v>
      </c>
      <c r="R608">
        <v>99638.09</v>
      </c>
      <c r="S608" s="25" t="e">
        <f>IF(Table1[[#This Row],[Sales]]=MIN(Table1[Sales]), Table1[[#This Row],[Sales]], NA())</f>
        <v>#N/A</v>
      </c>
      <c r="T608" s="25">
        <f>IF(AND(Table1[[#This Row],[Sales]]&lt;&gt;MIN(Table1[Sales]),Table1[[#This Row],[Sales]]&lt;&gt;MAX(Table1[Sales])), Table1[[#This Row],[Sales]], NA())</f>
        <v>99638.09</v>
      </c>
      <c r="U608" s="25" t="e">
        <f>IF(Table1[[#This Row],[Sales]]=MAX(Table1[Sales]), Table1[[#This Row],[Sales]], NA())</f>
        <v>#N/A</v>
      </c>
      <c r="V608">
        <v>6</v>
      </c>
      <c r="W608">
        <v>0</v>
      </c>
      <c r="X608">
        <v>7971.05</v>
      </c>
      <c r="Y608" s="3">
        <f>YEAR(Table1[[#This Row],[Order Date]])</f>
        <v>2021</v>
      </c>
      <c r="Z608" s="3" t="str">
        <f>TEXT(Table1[[#This Row],[Order Date]],"MMM")</f>
        <v>Jan</v>
      </c>
      <c r="AA608" s="3">
        <f>DAY(Table1[[#This Row],[Order Date]])</f>
        <v>20</v>
      </c>
    </row>
    <row r="609" spans="1:27" x14ac:dyDescent="0.35">
      <c r="A609" s="1">
        <v>608</v>
      </c>
      <c r="B609" s="1" t="s">
        <v>2769</v>
      </c>
      <c r="C609" s="1" t="s">
        <v>2265</v>
      </c>
      <c r="D609" s="1" t="s">
        <v>2648</v>
      </c>
      <c r="E609" t="s">
        <v>62</v>
      </c>
      <c r="F609" t="s">
        <v>2770</v>
      </c>
      <c r="G609" t="s">
        <v>40</v>
      </c>
      <c r="H609" t="s">
        <v>94</v>
      </c>
      <c r="I609" s="1" t="s">
        <v>28</v>
      </c>
      <c r="J609" t="s">
        <v>53</v>
      </c>
      <c r="K609" t="s">
        <v>54</v>
      </c>
      <c r="L609" s="1">
        <v>575763</v>
      </c>
      <c r="M609" s="1" t="s">
        <v>55</v>
      </c>
      <c r="N609" t="s">
        <v>2771</v>
      </c>
      <c r="O609" t="s">
        <v>68</v>
      </c>
      <c r="P609" t="s">
        <v>69</v>
      </c>
      <c r="Q609" t="s">
        <v>70</v>
      </c>
      <c r="R609">
        <v>80742.740000000005</v>
      </c>
      <c r="S609" s="25" t="e">
        <f>IF(Table1[[#This Row],[Sales]]=MIN(Table1[Sales]), Table1[[#This Row],[Sales]], NA())</f>
        <v>#N/A</v>
      </c>
      <c r="T609" s="25">
        <f>IF(AND(Table1[[#This Row],[Sales]]&lt;&gt;MIN(Table1[Sales]),Table1[[#This Row],[Sales]]&lt;&gt;MAX(Table1[Sales])), Table1[[#This Row],[Sales]], NA())</f>
        <v>80742.740000000005</v>
      </c>
      <c r="U609" s="25" t="e">
        <f>IF(Table1[[#This Row],[Sales]]=MAX(Table1[Sales]), Table1[[#This Row],[Sales]], NA())</f>
        <v>#N/A</v>
      </c>
      <c r="V609">
        <v>10</v>
      </c>
      <c r="W609">
        <v>0</v>
      </c>
      <c r="X609">
        <v>6459.42</v>
      </c>
      <c r="Y609" s="3">
        <f>YEAR(Table1[[#This Row],[Order Date]])</f>
        <v>2023</v>
      </c>
      <c r="Z609" s="3" t="str">
        <f>TEXT(Table1[[#This Row],[Order Date]],"MMM")</f>
        <v>Apr</v>
      </c>
      <c r="AA609" s="3">
        <f>DAY(Table1[[#This Row],[Order Date]])</f>
        <v>20</v>
      </c>
    </row>
    <row r="610" spans="1:27" x14ac:dyDescent="0.35">
      <c r="A610" s="1">
        <v>609</v>
      </c>
      <c r="B610" s="1" t="s">
        <v>2772</v>
      </c>
      <c r="C610" s="1" t="s">
        <v>181</v>
      </c>
      <c r="D610" s="1" t="s">
        <v>1037</v>
      </c>
      <c r="E610" t="s">
        <v>24</v>
      </c>
      <c r="F610" t="s">
        <v>2773</v>
      </c>
      <c r="G610" t="s">
        <v>26</v>
      </c>
      <c r="H610" t="s">
        <v>94</v>
      </c>
      <c r="I610" s="1" t="s">
        <v>28</v>
      </c>
      <c r="J610" t="s">
        <v>53</v>
      </c>
      <c r="K610" t="s">
        <v>54</v>
      </c>
      <c r="L610" s="1">
        <v>238797</v>
      </c>
      <c r="M610" s="1" t="s">
        <v>55</v>
      </c>
      <c r="N610" t="s">
        <v>2774</v>
      </c>
      <c r="O610" t="s">
        <v>68</v>
      </c>
      <c r="P610" t="s">
        <v>69</v>
      </c>
      <c r="Q610" t="s">
        <v>70</v>
      </c>
      <c r="R610">
        <v>1340.81</v>
      </c>
      <c r="S610" s="25" t="e">
        <f>IF(Table1[[#This Row],[Sales]]=MIN(Table1[Sales]), Table1[[#This Row],[Sales]], NA())</f>
        <v>#N/A</v>
      </c>
      <c r="T610" s="25">
        <f>IF(AND(Table1[[#This Row],[Sales]]&lt;&gt;MIN(Table1[Sales]),Table1[[#This Row],[Sales]]&lt;&gt;MAX(Table1[Sales])), Table1[[#This Row],[Sales]], NA())</f>
        <v>1340.81</v>
      </c>
      <c r="U610" s="25" t="e">
        <f>IF(Table1[[#This Row],[Sales]]=MAX(Table1[Sales]), Table1[[#This Row],[Sales]], NA())</f>
        <v>#N/A</v>
      </c>
      <c r="V610">
        <v>2</v>
      </c>
      <c r="W610">
        <v>0.2</v>
      </c>
      <c r="X610">
        <v>40.22</v>
      </c>
      <c r="Y610" s="3">
        <f>YEAR(Table1[[#This Row],[Order Date]])</f>
        <v>2022</v>
      </c>
      <c r="Z610" s="3" t="str">
        <f>TEXT(Table1[[#This Row],[Order Date]],"MMM")</f>
        <v>Apr</v>
      </c>
      <c r="AA610" s="3">
        <f>DAY(Table1[[#This Row],[Order Date]])</f>
        <v>1</v>
      </c>
    </row>
    <row r="611" spans="1:27" x14ac:dyDescent="0.35">
      <c r="A611" s="1">
        <v>610</v>
      </c>
      <c r="B611" s="1" t="s">
        <v>2775</v>
      </c>
      <c r="C611" s="1" t="s">
        <v>1151</v>
      </c>
      <c r="D611" s="1" t="s">
        <v>2776</v>
      </c>
      <c r="E611" t="s">
        <v>24</v>
      </c>
      <c r="F611" t="s">
        <v>2777</v>
      </c>
      <c r="G611" t="s">
        <v>40</v>
      </c>
      <c r="H611" t="s">
        <v>41</v>
      </c>
      <c r="I611" s="1" t="s">
        <v>28</v>
      </c>
      <c r="J611" t="s">
        <v>64</v>
      </c>
      <c r="K611" t="s">
        <v>65</v>
      </c>
      <c r="L611" s="1">
        <v>725504</v>
      </c>
      <c r="M611" s="1" t="s">
        <v>66</v>
      </c>
      <c r="N611" t="s">
        <v>2778</v>
      </c>
      <c r="O611" t="s">
        <v>46</v>
      </c>
      <c r="P611" t="s">
        <v>57</v>
      </c>
      <c r="Q611" t="s">
        <v>58</v>
      </c>
      <c r="R611">
        <v>10154.040000000001</v>
      </c>
      <c r="S611" s="25" t="e">
        <f>IF(Table1[[#This Row],[Sales]]=MIN(Table1[Sales]), Table1[[#This Row],[Sales]], NA())</f>
        <v>#N/A</v>
      </c>
      <c r="T611" s="25">
        <f>IF(AND(Table1[[#This Row],[Sales]]&lt;&gt;MIN(Table1[Sales]),Table1[[#This Row],[Sales]]&lt;&gt;MAX(Table1[Sales])), Table1[[#This Row],[Sales]], NA())</f>
        <v>10154.040000000001</v>
      </c>
      <c r="U611" s="25" t="e">
        <f>IF(Table1[[#This Row],[Sales]]=MAX(Table1[Sales]), Table1[[#This Row],[Sales]], NA())</f>
        <v>#N/A</v>
      </c>
      <c r="V611">
        <v>9</v>
      </c>
      <c r="W611">
        <v>0</v>
      </c>
      <c r="X611">
        <v>812.32</v>
      </c>
      <c r="Y611" s="3">
        <f>YEAR(Table1[[#This Row],[Order Date]])</f>
        <v>2021</v>
      </c>
      <c r="Z611" s="3" t="str">
        <f>TEXT(Table1[[#This Row],[Order Date]],"MMM")</f>
        <v>May</v>
      </c>
      <c r="AA611" s="3">
        <f>DAY(Table1[[#This Row],[Order Date]])</f>
        <v>2</v>
      </c>
    </row>
    <row r="612" spans="1:27" x14ac:dyDescent="0.35">
      <c r="A612" s="1">
        <v>611</v>
      </c>
      <c r="B612" s="1" t="s">
        <v>2779</v>
      </c>
      <c r="C612" s="1" t="s">
        <v>191</v>
      </c>
      <c r="D612" s="1" t="s">
        <v>175</v>
      </c>
      <c r="E612" t="s">
        <v>115</v>
      </c>
      <c r="F612" t="s">
        <v>2780</v>
      </c>
      <c r="G612" t="s">
        <v>26</v>
      </c>
      <c r="H612" t="s">
        <v>94</v>
      </c>
      <c r="I612" s="1" t="s">
        <v>28</v>
      </c>
      <c r="J612" t="s">
        <v>53</v>
      </c>
      <c r="K612" t="s">
        <v>54</v>
      </c>
      <c r="L612" s="1">
        <v>527452</v>
      </c>
      <c r="M612" s="1" t="s">
        <v>55</v>
      </c>
      <c r="N612" t="s">
        <v>2781</v>
      </c>
      <c r="O612" t="s">
        <v>46</v>
      </c>
      <c r="P612" t="s">
        <v>57</v>
      </c>
      <c r="Q612" t="s">
        <v>58</v>
      </c>
      <c r="R612">
        <v>77640.67</v>
      </c>
      <c r="S612" s="25" t="e">
        <f>IF(Table1[[#This Row],[Sales]]=MIN(Table1[Sales]), Table1[[#This Row],[Sales]], NA())</f>
        <v>#N/A</v>
      </c>
      <c r="T612" s="25">
        <f>IF(AND(Table1[[#This Row],[Sales]]&lt;&gt;MIN(Table1[Sales]),Table1[[#This Row],[Sales]]&lt;&gt;MAX(Table1[Sales])), Table1[[#This Row],[Sales]], NA())</f>
        <v>77640.67</v>
      </c>
      <c r="U612" s="25" t="e">
        <f>IF(Table1[[#This Row],[Sales]]=MAX(Table1[Sales]), Table1[[#This Row],[Sales]], NA())</f>
        <v>#N/A</v>
      </c>
      <c r="V612">
        <v>2</v>
      </c>
      <c r="W612">
        <v>0.2</v>
      </c>
      <c r="X612">
        <v>2329.2199999999998</v>
      </c>
      <c r="Y612" s="3">
        <f>YEAR(Table1[[#This Row],[Order Date]])</f>
        <v>2024</v>
      </c>
      <c r="Z612" s="3" t="str">
        <f>TEXT(Table1[[#This Row],[Order Date]],"MMM")</f>
        <v>Jun</v>
      </c>
      <c r="AA612" s="3">
        <f>DAY(Table1[[#This Row],[Order Date]])</f>
        <v>18</v>
      </c>
    </row>
    <row r="613" spans="1:27" x14ac:dyDescent="0.35">
      <c r="A613" s="1">
        <v>612</v>
      </c>
      <c r="B613" s="1" t="s">
        <v>2782</v>
      </c>
      <c r="C613" s="1" t="s">
        <v>2783</v>
      </c>
      <c r="D613" s="1" t="s">
        <v>1402</v>
      </c>
      <c r="E613" t="s">
        <v>115</v>
      </c>
      <c r="F613" t="s">
        <v>2784</v>
      </c>
      <c r="G613" t="s">
        <v>140</v>
      </c>
      <c r="H613" t="s">
        <v>27</v>
      </c>
      <c r="I613" s="1" t="s">
        <v>28</v>
      </c>
      <c r="J613" t="s">
        <v>42</v>
      </c>
      <c r="K613" t="s">
        <v>43</v>
      </c>
      <c r="L613" s="1">
        <v>484842</v>
      </c>
      <c r="M613" s="1" t="s">
        <v>44</v>
      </c>
      <c r="N613" t="s">
        <v>2785</v>
      </c>
      <c r="O613" t="s">
        <v>46</v>
      </c>
      <c r="P613" t="s">
        <v>47</v>
      </c>
      <c r="Q613" t="s">
        <v>48</v>
      </c>
      <c r="R613">
        <v>16869.78</v>
      </c>
      <c r="S613" s="25" t="e">
        <f>IF(Table1[[#This Row],[Sales]]=MIN(Table1[Sales]), Table1[[#This Row],[Sales]], NA())</f>
        <v>#N/A</v>
      </c>
      <c r="T613" s="25">
        <f>IF(AND(Table1[[#This Row],[Sales]]&lt;&gt;MIN(Table1[Sales]),Table1[[#This Row],[Sales]]&lt;&gt;MAX(Table1[Sales])), Table1[[#This Row],[Sales]], NA())</f>
        <v>16869.78</v>
      </c>
      <c r="U613" s="25" t="e">
        <f>IF(Table1[[#This Row],[Sales]]=MAX(Table1[Sales]), Table1[[#This Row],[Sales]], NA())</f>
        <v>#N/A</v>
      </c>
      <c r="V613">
        <v>6</v>
      </c>
      <c r="W613">
        <v>0.1</v>
      </c>
      <c r="X613">
        <v>927.84</v>
      </c>
      <c r="Y613" s="3">
        <f>YEAR(Table1[[#This Row],[Order Date]])</f>
        <v>2023</v>
      </c>
      <c r="Z613" s="3" t="str">
        <f>TEXT(Table1[[#This Row],[Order Date]],"MMM")</f>
        <v>Feb</v>
      </c>
      <c r="AA613" s="3">
        <f>DAY(Table1[[#This Row],[Order Date]])</f>
        <v>10</v>
      </c>
    </row>
    <row r="614" spans="1:27" x14ac:dyDescent="0.35">
      <c r="A614" s="1">
        <v>613</v>
      </c>
      <c r="B614" s="1" t="s">
        <v>2786</v>
      </c>
      <c r="C614" s="1" t="s">
        <v>355</v>
      </c>
      <c r="D614" s="1" t="s">
        <v>2787</v>
      </c>
      <c r="E614" t="s">
        <v>115</v>
      </c>
      <c r="F614" t="s">
        <v>2788</v>
      </c>
      <c r="G614" t="s">
        <v>75</v>
      </c>
      <c r="H614" t="s">
        <v>94</v>
      </c>
      <c r="I614" s="1" t="s">
        <v>28</v>
      </c>
      <c r="J614" t="s">
        <v>53</v>
      </c>
      <c r="K614" t="s">
        <v>54</v>
      </c>
      <c r="L614" s="1">
        <v>546573</v>
      </c>
      <c r="M614" s="1" t="s">
        <v>55</v>
      </c>
      <c r="N614" t="s">
        <v>2789</v>
      </c>
      <c r="O614" t="s">
        <v>68</v>
      </c>
      <c r="P614" t="s">
        <v>69</v>
      </c>
      <c r="Q614" t="s">
        <v>70</v>
      </c>
      <c r="R614">
        <v>95740.2</v>
      </c>
      <c r="S614" s="25" t="e">
        <f>IF(Table1[[#This Row],[Sales]]=MIN(Table1[Sales]), Table1[[#This Row],[Sales]], NA())</f>
        <v>#N/A</v>
      </c>
      <c r="T614" s="25">
        <f>IF(AND(Table1[[#This Row],[Sales]]&lt;&gt;MIN(Table1[Sales]),Table1[[#This Row],[Sales]]&lt;&gt;MAX(Table1[Sales])), Table1[[#This Row],[Sales]], NA())</f>
        <v>95740.2</v>
      </c>
      <c r="U614" s="25" t="e">
        <f>IF(Table1[[#This Row],[Sales]]=MAX(Table1[Sales]), Table1[[#This Row],[Sales]], NA())</f>
        <v>#N/A</v>
      </c>
      <c r="V614">
        <v>2</v>
      </c>
      <c r="W614">
        <v>0.2</v>
      </c>
      <c r="X614">
        <v>2872.21</v>
      </c>
      <c r="Y614" s="3">
        <f>YEAR(Table1[[#This Row],[Order Date]])</f>
        <v>2021</v>
      </c>
      <c r="Z614" s="3" t="str">
        <f>TEXT(Table1[[#This Row],[Order Date]],"MMM")</f>
        <v>May</v>
      </c>
      <c r="AA614" s="3">
        <f>DAY(Table1[[#This Row],[Order Date]])</f>
        <v>14</v>
      </c>
    </row>
    <row r="615" spans="1:27" x14ac:dyDescent="0.35">
      <c r="A615" s="1">
        <v>614</v>
      </c>
      <c r="B615" s="1" t="s">
        <v>2790</v>
      </c>
      <c r="C615" s="1" t="s">
        <v>2791</v>
      </c>
      <c r="D615" s="1" t="s">
        <v>2792</v>
      </c>
      <c r="E615" t="s">
        <v>115</v>
      </c>
      <c r="F615" t="s">
        <v>2793</v>
      </c>
      <c r="G615" t="s">
        <v>87</v>
      </c>
      <c r="H615" t="s">
        <v>94</v>
      </c>
      <c r="I615" s="1" t="s">
        <v>28</v>
      </c>
      <c r="J615" t="s">
        <v>42</v>
      </c>
      <c r="K615" t="s">
        <v>43</v>
      </c>
      <c r="L615" s="1">
        <v>262773</v>
      </c>
      <c r="M615" s="1" t="s">
        <v>44</v>
      </c>
      <c r="N615" t="s">
        <v>2794</v>
      </c>
      <c r="O615" t="s">
        <v>46</v>
      </c>
      <c r="P615" t="s">
        <v>47</v>
      </c>
      <c r="Q615" t="s">
        <v>48</v>
      </c>
      <c r="R615">
        <v>64063.42</v>
      </c>
      <c r="S615" s="25" t="e">
        <f>IF(Table1[[#This Row],[Sales]]=MIN(Table1[Sales]), Table1[[#This Row],[Sales]], NA())</f>
        <v>#N/A</v>
      </c>
      <c r="T615" s="25">
        <f>IF(AND(Table1[[#This Row],[Sales]]&lt;&gt;MIN(Table1[Sales]),Table1[[#This Row],[Sales]]&lt;&gt;MAX(Table1[Sales])), Table1[[#This Row],[Sales]], NA())</f>
        <v>64063.42</v>
      </c>
      <c r="U615" s="25" t="e">
        <f>IF(Table1[[#This Row],[Sales]]=MAX(Table1[Sales]), Table1[[#This Row],[Sales]], NA())</f>
        <v>#N/A</v>
      </c>
      <c r="V615">
        <v>8</v>
      </c>
      <c r="W615">
        <v>0</v>
      </c>
      <c r="X615">
        <v>5125.07</v>
      </c>
      <c r="Y615" s="3">
        <f>YEAR(Table1[[#This Row],[Order Date]])</f>
        <v>2025</v>
      </c>
      <c r="Z615" s="3" t="str">
        <f>TEXT(Table1[[#This Row],[Order Date]],"MMM")</f>
        <v>Jan</v>
      </c>
      <c r="AA615" s="3">
        <f>DAY(Table1[[#This Row],[Order Date]])</f>
        <v>9</v>
      </c>
    </row>
    <row r="616" spans="1:27" x14ac:dyDescent="0.35">
      <c r="A616" s="1">
        <v>615</v>
      </c>
      <c r="B616" s="1" t="s">
        <v>2795</v>
      </c>
      <c r="C616" s="1" t="s">
        <v>2361</v>
      </c>
      <c r="D616" s="1" t="s">
        <v>2796</v>
      </c>
      <c r="E616" t="s">
        <v>115</v>
      </c>
      <c r="F616" t="s">
        <v>2797</v>
      </c>
      <c r="G616" t="s">
        <v>75</v>
      </c>
      <c r="H616" t="s">
        <v>27</v>
      </c>
      <c r="I616" s="1" t="s">
        <v>28</v>
      </c>
      <c r="J616" t="s">
        <v>29</v>
      </c>
      <c r="K616" t="s">
        <v>29</v>
      </c>
      <c r="L616" s="1">
        <v>576661</v>
      </c>
      <c r="M616" s="1" t="s">
        <v>30</v>
      </c>
      <c r="N616" t="s">
        <v>2798</v>
      </c>
      <c r="O616" t="s">
        <v>68</v>
      </c>
      <c r="P616" t="s">
        <v>69</v>
      </c>
      <c r="Q616" t="s">
        <v>70</v>
      </c>
      <c r="R616">
        <v>75831.600000000006</v>
      </c>
      <c r="S616" s="25" t="e">
        <f>IF(Table1[[#This Row],[Sales]]=MIN(Table1[Sales]), Table1[[#This Row],[Sales]], NA())</f>
        <v>#N/A</v>
      </c>
      <c r="T616" s="25">
        <f>IF(AND(Table1[[#This Row],[Sales]]&lt;&gt;MIN(Table1[Sales]),Table1[[#This Row],[Sales]]&lt;&gt;MAX(Table1[Sales])), Table1[[#This Row],[Sales]], NA())</f>
        <v>75831.600000000006</v>
      </c>
      <c r="U616" s="25" t="e">
        <f>IF(Table1[[#This Row],[Sales]]=MAX(Table1[Sales]), Table1[[#This Row],[Sales]], NA())</f>
        <v>#N/A</v>
      </c>
      <c r="V616">
        <v>2</v>
      </c>
      <c r="W616">
        <v>0.2</v>
      </c>
      <c r="X616">
        <v>2274.9499999999998</v>
      </c>
      <c r="Y616" s="3">
        <f>YEAR(Table1[[#This Row],[Order Date]])</f>
        <v>2025</v>
      </c>
      <c r="Z616" s="3" t="str">
        <f>TEXT(Table1[[#This Row],[Order Date]],"MMM")</f>
        <v>Feb</v>
      </c>
      <c r="AA616" s="3">
        <f>DAY(Table1[[#This Row],[Order Date]])</f>
        <v>24</v>
      </c>
    </row>
    <row r="617" spans="1:27" x14ac:dyDescent="0.35">
      <c r="A617" s="1">
        <v>616</v>
      </c>
      <c r="B617" s="1" t="s">
        <v>2799</v>
      </c>
      <c r="C617" s="1" t="s">
        <v>2800</v>
      </c>
      <c r="D617" s="1" t="s">
        <v>2801</v>
      </c>
      <c r="E617" t="s">
        <v>115</v>
      </c>
      <c r="F617" t="s">
        <v>2802</v>
      </c>
      <c r="G617" t="s">
        <v>87</v>
      </c>
      <c r="H617" t="s">
        <v>41</v>
      </c>
      <c r="I617" s="1" t="s">
        <v>28</v>
      </c>
      <c r="J617" t="s">
        <v>53</v>
      </c>
      <c r="K617" t="s">
        <v>54</v>
      </c>
      <c r="L617" s="1">
        <v>161295</v>
      </c>
      <c r="M617" s="1" t="s">
        <v>55</v>
      </c>
      <c r="N617" t="s">
        <v>2803</v>
      </c>
      <c r="O617" t="s">
        <v>46</v>
      </c>
      <c r="P617" t="s">
        <v>47</v>
      </c>
      <c r="Q617" t="s">
        <v>48</v>
      </c>
      <c r="R617">
        <v>84793.919999999998</v>
      </c>
      <c r="S617" s="25" t="e">
        <f>IF(Table1[[#This Row],[Sales]]=MIN(Table1[Sales]), Table1[[#This Row],[Sales]], NA())</f>
        <v>#N/A</v>
      </c>
      <c r="T617" s="25">
        <f>IF(AND(Table1[[#This Row],[Sales]]&lt;&gt;MIN(Table1[Sales]),Table1[[#This Row],[Sales]]&lt;&gt;MAX(Table1[Sales])), Table1[[#This Row],[Sales]], NA())</f>
        <v>84793.919999999998</v>
      </c>
      <c r="U617" s="25" t="e">
        <f>IF(Table1[[#This Row],[Sales]]=MAX(Table1[Sales]), Table1[[#This Row],[Sales]], NA())</f>
        <v>#N/A</v>
      </c>
      <c r="V617">
        <v>5</v>
      </c>
      <c r="W617">
        <v>0</v>
      </c>
      <c r="X617">
        <v>6783.51</v>
      </c>
      <c r="Y617" s="3">
        <f>YEAR(Table1[[#This Row],[Order Date]])</f>
        <v>2023</v>
      </c>
      <c r="Z617" s="3" t="str">
        <f>TEXT(Table1[[#This Row],[Order Date]],"MMM")</f>
        <v>Dec</v>
      </c>
      <c r="AA617" s="3">
        <f>DAY(Table1[[#This Row],[Order Date]])</f>
        <v>17</v>
      </c>
    </row>
    <row r="618" spans="1:27" x14ac:dyDescent="0.35">
      <c r="A618" s="1">
        <v>617</v>
      </c>
      <c r="B618" s="1" t="s">
        <v>2804</v>
      </c>
      <c r="C618" s="1" t="s">
        <v>1781</v>
      </c>
      <c r="D618" s="1" t="s">
        <v>2805</v>
      </c>
      <c r="E618" t="s">
        <v>115</v>
      </c>
      <c r="F618" t="s">
        <v>2806</v>
      </c>
      <c r="G618" t="s">
        <v>140</v>
      </c>
      <c r="H618" t="s">
        <v>27</v>
      </c>
      <c r="I618" s="1" t="s">
        <v>28</v>
      </c>
      <c r="J618" t="s">
        <v>42</v>
      </c>
      <c r="K618" t="s">
        <v>43</v>
      </c>
      <c r="L618" s="1">
        <v>582903</v>
      </c>
      <c r="M618" s="1" t="s">
        <v>44</v>
      </c>
      <c r="N618" t="s">
        <v>2807</v>
      </c>
      <c r="O618" t="s">
        <v>46</v>
      </c>
      <c r="P618" t="s">
        <v>57</v>
      </c>
      <c r="Q618" t="s">
        <v>58</v>
      </c>
      <c r="R618">
        <v>18619.41</v>
      </c>
      <c r="S618" s="25" t="e">
        <f>IF(Table1[[#This Row],[Sales]]=MIN(Table1[Sales]), Table1[[#This Row],[Sales]], NA())</f>
        <v>#N/A</v>
      </c>
      <c r="T618" s="25">
        <f>IF(AND(Table1[[#This Row],[Sales]]&lt;&gt;MIN(Table1[Sales]),Table1[[#This Row],[Sales]]&lt;&gt;MAX(Table1[Sales])), Table1[[#This Row],[Sales]], NA())</f>
        <v>18619.41</v>
      </c>
      <c r="U618" s="25" t="e">
        <f>IF(Table1[[#This Row],[Sales]]=MAX(Table1[Sales]), Table1[[#This Row],[Sales]], NA())</f>
        <v>#N/A</v>
      </c>
      <c r="V618">
        <v>4</v>
      </c>
      <c r="W618">
        <v>0.3</v>
      </c>
      <c r="X618">
        <v>93.1</v>
      </c>
      <c r="Y618" s="3">
        <f>YEAR(Table1[[#This Row],[Order Date]])</f>
        <v>2021</v>
      </c>
      <c r="Z618" s="3" t="str">
        <f>TEXT(Table1[[#This Row],[Order Date]],"MMM")</f>
        <v>Jan</v>
      </c>
      <c r="AA618" s="3">
        <f>DAY(Table1[[#This Row],[Order Date]])</f>
        <v>28</v>
      </c>
    </row>
    <row r="619" spans="1:27" x14ac:dyDescent="0.35">
      <c r="A619" s="1">
        <v>618</v>
      </c>
      <c r="B619" s="1" t="s">
        <v>2808</v>
      </c>
      <c r="C619" s="1" t="s">
        <v>2809</v>
      </c>
      <c r="D619" s="1" t="s">
        <v>1708</v>
      </c>
      <c r="E619" t="s">
        <v>115</v>
      </c>
      <c r="F619" t="s">
        <v>2810</v>
      </c>
      <c r="G619" t="s">
        <v>75</v>
      </c>
      <c r="H619" t="s">
        <v>41</v>
      </c>
      <c r="I619" s="1" t="s">
        <v>28</v>
      </c>
      <c r="J619" t="s">
        <v>53</v>
      </c>
      <c r="K619" t="s">
        <v>54</v>
      </c>
      <c r="L619" s="1">
        <v>753614</v>
      </c>
      <c r="M619" s="1" t="s">
        <v>55</v>
      </c>
      <c r="N619" t="s">
        <v>2811</v>
      </c>
      <c r="O619" t="s">
        <v>68</v>
      </c>
      <c r="P619" t="s">
        <v>69</v>
      </c>
      <c r="Q619" t="s">
        <v>70</v>
      </c>
      <c r="R619">
        <v>24795.05</v>
      </c>
      <c r="S619" s="25" t="e">
        <f>IF(Table1[[#This Row],[Sales]]=MIN(Table1[Sales]), Table1[[#This Row],[Sales]], NA())</f>
        <v>#N/A</v>
      </c>
      <c r="T619" s="25">
        <f>IF(AND(Table1[[#This Row],[Sales]]&lt;&gt;MIN(Table1[Sales]),Table1[[#This Row],[Sales]]&lt;&gt;MAX(Table1[Sales])), Table1[[#This Row],[Sales]], NA())</f>
        <v>24795.05</v>
      </c>
      <c r="U619" s="25" t="e">
        <f>IF(Table1[[#This Row],[Sales]]=MAX(Table1[Sales]), Table1[[#This Row],[Sales]], NA())</f>
        <v>#N/A</v>
      </c>
      <c r="V619">
        <v>1</v>
      </c>
      <c r="W619">
        <v>0.3</v>
      </c>
      <c r="X619">
        <v>123.98</v>
      </c>
      <c r="Y619" s="3">
        <f>YEAR(Table1[[#This Row],[Order Date]])</f>
        <v>2023</v>
      </c>
      <c r="Z619" s="3" t="str">
        <f>TEXT(Table1[[#This Row],[Order Date]],"MMM")</f>
        <v>Oct</v>
      </c>
      <c r="AA619" s="3">
        <f>DAY(Table1[[#This Row],[Order Date]])</f>
        <v>24</v>
      </c>
    </row>
    <row r="620" spans="1:27" x14ac:dyDescent="0.35">
      <c r="A620" s="1">
        <v>619</v>
      </c>
      <c r="B620" s="1" t="s">
        <v>2812</v>
      </c>
      <c r="C620" s="1" t="s">
        <v>2813</v>
      </c>
      <c r="D620" s="1" t="s">
        <v>2814</v>
      </c>
      <c r="E620" t="s">
        <v>115</v>
      </c>
      <c r="F620" t="s">
        <v>2815</v>
      </c>
      <c r="G620" t="s">
        <v>122</v>
      </c>
      <c r="H620" t="s">
        <v>41</v>
      </c>
      <c r="I620" s="1" t="s">
        <v>28</v>
      </c>
      <c r="J620" t="s">
        <v>53</v>
      </c>
      <c r="K620" t="s">
        <v>54</v>
      </c>
      <c r="L620" s="1">
        <v>972462</v>
      </c>
      <c r="M620" s="1" t="s">
        <v>55</v>
      </c>
      <c r="N620" t="s">
        <v>2816</v>
      </c>
      <c r="O620" t="s">
        <v>46</v>
      </c>
      <c r="P620" t="s">
        <v>57</v>
      </c>
      <c r="Q620" t="s">
        <v>58</v>
      </c>
      <c r="R620">
        <v>96332.5</v>
      </c>
      <c r="S620" s="25" t="e">
        <f>IF(Table1[[#This Row],[Sales]]=MIN(Table1[Sales]), Table1[[#This Row],[Sales]], NA())</f>
        <v>#N/A</v>
      </c>
      <c r="T620" s="25">
        <f>IF(AND(Table1[[#This Row],[Sales]]&lt;&gt;MIN(Table1[Sales]),Table1[[#This Row],[Sales]]&lt;&gt;MAX(Table1[Sales])), Table1[[#This Row],[Sales]], NA())</f>
        <v>96332.5</v>
      </c>
      <c r="U620" s="25" t="e">
        <f>IF(Table1[[#This Row],[Sales]]=MAX(Table1[Sales]), Table1[[#This Row],[Sales]], NA())</f>
        <v>#N/A</v>
      </c>
      <c r="V620">
        <v>7</v>
      </c>
      <c r="W620">
        <v>0.3</v>
      </c>
      <c r="X620">
        <v>481.66</v>
      </c>
      <c r="Y620" s="3">
        <f>YEAR(Table1[[#This Row],[Order Date]])</f>
        <v>2025</v>
      </c>
      <c r="Z620" s="3" t="str">
        <f>TEXT(Table1[[#This Row],[Order Date]],"MMM")</f>
        <v>Sep</v>
      </c>
      <c r="AA620" s="3">
        <f>DAY(Table1[[#This Row],[Order Date]])</f>
        <v>2</v>
      </c>
    </row>
    <row r="621" spans="1:27" x14ac:dyDescent="0.35">
      <c r="A621" s="1">
        <v>620</v>
      </c>
      <c r="B621" s="1" t="s">
        <v>2817</v>
      </c>
      <c r="C621" s="1" t="s">
        <v>629</v>
      </c>
      <c r="D621" s="1" t="s">
        <v>368</v>
      </c>
      <c r="E621" t="s">
        <v>115</v>
      </c>
      <c r="F621" t="s">
        <v>2818</v>
      </c>
      <c r="G621" t="s">
        <v>110</v>
      </c>
      <c r="H621" t="s">
        <v>27</v>
      </c>
      <c r="I621" s="1" t="s">
        <v>28</v>
      </c>
      <c r="J621" t="s">
        <v>42</v>
      </c>
      <c r="K621" t="s">
        <v>43</v>
      </c>
      <c r="L621" s="1">
        <v>221873</v>
      </c>
      <c r="M621" s="1" t="s">
        <v>44</v>
      </c>
      <c r="N621" t="s">
        <v>2819</v>
      </c>
      <c r="O621" t="s">
        <v>68</v>
      </c>
      <c r="P621" t="s">
        <v>69</v>
      </c>
      <c r="Q621" t="s">
        <v>70</v>
      </c>
      <c r="R621">
        <v>84284.75</v>
      </c>
      <c r="S621" s="25" t="e">
        <f>IF(Table1[[#This Row],[Sales]]=MIN(Table1[Sales]), Table1[[#This Row],[Sales]], NA())</f>
        <v>#N/A</v>
      </c>
      <c r="T621" s="25">
        <f>IF(AND(Table1[[#This Row],[Sales]]&lt;&gt;MIN(Table1[Sales]),Table1[[#This Row],[Sales]]&lt;&gt;MAX(Table1[Sales])), Table1[[#This Row],[Sales]], NA())</f>
        <v>84284.75</v>
      </c>
      <c r="U621" s="25" t="e">
        <f>IF(Table1[[#This Row],[Sales]]=MAX(Table1[Sales]), Table1[[#This Row],[Sales]], NA())</f>
        <v>#N/A</v>
      </c>
      <c r="V621">
        <v>2</v>
      </c>
      <c r="W621">
        <v>0.1</v>
      </c>
      <c r="X621">
        <v>4635.66</v>
      </c>
      <c r="Y621" s="3">
        <f>YEAR(Table1[[#This Row],[Order Date]])</f>
        <v>2024</v>
      </c>
      <c r="Z621" s="3" t="str">
        <f>TEXT(Table1[[#This Row],[Order Date]],"MMM")</f>
        <v>Jan</v>
      </c>
      <c r="AA621" s="3">
        <f>DAY(Table1[[#This Row],[Order Date]])</f>
        <v>7</v>
      </c>
    </row>
    <row r="622" spans="1:27" x14ac:dyDescent="0.35">
      <c r="A622" s="1">
        <v>621</v>
      </c>
      <c r="B622" s="1" t="s">
        <v>2820</v>
      </c>
      <c r="C622" s="1" t="s">
        <v>1200</v>
      </c>
      <c r="D622" s="1" t="s">
        <v>2821</v>
      </c>
      <c r="E622" t="s">
        <v>24</v>
      </c>
      <c r="F622" t="s">
        <v>2822</v>
      </c>
      <c r="G622" t="s">
        <v>140</v>
      </c>
      <c r="H622" t="s">
        <v>27</v>
      </c>
      <c r="I622" s="1" t="s">
        <v>28</v>
      </c>
      <c r="J622" t="s">
        <v>29</v>
      </c>
      <c r="K622" t="s">
        <v>29</v>
      </c>
      <c r="L622" s="1">
        <v>644092</v>
      </c>
      <c r="M622" s="1" t="s">
        <v>30</v>
      </c>
      <c r="N622" t="s">
        <v>2823</v>
      </c>
      <c r="O622" t="s">
        <v>46</v>
      </c>
      <c r="P622" t="s">
        <v>57</v>
      </c>
      <c r="Q622" t="s">
        <v>58</v>
      </c>
      <c r="R622">
        <v>20726.830000000002</v>
      </c>
      <c r="S622" s="25" t="e">
        <f>IF(Table1[[#This Row],[Sales]]=MIN(Table1[Sales]), Table1[[#This Row],[Sales]], NA())</f>
        <v>#N/A</v>
      </c>
      <c r="T622" s="25">
        <f>IF(AND(Table1[[#This Row],[Sales]]&lt;&gt;MIN(Table1[Sales]),Table1[[#This Row],[Sales]]&lt;&gt;MAX(Table1[Sales])), Table1[[#This Row],[Sales]], NA())</f>
        <v>20726.830000000002</v>
      </c>
      <c r="U622" s="25" t="e">
        <f>IF(Table1[[#This Row],[Sales]]=MAX(Table1[Sales]), Table1[[#This Row],[Sales]], NA())</f>
        <v>#N/A</v>
      </c>
      <c r="V622">
        <v>2</v>
      </c>
      <c r="W622">
        <v>0.3</v>
      </c>
      <c r="X622">
        <v>103.63</v>
      </c>
      <c r="Y622" s="3">
        <f>YEAR(Table1[[#This Row],[Order Date]])</f>
        <v>2023</v>
      </c>
      <c r="Z622" s="3" t="str">
        <f>TEXT(Table1[[#This Row],[Order Date]],"MMM")</f>
        <v>Jun</v>
      </c>
      <c r="AA622" s="3">
        <f>DAY(Table1[[#This Row],[Order Date]])</f>
        <v>10</v>
      </c>
    </row>
    <row r="623" spans="1:27" x14ac:dyDescent="0.35">
      <c r="A623" s="1">
        <v>622</v>
      </c>
      <c r="B623" s="1" t="s">
        <v>2824</v>
      </c>
      <c r="C623" s="1" t="s">
        <v>2796</v>
      </c>
      <c r="D623" s="1" t="s">
        <v>2825</v>
      </c>
      <c r="E623" t="s">
        <v>38</v>
      </c>
      <c r="F623" t="s">
        <v>2826</v>
      </c>
      <c r="G623" t="s">
        <v>110</v>
      </c>
      <c r="H623" t="s">
        <v>41</v>
      </c>
      <c r="I623" s="1" t="s">
        <v>28</v>
      </c>
      <c r="J623" t="s">
        <v>53</v>
      </c>
      <c r="K623" t="s">
        <v>54</v>
      </c>
      <c r="L623" s="1">
        <v>709542</v>
      </c>
      <c r="M623" s="1" t="s">
        <v>55</v>
      </c>
      <c r="N623" t="s">
        <v>2827</v>
      </c>
      <c r="O623" t="s">
        <v>46</v>
      </c>
      <c r="P623" t="s">
        <v>57</v>
      </c>
      <c r="Q623" t="s">
        <v>58</v>
      </c>
      <c r="R623">
        <v>79763.73</v>
      </c>
      <c r="S623" s="25" t="e">
        <f>IF(Table1[[#This Row],[Sales]]=MIN(Table1[Sales]), Table1[[#This Row],[Sales]], NA())</f>
        <v>#N/A</v>
      </c>
      <c r="T623" s="25">
        <f>IF(AND(Table1[[#This Row],[Sales]]&lt;&gt;MIN(Table1[Sales]),Table1[[#This Row],[Sales]]&lt;&gt;MAX(Table1[Sales])), Table1[[#This Row],[Sales]], NA())</f>
        <v>79763.73</v>
      </c>
      <c r="U623" s="25" t="e">
        <f>IF(Table1[[#This Row],[Sales]]=MAX(Table1[Sales]), Table1[[#This Row],[Sales]], NA())</f>
        <v>#N/A</v>
      </c>
      <c r="V623">
        <v>7</v>
      </c>
      <c r="W623">
        <v>0</v>
      </c>
      <c r="X623">
        <v>6381.1</v>
      </c>
      <c r="Y623" s="3">
        <f>YEAR(Table1[[#This Row],[Order Date]])</f>
        <v>2025</v>
      </c>
      <c r="Z623" s="3" t="str">
        <f>TEXT(Table1[[#This Row],[Order Date]],"MMM")</f>
        <v>Mar</v>
      </c>
      <c r="AA623" s="3">
        <f>DAY(Table1[[#This Row],[Order Date]])</f>
        <v>1</v>
      </c>
    </row>
    <row r="624" spans="1:27" x14ac:dyDescent="0.35">
      <c r="A624" s="1">
        <v>623</v>
      </c>
      <c r="B624" s="1" t="s">
        <v>2828</v>
      </c>
      <c r="C624" s="1" t="s">
        <v>1939</v>
      </c>
      <c r="D624" s="1" t="s">
        <v>1210</v>
      </c>
      <c r="E624" t="s">
        <v>38</v>
      </c>
      <c r="F624" t="s">
        <v>2829</v>
      </c>
      <c r="G624" t="s">
        <v>122</v>
      </c>
      <c r="H624" t="s">
        <v>41</v>
      </c>
      <c r="I624" s="1" t="s">
        <v>28</v>
      </c>
      <c r="J624" t="s">
        <v>53</v>
      </c>
      <c r="K624" t="s">
        <v>54</v>
      </c>
      <c r="L624" s="1">
        <v>630903</v>
      </c>
      <c r="M624" s="1" t="s">
        <v>55</v>
      </c>
      <c r="N624" t="s">
        <v>2830</v>
      </c>
      <c r="O624" t="s">
        <v>32</v>
      </c>
      <c r="P624" t="s">
        <v>33</v>
      </c>
      <c r="Q624" t="s">
        <v>34</v>
      </c>
      <c r="R624">
        <v>80531.13</v>
      </c>
      <c r="S624" s="25" t="e">
        <f>IF(Table1[[#This Row],[Sales]]=MIN(Table1[Sales]), Table1[[#This Row],[Sales]], NA())</f>
        <v>#N/A</v>
      </c>
      <c r="T624" s="25">
        <f>IF(AND(Table1[[#This Row],[Sales]]&lt;&gt;MIN(Table1[Sales]),Table1[[#This Row],[Sales]]&lt;&gt;MAX(Table1[Sales])), Table1[[#This Row],[Sales]], NA())</f>
        <v>80531.13</v>
      </c>
      <c r="U624" s="25" t="e">
        <f>IF(Table1[[#This Row],[Sales]]=MAX(Table1[Sales]), Table1[[#This Row],[Sales]], NA())</f>
        <v>#N/A</v>
      </c>
      <c r="V624">
        <v>6</v>
      </c>
      <c r="W624">
        <v>0.2</v>
      </c>
      <c r="X624">
        <v>2415.9299999999998</v>
      </c>
      <c r="Y624" s="3">
        <f>YEAR(Table1[[#This Row],[Order Date]])</f>
        <v>2021</v>
      </c>
      <c r="Z624" s="3" t="str">
        <f>TEXT(Table1[[#This Row],[Order Date]],"MMM")</f>
        <v>Jan</v>
      </c>
      <c r="AA624" s="3">
        <f>DAY(Table1[[#This Row],[Order Date]])</f>
        <v>11</v>
      </c>
    </row>
    <row r="625" spans="1:27" x14ac:dyDescent="0.35">
      <c r="A625" s="1">
        <v>624</v>
      </c>
      <c r="B625" s="1" t="s">
        <v>2831</v>
      </c>
      <c r="C625" s="1" t="s">
        <v>2832</v>
      </c>
      <c r="D625" s="1" t="s">
        <v>2833</v>
      </c>
      <c r="E625" t="s">
        <v>115</v>
      </c>
      <c r="F625" t="s">
        <v>2834</v>
      </c>
      <c r="G625" t="s">
        <v>40</v>
      </c>
      <c r="H625" t="s">
        <v>27</v>
      </c>
      <c r="I625" s="1" t="s">
        <v>28</v>
      </c>
      <c r="J625" t="s">
        <v>53</v>
      </c>
      <c r="K625" t="s">
        <v>54</v>
      </c>
      <c r="L625" s="1">
        <v>135206</v>
      </c>
      <c r="M625" s="1" t="s">
        <v>55</v>
      </c>
      <c r="N625" t="s">
        <v>2835</v>
      </c>
      <c r="O625" t="s">
        <v>32</v>
      </c>
      <c r="P625" t="s">
        <v>33</v>
      </c>
      <c r="Q625" t="s">
        <v>34</v>
      </c>
      <c r="R625">
        <v>47445.14</v>
      </c>
      <c r="S625" s="25" t="e">
        <f>IF(Table1[[#This Row],[Sales]]=MIN(Table1[Sales]), Table1[[#This Row],[Sales]], NA())</f>
        <v>#N/A</v>
      </c>
      <c r="T625" s="25">
        <f>IF(AND(Table1[[#This Row],[Sales]]&lt;&gt;MIN(Table1[Sales]),Table1[[#This Row],[Sales]]&lt;&gt;MAX(Table1[Sales])), Table1[[#This Row],[Sales]], NA())</f>
        <v>47445.14</v>
      </c>
      <c r="U625" s="25" t="e">
        <f>IF(Table1[[#This Row],[Sales]]=MAX(Table1[Sales]), Table1[[#This Row],[Sales]], NA())</f>
        <v>#N/A</v>
      </c>
      <c r="V625">
        <v>6</v>
      </c>
      <c r="W625">
        <v>0.1</v>
      </c>
      <c r="X625">
        <v>2609.48</v>
      </c>
      <c r="Y625" s="3">
        <f>YEAR(Table1[[#This Row],[Order Date]])</f>
        <v>2021</v>
      </c>
      <c r="Z625" s="3" t="str">
        <f>TEXT(Table1[[#This Row],[Order Date]],"MMM")</f>
        <v>Feb</v>
      </c>
      <c r="AA625" s="3">
        <f>DAY(Table1[[#This Row],[Order Date]])</f>
        <v>3</v>
      </c>
    </row>
    <row r="626" spans="1:27" x14ac:dyDescent="0.35">
      <c r="A626" s="1">
        <v>625</v>
      </c>
      <c r="B626" s="1" t="s">
        <v>2836</v>
      </c>
      <c r="C626" s="1" t="s">
        <v>2837</v>
      </c>
      <c r="D626" s="1" t="s">
        <v>2838</v>
      </c>
      <c r="E626" t="s">
        <v>115</v>
      </c>
      <c r="F626" t="s">
        <v>2839</v>
      </c>
      <c r="G626" t="s">
        <v>87</v>
      </c>
      <c r="H626" t="s">
        <v>41</v>
      </c>
      <c r="I626" s="1" t="s">
        <v>28</v>
      </c>
      <c r="J626" t="s">
        <v>29</v>
      </c>
      <c r="K626" t="s">
        <v>29</v>
      </c>
      <c r="L626" s="1">
        <v>473080</v>
      </c>
      <c r="M626" s="1" t="s">
        <v>30</v>
      </c>
      <c r="N626" t="s">
        <v>2840</v>
      </c>
      <c r="O626" t="s">
        <v>32</v>
      </c>
      <c r="P626" t="s">
        <v>33</v>
      </c>
      <c r="Q626" t="s">
        <v>34</v>
      </c>
      <c r="R626">
        <v>81742.16</v>
      </c>
      <c r="S626" s="25" t="e">
        <f>IF(Table1[[#This Row],[Sales]]=MIN(Table1[Sales]), Table1[[#This Row],[Sales]], NA())</f>
        <v>#N/A</v>
      </c>
      <c r="T626" s="25">
        <f>IF(AND(Table1[[#This Row],[Sales]]&lt;&gt;MIN(Table1[Sales]),Table1[[#This Row],[Sales]]&lt;&gt;MAX(Table1[Sales])), Table1[[#This Row],[Sales]], NA())</f>
        <v>81742.16</v>
      </c>
      <c r="U626" s="25" t="e">
        <f>IF(Table1[[#This Row],[Sales]]=MAX(Table1[Sales]), Table1[[#This Row],[Sales]], NA())</f>
        <v>#N/A</v>
      </c>
      <c r="V626">
        <v>3</v>
      </c>
      <c r="W626">
        <v>0.2</v>
      </c>
      <c r="X626">
        <v>2452.2600000000002</v>
      </c>
      <c r="Y626" s="3">
        <f>YEAR(Table1[[#This Row],[Order Date]])</f>
        <v>2023</v>
      </c>
      <c r="Z626" s="3" t="str">
        <f>TEXT(Table1[[#This Row],[Order Date]],"MMM")</f>
        <v>Oct</v>
      </c>
      <c r="AA626" s="3">
        <f>DAY(Table1[[#This Row],[Order Date]])</f>
        <v>5</v>
      </c>
    </row>
    <row r="627" spans="1:27" x14ac:dyDescent="0.35">
      <c r="A627" s="1">
        <v>626</v>
      </c>
      <c r="B627" s="1" t="s">
        <v>2841</v>
      </c>
      <c r="C627" s="1" t="s">
        <v>2842</v>
      </c>
      <c r="D627" s="1" t="s">
        <v>2145</v>
      </c>
      <c r="E627" t="s">
        <v>62</v>
      </c>
      <c r="F627" t="s">
        <v>2843</v>
      </c>
      <c r="G627" t="s">
        <v>87</v>
      </c>
      <c r="H627" t="s">
        <v>94</v>
      </c>
      <c r="I627" s="1" t="s">
        <v>28</v>
      </c>
      <c r="J627" t="s">
        <v>128</v>
      </c>
      <c r="K627" t="s">
        <v>129</v>
      </c>
      <c r="L627" s="1">
        <v>589942</v>
      </c>
      <c r="M627" s="1" t="s">
        <v>66</v>
      </c>
      <c r="N627" t="s">
        <v>2844</v>
      </c>
      <c r="O627" t="s">
        <v>68</v>
      </c>
      <c r="P627" t="s">
        <v>69</v>
      </c>
      <c r="Q627" t="s">
        <v>70</v>
      </c>
      <c r="R627">
        <v>28237.5</v>
      </c>
      <c r="S627" s="25" t="e">
        <f>IF(Table1[[#This Row],[Sales]]=MIN(Table1[Sales]), Table1[[#This Row],[Sales]], NA())</f>
        <v>#N/A</v>
      </c>
      <c r="T627" s="25">
        <f>IF(AND(Table1[[#This Row],[Sales]]&lt;&gt;MIN(Table1[Sales]),Table1[[#This Row],[Sales]]&lt;&gt;MAX(Table1[Sales])), Table1[[#This Row],[Sales]], NA())</f>
        <v>28237.5</v>
      </c>
      <c r="U627" s="25" t="e">
        <f>IF(Table1[[#This Row],[Sales]]=MAX(Table1[Sales]), Table1[[#This Row],[Sales]], NA())</f>
        <v>#N/A</v>
      </c>
      <c r="V627">
        <v>5</v>
      </c>
      <c r="W627">
        <v>0.2</v>
      </c>
      <c r="X627">
        <v>847.12</v>
      </c>
      <c r="Y627" s="3">
        <f>YEAR(Table1[[#This Row],[Order Date]])</f>
        <v>2023</v>
      </c>
      <c r="Z627" s="3" t="str">
        <f>TEXT(Table1[[#This Row],[Order Date]],"MMM")</f>
        <v>Apr</v>
      </c>
      <c r="AA627" s="3">
        <f>DAY(Table1[[#This Row],[Order Date]])</f>
        <v>2</v>
      </c>
    </row>
    <row r="628" spans="1:27" x14ac:dyDescent="0.35">
      <c r="A628" s="1">
        <v>627</v>
      </c>
      <c r="B628" s="1" t="s">
        <v>2845</v>
      </c>
      <c r="C628" s="1" t="s">
        <v>2846</v>
      </c>
      <c r="D628" s="1" t="s">
        <v>261</v>
      </c>
      <c r="E628" t="s">
        <v>38</v>
      </c>
      <c r="F628" t="s">
        <v>2847</v>
      </c>
      <c r="G628" t="s">
        <v>93</v>
      </c>
      <c r="H628" t="s">
        <v>94</v>
      </c>
      <c r="I628" s="1" t="s">
        <v>28</v>
      </c>
      <c r="J628" t="s">
        <v>128</v>
      </c>
      <c r="K628" t="s">
        <v>129</v>
      </c>
      <c r="L628" s="1">
        <v>339399</v>
      </c>
      <c r="M628" s="1" t="s">
        <v>66</v>
      </c>
      <c r="N628" t="s">
        <v>2848</v>
      </c>
      <c r="O628" t="s">
        <v>46</v>
      </c>
      <c r="P628" t="s">
        <v>47</v>
      </c>
      <c r="Q628" t="s">
        <v>48</v>
      </c>
      <c r="R628">
        <v>72196.100000000006</v>
      </c>
      <c r="S628" s="25" t="e">
        <f>IF(Table1[[#This Row],[Sales]]=MIN(Table1[Sales]), Table1[[#This Row],[Sales]], NA())</f>
        <v>#N/A</v>
      </c>
      <c r="T628" s="25">
        <f>IF(AND(Table1[[#This Row],[Sales]]&lt;&gt;MIN(Table1[Sales]),Table1[[#This Row],[Sales]]&lt;&gt;MAX(Table1[Sales])), Table1[[#This Row],[Sales]], NA())</f>
        <v>72196.100000000006</v>
      </c>
      <c r="U628" s="25" t="e">
        <f>IF(Table1[[#This Row],[Sales]]=MAX(Table1[Sales]), Table1[[#This Row],[Sales]], NA())</f>
        <v>#N/A</v>
      </c>
      <c r="V628">
        <v>6</v>
      </c>
      <c r="W628">
        <v>0.2</v>
      </c>
      <c r="X628">
        <v>2165.88</v>
      </c>
      <c r="Y628" s="3">
        <f>YEAR(Table1[[#This Row],[Order Date]])</f>
        <v>2022</v>
      </c>
      <c r="Z628" s="3" t="str">
        <f>TEXT(Table1[[#This Row],[Order Date]],"MMM")</f>
        <v>Aug</v>
      </c>
      <c r="AA628" s="3">
        <f>DAY(Table1[[#This Row],[Order Date]])</f>
        <v>17</v>
      </c>
    </row>
    <row r="629" spans="1:27" x14ac:dyDescent="0.35">
      <c r="A629" s="1">
        <v>628</v>
      </c>
      <c r="B629" s="1" t="s">
        <v>2849</v>
      </c>
      <c r="C629" s="1" t="s">
        <v>2614</v>
      </c>
      <c r="D629" s="1" t="s">
        <v>2850</v>
      </c>
      <c r="E629" t="s">
        <v>24</v>
      </c>
      <c r="F629" t="s">
        <v>2851</v>
      </c>
      <c r="G629" t="s">
        <v>40</v>
      </c>
      <c r="H629" t="s">
        <v>27</v>
      </c>
      <c r="I629" s="1" t="s">
        <v>28</v>
      </c>
      <c r="J629" t="s">
        <v>53</v>
      </c>
      <c r="K629" t="s">
        <v>54</v>
      </c>
      <c r="L629" s="1">
        <v>772159</v>
      </c>
      <c r="M629" s="1" t="s">
        <v>55</v>
      </c>
      <c r="N629" t="s">
        <v>2852</v>
      </c>
      <c r="O629" t="s">
        <v>32</v>
      </c>
      <c r="P629" t="s">
        <v>33</v>
      </c>
      <c r="Q629" t="s">
        <v>34</v>
      </c>
      <c r="R629">
        <v>2196.04</v>
      </c>
      <c r="S629" s="25" t="e">
        <f>IF(Table1[[#This Row],[Sales]]=MIN(Table1[Sales]), Table1[[#This Row],[Sales]], NA())</f>
        <v>#N/A</v>
      </c>
      <c r="T629" s="25">
        <f>IF(AND(Table1[[#This Row],[Sales]]&lt;&gt;MIN(Table1[Sales]),Table1[[#This Row],[Sales]]&lt;&gt;MAX(Table1[Sales])), Table1[[#This Row],[Sales]], NA())</f>
        <v>2196.04</v>
      </c>
      <c r="U629" s="25" t="e">
        <f>IF(Table1[[#This Row],[Sales]]=MAX(Table1[Sales]), Table1[[#This Row],[Sales]], NA())</f>
        <v>#N/A</v>
      </c>
      <c r="V629">
        <v>2</v>
      </c>
      <c r="W629">
        <v>0.3</v>
      </c>
      <c r="X629">
        <v>10.98</v>
      </c>
      <c r="Y629" s="3">
        <f>YEAR(Table1[[#This Row],[Order Date]])</f>
        <v>2022</v>
      </c>
      <c r="Z629" s="3" t="str">
        <f>TEXT(Table1[[#This Row],[Order Date]],"MMM")</f>
        <v>Apr</v>
      </c>
      <c r="AA629" s="3">
        <f>DAY(Table1[[#This Row],[Order Date]])</f>
        <v>15</v>
      </c>
    </row>
    <row r="630" spans="1:27" x14ac:dyDescent="0.35">
      <c r="A630" s="1">
        <v>629</v>
      </c>
      <c r="B630" s="1" t="s">
        <v>2853</v>
      </c>
      <c r="C630" s="1" t="s">
        <v>2485</v>
      </c>
      <c r="D630" s="1" t="s">
        <v>1570</v>
      </c>
      <c r="E630" t="s">
        <v>62</v>
      </c>
      <c r="F630" t="s">
        <v>2854</v>
      </c>
      <c r="G630" t="s">
        <v>110</v>
      </c>
      <c r="H630" t="s">
        <v>27</v>
      </c>
      <c r="I630" s="1" t="s">
        <v>28</v>
      </c>
      <c r="J630" t="s">
        <v>42</v>
      </c>
      <c r="K630" t="s">
        <v>43</v>
      </c>
      <c r="L630" s="1">
        <v>616831</v>
      </c>
      <c r="M630" s="1" t="s">
        <v>44</v>
      </c>
      <c r="N630" t="s">
        <v>2855</v>
      </c>
      <c r="O630" t="s">
        <v>46</v>
      </c>
      <c r="P630" t="s">
        <v>57</v>
      </c>
      <c r="Q630" t="s">
        <v>58</v>
      </c>
      <c r="R630">
        <v>6863.07</v>
      </c>
      <c r="S630" s="25" t="e">
        <f>IF(Table1[[#This Row],[Sales]]=MIN(Table1[Sales]), Table1[[#This Row],[Sales]], NA())</f>
        <v>#N/A</v>
      </c>
      <c r="T630" s="25">
        <f>IF(AND(Table1[[#This Row],[Sales]]&lt;&gt;MIN(Table1[Sales]),Table1[[#This Row],[Sales]]&lt;&gt;MAX(Table1[Sales])), Table1[[#This Row],[Sales]], NA())</f>
        <v>6863.07</v>
      </c>
      <c r="U630" s="25" t="e">
        <f>IF(Table1[[#This Row],[Sales]]=MAX(Table1[Sales]), Table1[[#This Row],[Sales]], NA())</f>
        <v>#N/A</v>
      </c>
      <c r="V630">
        <v>3</v>
      </c>
      <c r="W630">
        <v>0.2</v>
      </c>
      <c r="X630">
        <v>205.89</v>
      </c>
      <c r="Y630" s="3">
        <f>YEAR(Table1[[#This Row],[Order Date]])</f>
        <v>2021</v>
      </c>
      <c r="Z630" s="3" t="str">
        <f>TEXT(Table1[[#This Row],[Order Date]],"MMM")</f>
        <v>Jan</v>
      </c>
      <c r="AA630" s="3">
        <f>DAY(Table1[[#This Row],[Order Date]])</f>
        <v>16</v>
      </c>
    </row>
    <row r="631" spans="1:27" x14ac:dyDescent="0.35">
      <c r="A631" s="1">
        <v>630</v>
      </c>
      <c r="B631" s="1" t="s">
        <v>2856</v>
      </c>
      <c r="C631" s="1" t="s">
        <v>2857</v>
      </c>
      <c r="D631" s="1" t="s">
        <v>968</v>
      </c>
      <c r="E631" t="s">
        <v>115</v>
      </c>
      <c r="F631" t="s">
        <v>2858</v>
      </c>
      <c r="G631" t="s">
        <v>40</v>
      </c>
      <c r="H631" t="s">
        <v>27</v>
      </c>
      <c r="I631" s="1" t="s">
        <v>28</v>
      </c>
      <c r="J631" t="s">
        <v>128</v>
      </c>
      <c r="K631" t="s">
        <v>129</v>
      </c>
      <c r="L631" s="1">
        <v>759466</v>
      </c>
      <c r="M631" s="1" t="s">
        <v>66</v>
      </c>
      <c r="N631" t="s">
        <v>2859</v>
      </c>
      <c r="O631" t="s">
        <v>68</v>
      </c>
      <c r="P631" t="s">
        <v>69</v>
      </c>
      <c r="Q631" t="s">
        <v>70</v>
      </c>
      <c r="R631">
        <v>72526.210000000006</v>
      </c>
      <c r="S631" s="25" t="e">
        <f>IF(Table1[[#This Row],[Sales]]=MIN(Table1[Sales]), Table1[[#This Row],[Sales]], NA())</f>
        <v>#N/A</v>
      </c>
      <c r="T631" s="25">
        <f>IF(AND(Table1[[#This Row],[Sales]]&lt;&gt;MIN(Table1[Sales]),Table1[[#This Row],[Sales]]&lt;&gt;MAX(Table1[Sales])), Table1[[#This Row],[Sales]], NA())</f>
        <v>72526.210000000006</v>
      </c>
      <c r="U631" s="25" t="e">
        <f>IF(Table1[[#This Row],[Sales]]=MAX(Table1[Sales]), Table1[[#This Row],[Sales]], NA())</f>
        <v>#N/A</v>
      </c>
      <c r="V631">
        <v>3</v>
      </c>
      <c r="W631">
        <v>0.2</v>
      </c>
      <c r="X631">
        <v>2175.79</v>
      </c>
      <c r="Y631" s="3">
        <f>YEAR(Table1[[#This Row],[Order Date]])</f>
        <v>2024</v>
      </c>
      <c r="Z631" s="3" t="str">
        <f>TEXT(Table1[[#This Row],[Order Date]],"MMM")</f>
        <v>Nov</v>
      </c>
      <c r="AA631" s="3">
        <f>DAY(Table1[[#This Row],[Order Date]])</f>
        <v>8</v>
      </c>
    </row>
    <row r="632" spans="1:27" x14ac:dyDescent="0.35">
      <c r="A632" s="1">
        <v>631</v>
      </c>
      <c r="B632" s="1" t="s">
        <v>2860</v>
      </c>
      <c r="C632" s="1" t="s">
        <v>2861</v>
      </c>
      <c r="D632" s="1" t="s">
        <v>2862</v>
      </c>
      <c r="E632" t="s">
        <v>62</v>
      </c>
      <c r="F632" t="s">
        <v>2863</v>
      </c>
      <c r="G632" t="s">
        <v>40</v>
      </c>
      <c r="H632" t="s">
        <v>27</v>
      </c>
      <c r="I632" s="1" t="s">
        <v>28</v>
      </c>
      <c r="J632" t="s">
        <v>53</v>
      </c>
      <c r="K632" t="s">
        <v>54</v>
      </c>
      <c r="L632" s="1">
        <v>937702</v>
      </c>
      <c r="M632" s="1" t="s">
        <v>55</v>
      </c>
      <c r="N632" t="s">
        <v>2864</v>
      </c>
      <c r="O632" t="s">
        <v>46</v>
      </c>
      <c r="P632" t="s">
        <v>47</v>
      </c>
      <c r="Q632" t="s">
        <v>48</v>
      </c>
      <c r="R632">
        <v>51169.78</v>
      </c>
      <c r="S632" s="25" t="e">
        <f>IF(Table1[[#This Row],[Sales]]=MIN(Table1[Sales]), Table1[[#This Row],[Sales]], NA())</f>
        <v>#N/A</v>
      </c>
      <c r="T632" s="25">
        <f>IF(AND(Table1[[#This Row],[Sales]]&lt;&gt;MIN(Table1[Sales]),Table1[[#This Row],[Sales]]&lt;&gt;MAX(Table1[Sales])), Table1[[#This Row],[Sales]], NA())</f>
        <v>51169.78</v>
      </c>
      <c r="U632" s="25" t="e">
        <f>IF(Table1[[#This Row],[Sales]]=MAX(Table1[Sales]), Table1[[#This Row],[Sales]], NA())</f>
        <v>#N/A</v>
      </c>
      <c r="V632">
        <v>7</v>
      </c>
      <c r="W632">
        <v>0.1</v>
      </c>
      <c r="X632">
        <v>2814.34</v>
      </c>
      <c r="Y632" s="3">
        <f>YEAR(Table1[[#This Row],[Order Date]])</f>
        <v>2024</v>
      </c>
      <c r="Z632" s="3" t="str">
        <f>TEXT(Table1[[#This Row],[Order Date]],"MMM")</f>
        <v>May</v>
      </c>
      <c r="AA632" s="3">
        <f>DAY(Table1[[#This Row],[Order Date]])</f>
        <v>10</v>
      </c>
    </row>
    <row r="633" spans="1:27" x14ac:dyDescent="0.35">
      <c r="A633" s="1">
        <v>632</v>
      </c>
      <c r="B633" s="1" t="s">
        <v>2865</v>
      </c>
      <c r="C633" s="1" t="s">
        <v>2403</v>
      </c>
      <c r="D633" s="1" t="s">
        <v>2866</v>
      </c>
      <c r="E633" t="s">
        <v>38</v>
      </c>
      <c r="F633" t="s">
        <v>2867</v>
      </c>
      <c r="G633" t="s">
        <v>122</v>
      </c>
      <c r="H633" t="s">
        <v>41</v>
      </c>
      <c r="I633" s="1" t="s">
        <v>28</v>
      </c>
      <c r="J633" t="s">
        <v>64</v>
      </c>
      <c r="K633" t="s">
        <v>65</v>
      </c>
      <c r="L633" s="1">
        <v>640547</v>
      </c>
      <c r="M633" s="1" t="s">
        <v>66</v>
      </c>
      <c r="N633" t="s">
        <v>2868</v>
      </c>
      <c r="O633" t="s">
        <v>46</v>
      </c>
      <c r="P633" t="s">
        <v>57</v>
      </c>
      <c r="Q633" t="s">
        <v>58</v>
      </c>
      <c r="R633">
        <v>14762.6</v>
      </c>
      <c r="S633" s="25" t="e">
        <f>IF(Table1[[#This Row],[Sales]]=MIN(Table1[Sales]), Table1[[#This Row],[Sales]], NA())</f>
        <v>#N/A</v>
      </c>
      <c r="T633" s="25">
        <f>IF(AND(Table1[[#This Row],[Sales]]&lt;&gt;MIN(Table1[Sales]),Table1[[#This Row],[Sales]]&lt;&gt;MAX(Table1[Sales])), Table1[[#This Row],[Sales]], NA())</f>
        <v>14762.6</v>
      </c>
      <c r="U633" s="25" t="e">
        <f>IF(Table1[[#This Row],[Sales]]=MAX(Table1[Sales]), Table1[[#This Row],[Sales]], NA())</f>
        <v>#N/A</v>
      </c>
      <c r="V633">
        <v>5</v>
      </c>
      <c r="W633">
        <v>0.2</v>
      </c>
      <c r="X633">
        <v>442.88</v>
      </c>
      <c r="Y633" s="3">
        <f>YEAR(Table1[[#This Row],[Order Date]])</f>
        <v>2023</v>
      </c>
      <c r="Z633" s="3" t="str">
        <f>TEXT(Table1[[#This Row],[Order Date]],"MMM")</f>
        <v>Mar</v>
      </c>
      <c r="AA633" s="3">
        <f>DAY(Table1[[#This Row],[Order Date]])</f>
        <v>22</v>
      </c>
    </row>
    <row r="634" spans="1:27" x14ac:dyDescent="0.35">
      <c r="A634" s="1">
        <v>633</v>
      </c>
      <c r="B634" s="1" t="s">
        <v>2869</v>
      </c>
      <c r="C634" s="1" t="s">
        <v>1140</v>
      </c>
      <c r="D634" s="1" t="s">
        <v>2870</v>
      </c>
      <c r="E634" t="s">
        <v>38</v>
      </c>
      <c r="F634" t="s">
        <v>2871</v>
      </c>
      <c r="G634" t="s">
        <v>87</v>
      </c>
      <c r="H634" t="s">
        <v>41</v>
      </c>
      <c r="I634" s="1" t="s">
        <v>28</v>
      </c>
      <c r="J634" t="s">
        <v>42</v>
      </c>
      <c r="K634" t="s">
        <v>43</v>
      </c>
      <c r="L634" s="1">
        <v>430893</v>
      </c>
      <c r="M634" s="1" t="s">
        <v>44</v>
      </c>
      <c r="N634" t="s">
        <v>2872</v>
      </c>
      <c r="O634" t="s">
        <v>46</v>
      </c>
      <c r="P634" t="s">
        <v>57</v>
      </c>
      <c r="Q634" t="s">
        <v>58</v>
      </c>
      <c r="R634">
        <v>93652.6</v>
      </c>
      <c r="S634" s="25" t="e">
        <f>IF(Table1[[#This Row],[Sales]]=MIN(Table1[Sales]), Table1[[#This Row],[Sales]], NA())</f>
        <v>#N/A</v>
      </c>
      <c r="T634" s="25">
        <f>IF(AND(Table1[[#This Row],[Sales]]&lt;&gt;MIN(Table1[Sales]),Table1[[#This Row],[Sales]]&lt;&gt;MAX(Table1[Sales])), Table1[[#This Row],[Sales]], NA())</f>
        <v>93652.6</v>
      </c>
      <c r="U634" s="25" t="e">
        <f>IF(Table1[[#This Row],[Sales]]=MAX(Table1[Sales]), Table1[[#This Row],[Sales]], NA())</f>
        <v>#N/A</v>
      </c>
      <c r="V634">
        <v>2</v>
      </c>
      <c r="W634">
        <v>0.3</v>
      </c>
      <c r="X634">
        <v>468.26</v>
      </c>
      <c r="Y634" s="3">
        <f>YEAR(Table1[[#This Row],[Order Date]])</f>
        <v>2022</v>
      </c>
      <c r="Z634" s="3" t="str">
        <f>TEXT(Table1[[#This Row],[Order Date]],"MMM")</f>
        <v>Nov</v>
      </c>
      <c r="AA634" s="3">
        <f>DAY(Table1[[#This Row],[Order Date]])</f>
        <v>8</v>
      </c>
    </row>
    <row r="635" spans="1:27" x14ac:dyDescent="0.35">
      <c r="A635" s="1">
        <v>634</v>
      </c>
      <c r="B635" s="1" t="s">
        <v>2873</v>
      </c>
      <c r="C635" s="1" t="s">
        <v>1023</v>
      </c>
      <c r="D635" s="1" t="s">
        <v>2874</v>
      </c>
      <c r="E635" t="s">
        <v>24</v>
      </c>
      <c r="F635" t="s">
        <v>2875</v>
      </c>
      <c r="G635" t="s">
        <v>75</v>
      </c>
      <c r="H635" t="s">
        <v>94</v>
      </c>
      <c r="I635" s="1" t="s">
        <v>28</v>
      </c>
      <c r="J635" t="s">
        <v>53</v>
      </c>
      <c r="K635" t="s">
        <v>54</v>
      </c>
      <c r="L635" s="1">
        <v>794035</v>
      </c>
      <c r="M635" s="1" t="s">
        <v>55</v>
      </c>
      <c r="N635" t="s">
        <v>2876</v>
      </c>
      <c r="O635" t="s">
        <v>46</v>
      </c>
      <c r="P635" t="s">
        <v>47</v>
      </c>
      <c r="Q635" t="s">
        <v>48</v>
      </c>
      <c r="R635">
        <v>41249.980000000003</v>
      </c>
      <c r="S635" s="25" t="e">
        <f>IF(Table1[[#This Row],[Sales]]=MIN(Table1[Sales]), Table1[[#This Row],[Sales]], NA())</f>
        <v>#N/A</v>
      </c>
      <c r="T635" s="25">
        <f>IF(AND(Table1[[#This Row],[Sales]]&lt;&gt;MIN(Table1[Sales]),Table1[[#This Row],[Sales]]&lt;&gt;MAX(Table1[Sales])), Table1[[#This Row],[Sales]], NA())</f>
        <v>41249.980000000003</v>
      </c>
      <c r="U635" s="25" t="e">
        <f>IF(Table1[[#This Row],[Sales]]=MAX(Table1[Sales]), Table1[[#This Row],[Sales]], NA())</f>
        <v>#N/A</v>
      </c>
      <c r="V635">
        <v>10</v>
      </c>
      <c r="W635">
        <v>0.2</v>
      </c>
      <c r="X635">
        <v>1237.5</v>
      </c>
      <c r="Y635" s="3">
        <f>YEAR(Table1[[#This Row],[Order Date]])</f>
        <v>2021</v>
      </c>
      <c r="Z635" s="3" t="str">
        <f>TEXT(Table1[[#This Row],[Order Date]],"MMM")</f>
        <v>Aug</v>
      </c>
      <c r="AA635" s="3">
        <f>DAY(Table1[[#This Row],[Order Date]])</f>
        <v>29</v>
      </c>
    </row>
    <row r="636" spans="1:27" x14ac:dyDescent="0.35">
      <c r="A636" s="1">
        <v>635</v>
      </c>
      <c r="B636" s="1" t="s">
        <v>2877</v>
      </c>
      <c r="C636" s="1" t="s">
        <v>2878</v>
      </c>
      <c r="D636" s="1" t="s">
        <v>262</v>
      </c>
      <c r="E636" t="s">
        <v>38</v>
      </c>
      <c r="F636" t="s">
        <v>2879</v>
      </c>
      <c r="G636" t="s">
        <v>40</v>
      </c>
      <c r="H636" t="s">
        <v>41</v>
      </c>
      <c r="I636" s="1" t="s">
        <v>28</v>
      </c>
      <c r="J636" t="s">
        <v>53</v>
      </c>
      <c r="K636" t="s">
        <v>54</v>
      </c>
      <c r="L636" s="1">
        <v>814741</v>
      </c>
      <c r="M636" s="1" t="s">
        <v>55</v>
      </c>
      <c r="N636" t="s">
        <v>2880</v>
      </c>
      <c r="O636" t="s">
        <v>46</v>
      </c>
      <c r="P636" t="s">
        <v>57</v>
      </c>
      <c r="Q636" t="s">
        <v>58</v>
      </c>
      <c r="R636">
        <v>76869.77</v>
      </c>
      <c r="S636" s="25" t="e">
        <f>IF(Table1[[#This Row],[Sales]]=MIN(Table1[Sales]), Table1[[#This Row],[Sales]], NA())</f>
        <v>#N/A</v>
      </c>
      <c r="T636" s="25">
        <f>IF(AND(Table1[[#This Row],[Sales]]&lt;&gt;MIN(Table1[Sales]),Table1[[#This Row],[Sales]]&lt;&gt;MAX(Table1[Sales])), Table1[[#This Row],[Sales]], NA())</f>
        <v>76869.77</v>
      </c>
      <c r="U636" s="25" t="e">
        <f>IF(Table1[[#This Row],[Sales]]=MAX(Table1[Sales]), Table1[[#This Row],[Sales]], NA())</f>
        <v>#N/A</v>
      </c>
      <c r="V636">
        <v>3</v>
      </c>
      <c r="W636">
        <v>0.2</v>
      </c>
      <c r="X636">
        <v>2306.09</v>
      </c>
      <c r="Y636" s="3">
        <f>YEAR(Table1[[#This Row],[Order Date]])</f>
        <v>2022</v>
      </c>
      <c r="Z636" s="3" t="str">
        <f>TEXT(Table1[[#This Row],[Order Date]],"MMM")</f>
        <v>Aug</v>
      </c>
      <c r="AA636" s="3">
        <f>DAY(Table1[[#This Row],[Order Date]])</f>
        <v>22</v>
      </c>
    </row>
    <row r="637" spans="1:27" x14ac:dyDescent="0.35">
      <c r="A637" s="1">
        <v>636</v>
      </c>
      <c r="B637" s="1" t="s">
        <v>2881</v>
      </c>
      <c r="C637" s="1" t="s">
        <v>2882</v>
      </c>
      <c r="D637" s="1" t="s">
        <v>359</v>
      </c>
      <c r="E637" t="s">
        <v>38</v>
      </c>
      <c r="F637" t="s">
        <v>2883</v>
      </c>
      <c r="G637" t="s">
        <v>87</v>
      </c>
      <c r="H637" t="s">
        <v>41</v>
      </c>
      <c r="I637" s="1" t="s">
        <v>28</v>
      </c>
      <c r="J637" t="s">
        <v>64</v>
      </c>
      <c r="K637" t="s">
        <v>65</v>
      </c>
      <c r="L637" s="1">
        <v>724099</v>
      </c>
      <c r="M637" s="1" t="s">
        <v>66</v>
      </c>
      <c r="N637" t="s">
        <v>2884</v>
      </c>
      <c r="O637" t="s">
        <v>46</v>
      </c>
      <c r="P637" t="s">
        <v>47</v>
      </c>
      <c r="Q637" t="s">
        <v>48</v>
      </c>
      <c r="R637">
        <v>66474.47</v>
      </c>
      <c r="S637" s="25" t="e">
        <f>IF(Table1[[#This Row],[Sales]]=MIN(Table1[Sales]), Table1[[#This Row],[Sales]], NA())</f>
        <v>#N/A</v>
      </c>
      <c r="T637" s="25">
        <f>IF(AND(Table1[[#This Row],[Sales]]&lt;&gt;MIN(Table1[Sales]),Table1[[#This Row],[Sales]]&lt;&gt;MAX(Table1[Sales])), Table1[[#This Row],[Sales]], NA())</f>
        <v>66474.47</v>
      </c>
      <c r="U637" s="25" t="e">
        <f>IF(Table1[[#This Row],[Sales]]=MAX(Table1[Sales]), Table1[[#This Row],[Sales]], NA())</f>
        <v>#N/A</v>
      </c>
      <c r="V637">
        <v>6</v>
      </c>
      <c r="W637">
        <v>0.1</v>
      </c>
      <c r="X637">
        <v>3656.1</v>
      </c>
      <c r="Y637" s="3">
        <f>YEAR(Table1[[#This Row],[Order Date]])</f>
        <v>2025</v>
      </c>
      <c r="Z637" s="3" t="str">
        <f>TEXT(Table1[[#This Row],[Order Date]],"MMM")</f>
        <v>Mar</v>
      </c>
      <c r="AA637" s="3">
        <f>DAY(Table1[[#This Row],[Order Date]])</f>
        <v>7</v>
      </c>
    </row>
    <row r="638" spans="1:27" x14ac:dyDescent="0.35">
      <c r="A638" s="1">
        <v>637</v>
      </c>
      <c r="B638" s="1" t="s">
        <v>2885</v>
      </c>
      <c r="C638" s="1" t="s">
        <v>1592</v>
      </c>
      <c r="D638" s="1" t="s">
        <v>2593</v>
      </c>
      <c r="E638" t="s">
        <v>38</v>
      </c>
      <c r="F638" t="s">
        <v>2886</v>
      </c>
      <c r="G638" t="s">
        <v>110</v>
      </c>
      <c r="H638" t="s">
        <v>94</v>
      </c>
      <c r="I638" s="1" t="s">
        <v>28</v>
      </c>
      <c r="J638" t="s">
        <v>29</v>
      </c>
      <c r="K638" t="s">
        <v>29</v>
      </c>
      <c r="L638" s="1">
        <v>131161</v>
      </c>
      <c r="M638" s="1" t="s">
        <v>30</v>
      </c>
      <c r="N638" t="s">
        <v>2887</v>
      </c>
      <c r="O638" t="s">
        <v>32</v>
      </c>
      <c r="P638" t="s">
        <v>33</v>
      </c>
      <c r="Q638" t="s">
        <v>34</v>
      </c>
      <c r="R638">
        <v>78672.09</v>
      </c>
      <c r="S638" s="25" t="e">
        <f>IF(Table1[[#This Row],[Sales]]=MIN(Table1[Sales]), Table1[[#This Row],[Sales]], NA())</f>
        <v>#N/A</v>
      </c>
      <c r="T638" s="25">
        <f>IF(AND(Table1[[#This Row],[Sales]]&lt;&gt;MIN(Table1[Sales]),Table1[[#This Row],[Sales]]&lt;&gt;MAX(Table1[Sales])), Table1[[#This Row],[Sales]], NA())</f>
        <v>78672.09</v>
      </c>
      <c r="U638" s="25" t="e">
        <f>IF(Table1[[#This Row],[Sales]]=MAX(Table1[Sales]), Table1[[#This Row],[Sales]], NA())</f>
        <v>#N/A</v>
      </c>
      <c r="V638">
        <v>4</v>
      </c>
      <c r="W638">
        <v>0</v>
      </c>
      <c r="X638">
        <v>6293.77</v>
      </c>
      <c r="Y638" s="3">
        <f>YEAR(Table1[[#This Row],[Order Date]])</f>
        <v>2021</v>
      </c>
      <c r="Z638" s="3" t="str">
        <f>TEXT(Table1[[#This Row],[Order Date]],"MMM")</f>
        <v>May</v>
      </c>
      <c r="AA638" s="3">
        <f>DAY(Table1[[#This Row],[Order Date]])</f>
        <v>29</v>
      </c>
    </row>
    <row r="639" spans="1:27" x14ac:dyDescent="0.35">
      <c r="A639" s="1">
        <v>638</v>
      </c>
      <c r="B639" s="1" t="s">
        <v>2888</v>
      </c>
      <c r="C639" s="1" t="s">
        <v>1759</v>
      </c>
      <c r="D639" s="1" t="s">
        <v>2233</v>
      </c>
      <c r="E639" t="s">
        <v>115</v>
      </c>
      <c r="F639" t="s">
        <v>2889</v>
      </c>
      <c r="G639" t="s">
        <v>122</v>
      </c>
      <c r="H639" t="s">
        <v>94</v>
      </c>
      <c r="I639" s="1" t="s">
        <v>28</v>
      </c>
      <c r="J639" t="s">
        <v>29</v>
      </c>
      <c r="K639" t="s">
        <v>29</v>
      </c>
      <c r="L639" s="1">
        <v>280281</v>
      </c>
      <c r="M639" s="1" t="s">
        <v>30</v>
      </c>
      <c r="N639" t="s">
        <v>2890</v>
      </c>
      <c r="O639" t="s">
        <v>32</v>
      </c>
      <c r="P639" t="s">
        <v>33</v>
      </c>
      <c r="Q639" t="s">
        <v>34</v>
      </c>
      <c r="R639">
        <v>54169.95</v>
      </c>
      <c r="S639" s="25" t="e">
        <f>IF(Table1[[#This Row],[Sales]]=MIN(Table1[Sales]), Table1[[#This Row],[Sales]], NA())</f>
        <v>#N/A</v>
      </c>
      <c r="T639" s="25">
        <f>IF(AND(Table1[[#This Row],[Sales]]&lt;&gt;MIN(Table1[Sales]),Table1[[#This Row],[Sales]]&lt;&gt;MAX(Table1[Sales])), Table1[[#This Row],[Sales]], NA())</f>
        <v>54169.95</v>
      </c>
      <c r="U639" s="25" t="e">
        <f>IF(Table1[[#This Row],[Sales]]=MAX(Table1[Sales]), Table1[[#This Row],[Sales]], NA())</f>
        <v>#N/A</v>
      </c>
      <c r="V639">
        <v>5</v>
      </c>
      <c r="W639">
        <v>0.2</v>
      </c>
      <c r="X639">
        <v>1625.1</v>
      </c>
      <c r="Y639" s="3">
        <f>YEAR(Table1[[#This Row],[Order Date]])</f>
        <v>2024</v>
      </c>
      <c r="Z639" s="3" t="str">
        <f>TEXT(Table1[[#This Row],[Order Date]],"MMM")</f>
        <v>Aug</v>
      </c>
      <c r="AA639" s="3">
        <f>DAY(Table1[[#This Row],[Order Date]])</f>
        <v>25</v>
      </c>
    </row>
    <row r="640" spans="1:27" x14ac:dyDescent="0.35">
      <c r="A640" s="1">
        <v>639</v>
      </c>
      <c r="B640" s="1" t="s">
        <v>2891</v>
      </c>
      <c r="C640" s="1" t="s">
        <v>1253</v>
      </c>
      <c r="D640" s="1" t="s">
        <v>678</v>
      </c>
      <c r="E640" t="s">
        <v>62</v>
      </c>
      <c r="F640" t="s">
        <v>2892</v>
      </c>
      <c r="G640" t="s">
        <v>140</v>
      </c>
      <c r="H640" t="s">
        <v>27</v>
      </c>
      <c r="I640" s="1" t="s">
        <v>28</v>
      </c>
      <c r="J640" t="s">
        <v>53</v>
      </c>
      <c r="K640" t="s">
        <v>54</v>
      </c>
      <c r="L640" s="1">
        <v>724394</v>
      </c>
      <c r="M640" s="1" t="s">
        <v>55</v>
      </c>
      <c r="N640" t="s">
        <v>2893</v>
      </c>
      <c r="O640" t="s">
        <v>32</v>
      </c>
      <c r="P640" t="s">
        <v>33</v>
      </c>
      <c r="Q640" t="s">
        <v>34</v>
      </c>
      <c r="R640">
        <v>52601.22</v>
      </c>
      <c r="S640" s="25" t="e">
        <f>IF(Table1[[#This Row],[Sales]]=MIN(Table1[Sales]), Table1[[#This Row],[Sales]], NA())</f>
        <v>#N/A</v>
      </c>
      <c r="T640" s="25">
        <f>IF(AND(Table1[[#This Row],[Sales]]&lt;&gt;MIN(Table1[Sales]),Table1[[#This Row],[Sales]]&lt;&gt;MAX(Table1[Sales])), Table1[[#This Row],[Sales]], NA())</f>
        <v>52601.22</v>
      </c>
      <c r="U640" s="25" t="e">
        <f>IF(Table1[[#This Row],[Sales]]=MAX(Table1[Sales]), Table1[[#This Row],[Sales]], NA())</f>
        <v>#N/A</v>
      </c>
      <c r="V640">
        <v>6</v>
      </c>
      <c r="W640">
        <v>0.2</v>
      </c>
      <c r="X640">
        <v>1578.04</v>
      </c>
      <c r="Y640" s="3">
        <f>YEAR(Table1[[#This Row],[Order Date]])</f>
        <v>2022</v>
      </c>
      <c r="Z640" s="3" t="str">
        <f>TEXT(Table1[[#This Row],[Order Date]],"MMM")</f>
        <v>Feb</v>
      </c>
      <c r="AA640" s="3">
        <f>DAY(Table1[[#This Row],[Order Date]])</f>
        <v>24</v>
      </c>
    </row>
    <row r="641" spans="1:27" x14ac:dyDescent="0.35">
      <c r="A641" s="1">
        <v>640</v>
      </c>
      <c r="B641" s="1" t="s">
        <v>2894</v>
      </c>
      <c r="C641" s="1" t="s">
        <v>2895</v>
      </c>
      <c r="D641" s="1" t="s">
        <v>491</v>
      </c>
      <c r="E641" t="s">
        <v>62</v>
      </c>
      <c r="F641" t="s">
        <v>2896</v>
      </c>
      <c r="G641" t="s">
        <v>110</v>
      </c>
      <c r="H641" t="s">
        <v>41</v>
      </c>
      <c r="I641" s="1" t="s">
        <v>28</v>
      </c>
      <c r="J641" t="s">
        <v>29</v>
      </c>
      <c r="K641" t="s">
        <v>29</v>
      </c>
      <c r="L641" s="1">
        <v>849055</v>
      </c>
      <c r="M641" s="1" t="s">
        <v>30</v>
      </c>
      <c r="N641" t="s">
        <v>2897</v>
      </c>
      <c r="O641" t="s">
        <v>46</v>
      </c>
      <c r="P641" t="s">
        <v>57</v>
      </c>
      <c r="Q641" t="s">
        <v>58</v>
      </c>
      <c r="R641">
        <v>3692.89</v>
      </c>
      <c r="S641" s="25" t="e">
        <f>IF(Table1[[#This Row],[Sales]]=MIN(Table1[Sales]), Table1[[#This Row],[Sales]], NA())</f>
        <v>#N/A</v>
      </c>
      <c r="T641" s="25">
        <f>IF(AND(Table1[[#This Row],[Sales]]&lt;&gt;MIN(Table1[Sales]),Table1[[#This Row],[Sales]]&lt;&gt;MAX(Table1[Sales])), Table1[[#This Row],[Sales]], NA())</f>
        <v>3692.89</v>
      </c>
      <c r="U641" s="25" t="e">
        <f>IF(Table1[[#This Row],[Sales]]=MAX(Table1[Sales]), Table1[[#This Row],[Sales]], NA())</f>
        <v>#N/A</v>
      </c>
      <c r="V641">
        <v>10</v>
      </c>
      <c r="W641">
        <v>0</v>
      </c>
      <c r="X641">
        <v>295.43</v>
      </c>
      <c r="Y641" s="3">
        <f>YEAR(Table1[[#This Row],[Order Date]])</f>
        <v>2025</v>
      </c>
      <c r="Z641" s="3" t="str">
        <f>TEXT(Table1[[#This Row],[Order Date]],"MMM")</f>
        <v>Sep</v>
      </c>
      <c r="AA641" s="3">
        <f>DAY(Table1[[#This Row],[Order Date]])</f>
        <v>5</v>
      </c>
    </row>
    <row r="642" spans="1:27" x14ac:dyDescent="0.35">
      <c r="A642" s="1">
        <v>641</v>
      </c>
      <c r="B642" s="1" t="s">
        <v>2898</v>
      </c>
      <c r="C642" s="1" t="s">
        <v>2899</v>
      </c>
      <c r="D642" s="1" t="s">
        <v>231</v>
      </c>
      <c r="E642" t="s">
        <v>62</v>
      </c>
      <c r="F642" t="s">
        <v>2900</v>
      </c>
      <c r="G642" t="s">
        <v>188</v>
      </c>
      <c r="H642" t="s">
        <v>94</v>
      </c>
      <c r="I642" s="1" t="s">
        <v>28</v>
      </c>
      <c r="J642" t="s">
        <v>128</v>
      </c>
      <c r="K642" t="s">
        <v>129</v>
      </c>
      <c r="L642" s="1">
        <v>880153</v>
      </c>
      <c r="M642" s="1" t="s">
        <v>66</v>
      </c>
      <c r="N642" t="s">
        <v>2901</v>
      </c>
      <c r="O642" t="s">
        <v>46</v>
      </c>
      <c r="P642" t="s">
        <v>57</v>
      </c>
      <c r="Q642" t="s">
        <v>58</v>
      </c>
      <c r="R642">
        <v>53157.48</v>
      </c>
      <c r="S642" s="25" t="e">
        <f>IF(Table1[[#This Row],[Sales]]=MIN(Table1[Sales]), Table1[[#This Row],[Sales]], NA())</f>
        <v>#N/A</v>
      </c>
      <c r="T642" s="25">
        <f>IF(AND(Table1[[#This Row],[Sales]]&lt;&gt;MIN(Table1[Sales]),Table1[[#This Row],[Sales]]&lt;&gt;MAX(Table1[Sales])), Table1[[#This Row],[Sales]], NA())</f>
        <v>53157.48</v>
      </c>
      <c r="U642" s="25" t="e">
        <f>IF(Table1[[#This Row],[Sales]]=MAX(Table1[Sales]), Table1[[#This Row],[Sales]], NA())</f>
        <v>#N/A</v>
      </c>
      <c r="V642">
        <v>9</v>
      </c>
      <c r="W642">
        <v>0.1</v>
      </c>
      <c r="X642">
        <v>2923.66</v>
      </c>
      <c r="Y642" s="3">
        <f>YEAR(Table1[[#This Row],[Order Date]])</f>
        <v>2021</v>
      </c>
      <c r="Z642" s="3" t="str">
        <f>TEXT(Table1[[#This Row],[Order Date]],"MMM")</f>
        <v>Oct</v>
      </c>
      <c r="AA642" s="3">
        <f>DAY(Table1[[#This Row],[Order Date]])</f>
        <v>11</v>
      </c>
    </row>
    <row r="643" spans="1:27" x14ac:dyDescent="0.35">
      <c r="A643" s="1">
        <v>642</v>
      </c>
      <c r="B643" s="1" t="s">
        <v>2902</v>
      </c>
      <c r="C643" s="1" t="s">
        <v>2463</v>
      </c>
      <c r="D643" s="1" t="s">
        <v>2467</v>
      </c>
      <c r="E643" t="s">
        <v>38</v>
      </c>
      <c r="F643" t="s">
        <v>2903</v>
      </c>
      <c r="G643" t="s">
        <v>87</v>
      </c>
      <c r="H643" t="s">
        <v>27</v>
      </c>
      <c r="I643" s="1" t="s">
        <v>28</v>
      </c>
      <c r="J643" t="s">
        <v>42</v>
      </c>
      <c r="K643" t="s">
        <v>43</v>
      </c>
      <c r="L643" s="1">
        <v>165092</v>
      </c>
      <c r="M643" s="1" t="s">
        <v>44</v>
      </c>
      <c r="N643" t="s">
        <v>2904</v>
      </c>
      <c r="O643" t="s">
        <v>32</v>
      </c>
      <c r="P643" t="s">
        <v>33</v>
      </c>
      <c r="Q643" t="s">
        <v>34</v>
      </c>
      <c r="R643">
        <v>47181.02</v>
      </c>
      <c r="S643" s="25" t="e">
        <f>IF(Table1[[#This Row],[Sales]]=MIN(Table1[Sales]), Table1[[#This Row],[Sales]], NA())</f>
        <v>#N/A</v>
      </c>
      <c r="T643" s="25">
        <f>IF(AND(Table1[[#This Row],[Sales]]&lt;&gt;MIN(Table1[Sales]),Table1[[#This Row],[Sales]]&lt;&gt;MAX(Table1[Sales])), Table1[[#This Row],[Sales]], NA())</f>
        <v>47181.02</v>
      </c>
      <c r="U643" s="25" t="e">
        <f>IF(Table1[[#This Row],[Sales]]=MAX(Table1[Sales]), Table1[[#This Row],[Sales]], NA())</f>
        <v>#N/A</v>
      </c>
      <c r="V643">
        <v>1</v>
      </c>
      <c r="W643">
        <v>0</v>
      </c>
      <c r="X643">
        <v>3774.48</v>
      </c>
      <c r="Y643" s="3">
        <f>YEAR(Table1[[#This Row],[Order Date]])</f>
        <v>2022</v>
      </c>
      <c r="Z643" s="3" t="str">
        <f>TEXT(Table1[[#This Row],[Order Date]],"MMM")</f>
        <v>Jul</v>
      </c>
      <c r="AA643" s="3">
        <f>DAY(Table1[[#This Row],[Order Date]])</f>
        <v>10</v>
      </c>
    </row>
    <row r="644" spans="1:27" x14ac:dyDescent="0.35">
      <c r="A644" s="1">
        <v>643</v>
      </c>
      <c r="B644" s="1" t="s">
        <v>2905</v>
      </c>
      <c r="C644" s="1" t="s">
        <v>2906</v>
      </c>
      <c r="D644" s="1" t="s">
        <v>2907</v>
      </c>
      <c r="E644" t="s">
        <v>115</v>
      </c>
      <c r="F644" t="s">
        <v>2908</v>
      </c>
      <c r="G644" t="s">
        <v>26</v>
      </c>
      <c r="H644" t="s">
        <v>94</v>
      </c>
      <c r="I644" s="1" t="s">
        <v>28</v>
      </c>
      <c r="J644" t="s">
        <v>64</v>
      </c>
      <c r="K644" t="s">
        <v>65</v>
      </c>
      <c r="L644" s="1">
        <v>635251</v>
      </c>
      <c r="M644" s="1" t="s">
        <v>66</v>
      </c>
      <c r="N644" t="s">
        <v>2909</v>
      </c>
      <c r="O644" t="s">
        <v>68</v>
      </c>
      <c r="P644" t="s">
        <v>69</v>
      </c>
      <c r="Q644" t="s">
        <v>70</v>
      </c>
      <c r="R644">
        <v>26709.67</v>
      </c>
      <c r="S644" s="25" t="e">
        <f>IF(Table1[[#This Row],[Sales]]=MIN(Table1[Sales]), Table1[[#This Row],[Sales]], NA())</f>
        <v>#N/A</v>
      </c>
      <c r="T644" s="25">
        <f>IF(AND(Table1[[#This Row],[Sales]]&lt;&gt;MIN(Table1[Sales]),Table1[[#This Row],[Sales]]&lt;&gt;MAX(Table1[Sales])), Table1[[#This Row],[Sales]], NA())</f>
        <v>26709.67</v>
      </c>
      <c r="U644" s="25" t="e">
        <f>IF(Table1[[#This Row],[Sales]]=MAX(Table1[Sales]), Table1[[#This Row],[Sales]], NA())</f>
        <v>#N/A</v>
      </c>
      <c r="V644">
        <v>3</v>
      </c>
      <c r="W644">
        <v>0.3</v>
      </c>
      <c r="X644">
        <v>133.55000000000001</v>
      </c>
      <c r="Y644" s="3">
        <f>YEAR(Table1[[#This Row],[Order Date]])</f>
        <v>2021</v>
      </c>
      <c r="Z644" s="3" t="str">
        <f>TEXT(Table1[[#This Row],[Order Date]],"MMM")</f>
        <v>Sep</v>
      </c>
      <c r="AA644" s="3">
        <f>DAY(Table1[[#This Row],[Order Date]])</f>
        <v>24</v>
      </c>
    </row>
    <row r="645" spans="1:27" x14ac:dyDescent="0.35">
      <c r="A645" s="1">
        <v>644</v>
      </c>
      <c r="B645" s="1" t="s">
        <v>2910</v>
      </c>
      <c r="C645" s="1" t="s">
        <v>2911</v>
      </c>
      <c r="D645" s="1" t="s">
        <v>2912</v>
      </c>
      <c r="E645" t="s">
        <v>24</v>
      </c>
      <c r="F645" t="s">
        <v>2913</v>
      </c>
      <c r="G645" t="s">
        <v>26</v>
      </c>
      <c r="H645" t="s">
        <v>94</v>
      </c>
      <c r="I645" s="1" t="s">
        <v>28</v>
      </c>
      <c r="J645" t="s">
        <v>42</v>
      </c>
      <c r="K645" t="s">
        <v>43</v>
      </c>
      <c r="L645" s="1">
        <v>664693</v>
      </c>
      <c r="M645" s="1" t="s">
        <v>44</v>
      </c>
      <c r="N645" t="s">
        <v>2914</v>
      </c>
      <c r="O645" t="s">
        <v>46</v>
      </c>
      <c r="P645" t="s">
        <v>57</v>
      </c>
      <c r="Q645" t="s">
        <v>58</v>
      </c>
      <c r="R645">
        <v>31242</v>
      </c>
      <c r="S645" s="25" t="e">
        <f>IF(Table1[[#This Row],[Sales]]=MIN(Table1[Sales]), Table1[[#This Row],[Sales]], NA())</f>
        <v>#N/A</v>
      </c>
      <c r="T645" s="25">
        <f>IF(AND(Table1[[#This Row],[Sales]]&lt;&gt;MIN(Table1[Sales]),Table1[[#This Row],[Sales]]&lt;&gt;MAX(Table1[Sales])), Table1[[#This Row],[Sales]], NA())</f>
        <v>31242</v>
      </c>
      <c r="U645" s="25" t="e">
        <f>IF(Table1[[#This Row],[Sales]]=MAX(Table1[Sales]), Table1[[#This Row],[Sales]], NA())</f>
        <v>#N/A</v>
      </c>
      <c r="V645">
        <v>5</v>
      </c>
      <c r="W645">
        <v>0.1</v>
      </c>
      <c r="X645">
        <v>1718.31</v>
      </c>
      <c r="Y645" s="3">
        <f>YEAR(Table1[[#This Row],[Order Date]])</f>
        <v>2021</v>
      </c>
      <c r="Z645" s="3" t="str">
        <f>TEXT(Table1[[#This Row],[Order Date]],"MMM")</f>
        <v>Jun</v>
      </c>
      <c r="AA645" s="3">
        <f>DAY(Table1[[#This Row],[Order Date]])</f>
        <v>10</v>
      </c>
    </row>
    <row r="646" spans="1:27" x14ac:dyDescent="0.35">
      <c r="A646" s="1">
        <v>645</v>
      </c>
      <c r="B646" s="1" t="s">
        <v>2915</v>
      </c>
      <c r="C646" s="1" t="s">
        <v>1494</v>
      </c>
      <c r="D646" s="1" t="s">
        <v>2916</v>
      </c>
      <c r="E646" t="s">
        <v>115</v>
      </c>
      <c r="F646" t="s">
        <v>2917</v>
      </c>
      <c r="G646" t="s">
        <v>81</v>
      </c>
      <c r="H646" t="s">
        <v>41</v>
      </c>
      <c r="I646" s="1" t="s">
        <v>28</v>
      </c>
      <c r="J646" t="s">
        <v>64</v>
      </c>
      <c r="K646" t="s">
        <v>65</v>
      </c>
      <c r="L646" s="1">
        <v>261496</v>
      </c>
      <c r="M646" s="1" t="s">
        <v>66</v>
      </c>
      <c r="N646" t="s">
        <v>2918</v>
      </c>
      <c r="O646" t="s">
        <v>46</v>
      </c>
      <c r="P646" t="s">
        <v>47</v>
      </c>
      <c r="Q646" t="s">
        <v>48</v>
      </c>
      <c r="R646">
        <v>64449.3</v>
      </c>
      <c r="S646" s="25" t="e">
        <f>IF(Table1[[#This Row],[Sales]]=MIN(Table1[Sales]), Table1[[#This Row],[Sales]], NA())</f>
        <v>#N/A</v>
      </c>
      <c r="T646" s="25">
        <f>IF(AND(Table1[[#This Row],[Sales]]&lt;&gt;MIN(Table1[Sales]),Table1[[#This Row],[Sales]]&lt;&gt;MAX(Table1[Sales])), Table1[[#This Row],[Sales]], NA())</f>
        <v>64449.3</v>
      </c>
      <c r="U646" s="25" t="e">
        <f>IF(Table1[[#This Row],[Sales]]=MAX(Table1[Sales]), Table1[[#This Row],[Sales]], NA())</f>
        <v>#N/A</v>
      </c>
      <c r="V646">
        <v>4</v>
      </c>
      <c r="W646">
        <v>0</v>
      </c>
      <c r="X646">
        <v>5155.9399999999996</v>
      </c>
      <c r="Y646" s="3">
        <f>YEAR(Table1[[#This Row],[Order Date]])</f>
        <v>2021</v>
      </c>
      <c r="Z646" s="3" t="str">
        <f>TEXT(Table1[[#This Row],[Order Date]],"MMM")</f>
        <v>Nov</v>
      </c>
      <c r="AA646" s="3">
        <f>DAY(Table1[[#This Row],[Order Date]])</f>
        <v>14</v>
      </c>
    </row>
    <row r="647" spans="1:27" x14ac:dyDescent="0.35">
      <c r="A647" s="1">
        <v>646</v>
      </c>
      <c r="B647" s="1" t="s">
        <v>2919</v>
      </c>
      <c r="C647" s="1" t="s">
        <v>2920</v>
      </c>
      <c r="D647" s="1" t="s">
        <v>2921</v>
      </c>
      <c r="E647" t="s">
        <v>24</v>
      </c>
      <c r="F647" t="s">
        <v>2922</v>
      </c>
      <c r="G647" t="s">
        <v>87</v>
      </c>
      <c r="H647" t="s">
        <v>94</v>
      </c>
      <c r="I647" s="1" t="s">
        <v>28</v>
      </c>
      <c r="J647" t="s">
        <v>42</v>
      </c>
      <c r="K647" t="s">
        <v>43</v>
      </c>
      <c r="L647" s="1">
        <v>127703</v>
      </c>
      <c r="M647" s="1" t="s">
        <v>44</v>
      </c>
      <c r="N647" t="s">
        <v>2923</v>
      </c>
      <c r="O647" t="s">
        <v>46</v>
      </c>
      <c r="P647" t="s">
        <v>47</v>
      </c>
      <c r="Q647" t="s">
        <v>48</v>
      </c>
      <c r="R647">
        <v>45245.14</v>
      </c>
      <c r="S647" s="25" t="e">
        <f>IF(Table1[[#This Row],[Sales]]=MIN(Table1[Sales]), Table1[[#This Row],[Sales]], NA())</f>
        <v>#N/A</v>
      </c>
      <c r="T647" s="25">
        <f>IF(AND(Table1[[#This Row],[Sales]]&lt;&gt;MIN(Table1[Sales]),Table1[[#This Row],[Sales]]&lt;&gt;MAX(Table1[Sales])), Table1[[#This Row],[Sales]], NA())</f>
        <v>45245.14</v>
      </c>
      <c r="U647" s="25" t="e">
        <f>IF(Table1[[#This Row],[Sales]]=MAX(Table1[Sales]), Table1[[#This Row],[Sales]], NA())</f>
        <v>#N/A</v>
      </c>
      <c r="V647">
        <v>1</v>
      </c>
      <c r="W647">
        <v>0</v>
      </c>
      <c r="X647">
        <v>3619.61</v>
      </c>
      <c r="Y647" s="3">
        <f>YEAR(Table1[[#This Row],[Order Date]])</f>
        <v>2022</v>
      </c>
      <c r="Z647" s="3" t="str">
        <f>TEXT(Table1[[#This Row],[Order Date]],"MMM")</f>
        <v>Jun</v>
      </c>
      <c r="AA647" s="3">
        <f>DAY(Table1[[#This Row],[Order Date]])</f>
        <v>28</v>
      </c>
    </row>
    <row r="648" spans="1:27" x14ac:dyDescent="0.35">
      <c r="A648" s="1">
        <v>647</v>
      </c>
      <c r="B648" s="1" t="s">
        <v>2924</v>
      </c>
      <c r="C648" s="1" t="s">
        <v>2925</v>
      </c>
      <c r="D648" s="1" t="s">
        <v>2313</v>
      </c>
      <c r="E648" t="s">
        <v>38</v>
      </c>
      <c r="F648" t="s">
        <v>2926</v>
      </c>
      <c r="G648" t="s">
        <v>93</v>
      </c>
      <c r="H648" t="s">
        <v>27</v>
      </c>
      <c r="I648" s="1" t="s">
        <v>28</v>
      </c>
      <c r="J648" t="s">
        <v>53</v>
      </c>
      <c r="K648" t="s">
        <v>54</v>
      </c>
      <c r="L648" s="1">
        <v>867020</v>
      </c>
      <c r="M648" s="1" t="s">
        <v>55</v>
      </c>
      <c r="N648" t="s">
        <v>2927</v>
      </c>
      <c r="O648" t="s">
        <v>32</v>
      </c>
      <c r="P648" t="s">
        <v>33</v>
      </c>
      <c r="Q648" t="s">
        <v>34</v>
      </c>
      <c r="R648">
        <v>50647.11</v>
      </c>
      <c r="S648" s="25" t="e">
        <f>IF(Table1[[#This Row],[Sales]]=MIN(Table1[Sales]), Table1[[#This Row],[Sales]], NA())</f>
        <v>#N/A</v>
      </c>
      <c r="T648" s="25">
        <f>IF(AND(Table1[[#This Row],[Sales]]&lt;&gt;MIN(Table1[Sales]),Table1[[#This Row],[Sales]]&lt;&gt;MAX(Table1[Sales])), Table1[[#This Row],[Sales]], NA())</f>
        <v>50647.11</v>
      </c>
      <c r="U648" s="25" t="e">
        <f>IF(Table1[[#This Row],[Sales]]=MAX(Table1[Sales]), Table1[[#This Row],[Sales]], NA())</f>
        <v>#N/A</v>
      </c>
      <c r="V648">
        <v>9</v>
      </c>
      <c r="W648">
        <v>0</v>
      </c>
      <c r="X648">
        <v>4051.77</v>
      </c>
      <c r="Y648" s="3">
        <f>YEAR(Table1[[#This Row],[Order Date]])</f>
        <v>2024</v>
      </c>
      <c r="Z648" s="3" t="str">
        <f>TEXT(Table1[[#This Row],[Order Date]],"MMM")</f>
        <v>Jul</v>
      </c>
      <c r="AA648" s="3">
        <f>DAY(Table1[[#This Row],[Order Date]])</f>
        <v>28</v>
      </c>
    </row>
    <row r="649" spans="1:27" x14ac:dyDescent="0.35">
      <c r="A649" s="1">
        <v>648</v>
      </c>
      <c r="B649" s="1" t="s">
        <v>2928</v>
      </c>
      <c r="C649" s="1" t="s">
        <v>1150</v>
      </c>
      <c r="D649" s="1" t="s">
        <v>2128</v>
      </c>
      <c r="E649" t="s">
        <v>62</v>
      </c>
      <c r="F649" t="s">
        <v>2929</v>
      </c>
      <c r="G649" t="s">
        <v>140</v>
      </c>
      <c r="H649" t="s">
        <v>94</v>
      </c>
      <c r="I649" s="1" t="s">
        <v>28</v>
      </c>
      <c r="J649" t="s">
        <v>42</v>
      </c>
      <c r="K649" t="s">
        <v>43</v>
      </c>
      <c r="L649" s="1">
        <v>874995</v>
      </c>
      <c r="M649" s="1" t="s">
        <v>44</v>
      </c>
      <c r="N649" t="s">
        <v>2930</v>
      </c>
      <c r="O649" t="s">
        <v>46</v>
      </c>
      <c r="P649" t="s">
        <v>57</v>
      </c>
      <c r="Q649" t="s">
        <v>58</v>
      </c>
      <c r="R649">
        <v>98751.29</v>
      </c>
      <c r="S649" s="25" t="e">
        <f>IF(Table1[[#This Row],[Sales]]=MIN(Table1[Sales]), Table1[[#This Row],[Sales]], NA())</f>
        <v>#N/A</v>
      </c>
      <c r="T649" s="25">
        <f>IF(AND(Table1[[#This Row],[Sales]]&lt;&gt;MIN(Table1[Sales]),Table1[[#This Row],[Sales]]&lt;&gt;MAX(Table1[Sales])), Table1[[#This Row],[Sales]], NA())</f>
        <v>98751.29</v>
      </c>
      <c r="U649" s="25" t="e">
        <f>IF(Table1[[#This Row],[Sales]]=MAX(Table1[Sales]), Table1[[#This Row],[Sales]], NA())</f>
        <v>#N/A</v>
      </c>
      <c r="V649">
        <v>1</v>
      </c>
      <c r="W649">
        <v>0.1</v>
      </c>
      <c r="X649">
        <v>5431.32</v>
      </c>
      <c r="Y649" s="3">
        <f>YEAR(Table1[[#This Row],[Order Date]])</f>
        <v>2021</v>
      </c>
      <c r="Z649" s="3" t="str">
        <f>TEXT(Table1[[#This Row],[Order Date]],"MMM")</f>
        <v>Apr</v>
      </c>
      <c r="AA649" s="3">
        <f>DAY(Table1[[#This Row],[Order Date]])</f>
        <v>27</v>
      </c>
    </row>
    <row r="650" spans="1:27" x14ac:dyDescent="0.35">
      <c r="A650" s="1">
        <v>649</v>
      </c>
      <c r="B650" s="1" t="s">
        <v>2931</v>
      </c>
      <c r="C650" s="1" t="s">
        <v>746</v>
      </c>
      <c r="D650" s="1" t="s">
        <v>2932</v>
      </c>
      <c r="E650" t="s">
        <v>62</v>
      </c>
      <c r="F650" t="s">
        <v>2933</v>
      </c>
      <c r="G650" t="s">
        <v>93</v>
      </c>
      <c r="H650" t="s">
        <v>94</v>
      </c>
      <c r="I650" s="1" t="s">
        <v>28</v>
      </c>
      <c r="J650" t="s">
        <v>53</v>
      </c>
      <c r="K650" t="s">
        <v>54</v>
      </c>
      <c r="L650" s="1">
        <v>313431</v>
      </c>
      <c r="M650" s="1" t="s">
        <v>55</v>
      </c>
      <c r="N650" t="s">
        <v>2934</v>
      </c>
      <c r="O650" t="s">
        <v>46</v>
      </c>
      <c r="P650" t="s">
        <v>57</v>
      </c>
      <c r="Q650" t="s">
        <v>58</v>
      </c>
      <c r="R650">
        <v>29538.46</v>
      </c>
      <c r="S650" s="25" t="e">
        <f>IF(Table1[[#This Row],[Sales]]=MIN(Table1[Sales]), Table1[[#This Row],[Sales]], NA())</f>
        <v>#N/A</v>
      </c>
      <c r="T650" s="25">
        <f>IF(AND(Table1[[#This Row],[Sales]]&lt;&gt;MIN(Table1[Sales]),Table1[[#This Row],[Sales]]&lt;&gt;MAX(Table1[Sales])), Table1[[#This Row],[Sales]], NA())</f>
        <v>29538.46</v>
      </c>
      <c r="U650" s="25" t="e">
        <f>IF(Table1[[#This Row],[Sales]]=MAX(Table1[Sales]), Table1[[#This Row],[Sales]], NA())</f>
        <v>#N/A</v>
      </c>
      <c r="V650">
        <v>9</v>
      </c>
      <c r="W650">
        <v>0</v>
      </c>
      <c r="X650">
        <v>2363.08</v>
      </c>
      <c r="Y650" s="3">
        <f>YEAR(Table1[[#This Row],[Order Date]])</f>
        <v>2025</v>
      </c>
      <c r="Z650" s="3" t="str">
        <f>TEXT(Table1[[#This Row],[Order Date]],"MMM")</f>
        <v>Jul</v>
      </c>
      <c r="AA650" s="3">
        <f>DAY(Table1[[#This Row],[Order Date]])</f>
        <v>10</v>
      </c>
    </row>
    <row r="651" spans="1:27" x14ac:dyDescent="0.35">
      <c r="A651" s="1">
        <v>650</v>
      </c>
      <c r="B651" s="1" t="s">
        <v>2935</v>
      </c>
      <c r="C651" s="1" t="s">
        <v>519</v>
      </c>
      <c r="D651" s="1" t="s">
        <v>2936</v>
      </c>
      <c r="E651" t="s">
        <v>62</v>
      </c>
      <c r="F651" t="s">
        <v>2937</v>
      </c>
      <c r="G651" t="s">
        <v>26</v>
      </c>
      <c r="H651" t="s">
        <v>27</v>
      </c>
      <c r="I651" s="1" t="s">
        <v>28</v>
      </c>
      <c r="J651" t="s">
        <v>64</v>
      </c>
      <c r="K651" t="s">
        <v>65</v>
      </c>
      <c r="L651" s="1">
        <v>830877</v>
      </c>
      <c r="M651" s="1" t="s">
        <v>66</v>
      </c>
      <c r="N651" t="s">
        <v>2938</v>
      </c>
      <c r="O651" t="s">
        <v>68</v>
      </c>
      <c r="P651" t="s">
        <v>69</v>
      </c>
      <c r="Q651" t="s">
        <v>70</v>
      </c>
      <c r="R651">
        <v>68065.350000000006</v>
      </c>
      <c r="S651" s="25" t="e">
        <f>IF(Table1[[#This Row],[Sales]]=MIN(Table1[Sales]), Table1[[#This Row],[Sales]], NA())</f>
        <v>#N/A</v>
      </c>
      <c r="T651" s="25">
        <f>IF(AND(Table1[[#This Row],[Sales]]&lt;&gt;MIN(Table1[Sales]),Table1[[#This Row],[Sales]]&lt;&gt;MAX(Table1[Sales])), Table1[[#This Row],[Sales]], NA())</f>
        <v>68065.350000000006</v>
      </c>
      <c r="U651" s="25" t="e">
        <f>IF(Table1[[#This Row],[Sales]]=MAX(Table1[Sales]), Table1[[#This Row],[Sales]], NA())</f>
        <v>#N/A</v>
      </c>
      <c r="V651">
        <v>7</v>
      </c>
      <c r="W651">
        <v>0.2</v>
      </c>
      <c r="X651">
        <v>2041.96</v>
      </c>
      <c r="Y651" s="3">
        <f>YEAR(Table1[[#This Row],[Order Date]])</f>
        <v>2021</v>
      </c>
      <c r="Z651" s="3" t="str">
        <f>TEXT(Table1[[#This Row],[Order Date]],"MMM")</f>
        <v>Apr</v>
      </c>
      <c r="AA651" s="3">
        <f>DAY(Table1[[#This Row],[Order Date]])</f>
        <v>2</v>
      </c>
    </row>
    <row r="652" spans="1:27" x14ac:dyDescent="0.35">
      <c r="A652" s="1">
        <v>651</v>
      </c>
      <c r="B652" s="1" t="s">
        <v>2939</v>
      </c>
      <c r="C652" s="1" t="s">
        <v>138</v>
      </c>
      <c r="D652" s="1" t="s">
        <v>2173</v>
      </c>
      <c r="E652" t="s">
        <v>38</v>
      </c>
      <c r="F652" t="s">
        <v>2940</v>
      </c>
      <c r="G652" t="s">
        <v>188</v>
      </c>
      <c r="H652" t="s">
        <v>94</v>
      </c>
      <c r="I652" s="1" t="s">
        <v>28</v>
      </c>
      <c r="J652" t="s">
        <v>29</v>
      </c>
      <c r="K652" t="s">
        <v>29</v>
      </c>
      <c r="L652" s="1">
        <v>901274</v>
      </c>
      <c r="M652" s="1" t="s">
        <v>30</v>
      </c>
      <c r="N652" t="s">
        <v>2941</v>
      </c>
      <c r="O652" t="s">
        <v>68</v>
      </c>
      <c r="P652" t="s">
        <v>69</v>
      </c>
      <c r="Q652" t="s">
        <v>70</v>
      </c>
      <c r="R652">
        <v>86735.87</v>
      </c>
      <c r="S652" s="25" t="e">
        <f>IF(Table1[[#This Row],[Sales]]=MIN(Table1[Sales]), Table1[[#This Row],[Sales]], NA())</f>
        <v>#N/A</v>
      </c>
      <c r="T652" s="25">
        <f>IF(AND(Table1[[#This Row],[Sales]]&lt;&gt;MIN(Table1[Sales]),Table1[[#This Row],[Sales]]&lt;&gt;MAX(Table1[Sales])), Table1[[#This Row],[Sales]], NA())</f>
        <v>86735.87</v>
      </c>
      <c r="U652" s="25" t="e">
        <f>IF(Table1[[#This Row],[Sales]]=MAX(Table1[Sales]), Table1[[#This Row],[Sales]], NA())</f>
        <v>#N/A</v>
      </c>
      <c r="V652">
        <v>4</v>
      </c>
      <c r="W652">
        <v>0</v>
      </c>
      <c r="X652">
        <v>6938.87</v>
      </c>
      <c r="Y652" s="3">
        <f>YEAR(Table1[[#This Row],[Order Date]])</f>
        <v>2024</v>
      </c>
      <c r="Z652" s="3" t="str">
        <f>TEXT(Table1[[#This Row],[Order Date]],"MMM")</f>
        <v>Feb</v>
      </c>
      <c r="AA652" s="3">
        <f>DAY(Table1[[#This Row],[Order Date]])</f>
        <v>2</v>
      </c>
    </row>
    <row r="653" spans="1:27" x14ac:dyDescent="0.35">
      <c r="A653" s="1">
        <v>652</v>
      </c>
      <c r="B653" s="1" t="s">
        <v>2942</v>
      </c>
      <c r="C653" s="1" t="s">
        <v>368</v>
      </c>
      <c r="D653" s="1" t="s">
        <v>2943</v>
      </c>
      <c r="E653" t="s">
        <v>24</v>
      </c>
      <c r="F653" t="s">
        <v>2944</v>
      </c>
      <c r="G653" t="s">
        <v>122</v>
      </c>
      <c r="H653" t="s">
        <v>94</v>
      </c>
      <c r="I653" s="1" t="s">
        <v>28</v>
      </c>
      <c r="J653" t="s">
        <v>53</v>
      </c>
      <c r="K653" t="s">
        <v>54</v>
      </c>
      <c r="L653" s="1">
        <v>926916</v>
      </c>
      <c r="M653" s="1" t="s">
        <v>55</v>
      </c>
      <c r="N653" t="s">
        <v>2945</v>
      </c>
      <c r="O653" t="s">
        <v>32</v>
      </c>
      <c r="P653" t="s">
        <v>33</v>
      </c>
      <c r="Q653" t="s">
        <v>34</v>
      </c>
      <c r="R653">
        <v>13023.61</v>
      </c>
      <c r="S653" s="25" t="e">
        <f>IF(Table1[[#This Row],[Sales]]=MIN(Table1[Sales]), Table1[[#This Row],[Sales]], NA())</f>
        <v>#N/A</v>
      </c>
      <c r="T653" s="25">
        <f>IF(AND(Table1[[#This Row],[Sales]]&lt;&gt;MIN(Table1[Sales]),Table1[[#This Row],[Sales]]&lt;&gt;MAX(Table1[Sales])), Table1[[#This Row],[Sales]], NA())</f>
        <v>13023.61</v>
      </c>
      <c r="U653" s="25" t="e">
        <f>IF(Table1[[#This Row],[Sales]]=MAX(Table1[Sales]), Table1[[#This Row],[Sales]], NA())</f>
        <v>#N/A</v>
      </c>
      <c r="V653">
        <v>2</v>
      </c>
      <c r="W653">
        <v>0</v>
      </c>
      <c r="X653">
        <v>1041.8900000000001</v>
      </c>
      <c r="Y653" s="3">
        <f>YEAR(Table1[[#This Row],[Order Date]])</f>
        <v>2024</v>
      </c>
      <c r="Z653" s="3" t="str">
        <f>TEXT(Table1[[#This Row],[Order Date]],"MMM")</f>
        <v>Jan</v>
      </c>
      <c r="AA653" s="3">
        <f>DAY(Table1[[#This Row],[Order Date]])</f>
        <v>9</v>
      </c>
    </row>
    <row r="654" spans="1:27" x14ac:dyDescent="0.35">
      <c r="A654" s="1">
        <v>653</v>
      </c>
      <c r="B654" s="1" t="s">
        <v>2946</v>
      </c>
      <c r="C654" s="1" t="s">
        <v>2947</v>
      </c>
      <c r="D654" s="1" t="s">
        <v>2492</v>
      </c>
      <c r="E654" t="s">
        <v>24</v>
      </c>
      <c r="F654" t="s">
        <v>2948</v>
      </c>
      <c r="G654" t="s">
        <v>188</v>
      </c>
      <c r="H654" t="s">
        <v>94</v>
      </c>
      <c r="I654" s="1" t="s">
        <v>28</v>
      </c>
      <c r="J654" t="s">
        <v>42</v>
      </c>
      <c r="K654" t="s">
        <v>43</v>
      </c>
      <c r="L654" s="1">
        <v>677054</v>
      </c>
      <c r="M654" s="1" t="s">
        <v>44</v>
      </c>
      <c r="N654" t="s">
        <v>2949</v>
      </c>
      <c r="O654" t="s">
        <v>46</v>
      </c>
      <c r="P654" t="s">
        <v>57</v>
      </c>
      <c r="Q654" t="s">
        <v>58</v>
      </c>
      <c r="R654">
        <v>66106.759999999995</v>
      </c>
      <c r="S654" s="25" t="e">
        <f>IF(Table1[[#This Row],[Sales]]=MIN(Table1[Sales]), Table1[[#This Row],[Sales]], NA())</f>
        <v>#N/A</v>
      </c>
      <c r="T654" s="25">
        <f>IF(AND(Table1[[#This Row],[Sales]]&lt;&gt;MIN(Table1[Sales]),Table1[[#This Row],[Sales]]&lt;&gt;MAX(Table1[Sales])), Table1[[#This Row],[Sales]], NA())</f>
        <v>66106.759999999995</v>
      </c>
      <c r="U654" s="25" t="e">
        <f>IF(Table1[[#This Row],[Sales]]=MAX(Table1[Sales]), Table1[[#This Row],[Sales]], NA())</f>
        <v>#N/A</v>
      </c>
      <c r="V654">
        <v>6</v>
      </c>
      <c r="W654">
        <v>0.3</v>
      </c>
      <c r="X654">
        <v>330.53</v>
      </c>
      <c r="Y654" s="3">
        <f>YEAR(Table1[[#This Row],[Order Date]])</f>
        <v>2021</v>
      </c>
      <c r="Z654" s="3" t="str">
        <f>TEXT(Table1[[#This Row],[Order Date]],"MMM")</f>
        <v>Dec</v>
      </c>
      <c r="AA654" s="3">
        <f>DAY(Table1[[#This Row],[Order Date]])</f>
        <v>3</v>
      </c>
    </row>
    <row r="655" spans="1:27" x14ac:dyDescent="0.35">
      <c r="A655" s="1">
        <v>654</v>
      </c>
      <c r="B655" s="1" t="s">
        <v>2950</v>
      </c>
      <c r="C655" s="1" t="s">
        <v>2951</v>
      </c>
      <c r="D655" s="1" t="s">
        <v>557</v>
      </c>
      <c r="E655" t="s">
        <v>38</v>
      </c>
      <c r="F655" t="s">
        <v>2952</v>
      </c>
      <c r="G655" t="s">
        <v>110</v>
      </c>
      <c r="H655" t="s">
        <v>27</v>
      </c>
      <c r="I655" s="1" t="s">
        <v>28</v>
      </c>
      <c r="J655" t="s">
        <v>53</v>
      </c>
      <c r="K655" t="s">
        <v>54</v>
      </c>
      <c r="L655" s="1">
        <v>416663</v>
      </c>
      <c r="M655" s="1" t="s">
        <v>55</v>
      </c>
      <c r="N655" t="s">
        <v>2953</v>
      </c>
      <c r="O655" t="s">
        <v>68</v>
      </c>
      <c r="P655" t="s">
        <v>69</v>
      </c>
      <c r="Q655" t="s">
        <v>70</v>
      </c>
      <c r="R655">
        <v>74369.16</v>
      </c>
      <c r="S655" s="25" t="e">
        <f>IF(Table1[[#This Row],[Sales]]=MIN(Table1[Sales]), Table1[[#This Row],[Sales]], NA())</f>
        <v>#N/A</v>
      </c>
      <c r="T655" s="25">
        <f>IF(AND(Table1[[#This Row],[Sales]]&lt;&gt;MIN(Table1[Sales]),Table1[[#This Row],[Sales]]&lt;&gt;MAX(Table1[Sales])), Table1[[#This Row],[Sales]], NA())</f>
        <v>74369.16</v>
      </c>
      <c r="U655" s="25" t="e">
        <f>IF(Table1[[#This Row],[Sales]]=MAX(Table1[Sales]), Table1[[#This Row],[Sales]], NA())</f>
        <v>#N/A</v>
      </c>
      <c r="V655">
        <v>9</v>
      </c>
      <c r="W655">
        <v>0.1</v>
      </c>
      <c r="X655">
        <v>4090.3</v>
      </c>
      <c r="Y655" s="3">
        <f>YEAR(Table1[[#This Row],[Order Date]])</f>
        <v>2024</v>
      </c>
      <c r="Z655" s="3" t="str">
        <f>TEXT(Table1[[#This Row],[Order Date]],"MMM")</f>
        <v>Oct</v>
      </c>
      <c r="AA655" s="3">
        <f>DAY(Table1[[#This Row],[Order Date]])</f>
        <v>26</v>
      </c>
    </row>
    <row r="656" spans="1:27" x14ac:dyDescent="0.35">
      <c r="A656" s="1">
        <v>655</v>
      </c>
      <c r="B656" s="1" t="s">
        <v>2954</v>
      </c>
      <c r="C656" s="1" t="s">
        <v>721</v>
      </c>
      <c r="D656" s="1" t="s">
        <v>602</v>
      </c>
      <c r="E656" t="s">
        <v>24</v>
      </c>
      <c r="F656" t="s">
        <v>2955</v>
      </c>
      <c r="G656" t="s">
        <v>26</v>
      </c>
      <c r="H656" t="s">
        <v>41</v>
      </c>
      <c r="I656" s="1" t="s">
        <v>28</v>
      </c>
      <c r="J656" t="s">
        <v>42</v>
      </c>
      <c r="K656" t="s">
        <v>43</v>
      </c>
      <c r="L656" s="1">
        <v>263308</v>
      </c>
      <c r="M656" s="1" t="s">
        <v>44</v>
      </c>
      <c r="N656" t="s">
        <v>2956</v>
      </c>
      <c r="O656" t="s">
        <v>46</v>
      </c>
      <c r="P656" t="s">
        <v>47</v>
      </c>
      <c r="Q656" t="s">
        <v>48</v>
      </c>
      <c r="R656">
        <v>89825.57</v>
      </c>
      <c r="S656" s="25" t="e">
        <f>IF(Table1[[#This Row],[Sales]]=MIN(Table1[Sales]), Table1[[#This Row],[Sales]], NA())</f>
        <v>#N/A</v>
      </c>
      <c r="T656" s="25">
        <f>IF(AND(Table1[[#This Row],[Sales]]&lt;&gt;MIN(Table1[Sales]),Table1[[#This Row],[Sales]]&lt;&gt;MAX(Table1[Sales])), Table1[[#This Row],[Sales]], NA())</f>
        <v>89825.57</v>
      </c>
      <c r="U656" s="25" t="e">
        <f>IF(Table1[[#This Row],[Sales]]=MAX(Table1[Sales]), Table1[[#This Row],[Sales]], NA())</f>
        <v>#N/A</v>
      </c>
      <c r="V656">
        <v>9</v>
      </c>
      <c r="W656">
        <v>0.2</v>
      </c>
      <c r="X656">
        <v>2694.77</v>
      </c>
      <c r="Y656" s="3">
        <f>YEAR(Table1[[#This Row],[Order Date]])</f>
        <v>2022</v>
      </c>
      <c r="Z656" s="3" t="str">
        <f>TEXT(Table1[[#This Row],[Order Date]],"MMM")</f>
        <v>Aug</v>
      </c>
      <c r="AA656" s="3">
        <f>DAY(Table1[[#This Row],[Order Date]])</f>
        <v>4</v>
      </c>
    </row>
    <row r="657" spans="1:27" x14ac:dyDescent="0.35">
      <c r="A657" s="1">
        <v>656</v>
      </c>
      <c r="B657" s="1" t="s">
        <v>2957</v>
      </c>
      <c r="C657" s="1" t="s">
        <v>1772</v>
      </c>
      <c r="D657" s="1" t="s">
        <v>717</v>
      </c>
      <c r="E657" t="s">
        <v>38</v>
      </c>
      <c r="F657" t="s">
        <v>2958</v>
      </c>
      <c r="G657" t="s">
        <v>87</v>
      </c>
      <c r="H657" t="s">
        <v>94</v>
      </c>
      <c r="I657" s="1" t="s">
        <v>28</v>
      </c>
      <c r="J657" t="s">
        <v>42</v>
      </c>
      <c r="K657" t="s">
        <v>43</v>
      </c>
      <c r="L657" s="1">
        <v>363377</v>
      </c>
      <c r="M657" s="1" t="s">
        <v>44</v>
      </c>
      <c r="N657" t="s">
        <v>2959</v>
      </c>
      <c r="O657" t="s">
        <v>68</v>
      </c>
      <c r="P657" t="s">
        <v>69</v>
      </c>
      <c r="Q657" t="s">
        <v>70</v>
      </c>
      <c r="R657">
        <v>47351.42</v>
      </c>
      <c r="S657" s="25" t="e">
        <f>IF(Table1[[#This Row],[Sales]]=MIN(Table1[Sales]), Table1[[#This Row],[Sales]], NA())</f>
        <v>#N/A</v>
      </c>
      <c r="T657" s="25">
        <f>IF(AND(Table1[[#This Row],[Sales]]&lt;&gt;MIN(Table1[Sales]),Table1[[#This Row],[Sales]]&lt;&gt;MAX(Table1[Sales])), Table1[[#This Row],[Sales]], NA())</f>
        <v>47351.42</v>
      </c>
      <c r="U657" s="25" t="e">
        <f>IF(Table1[[#This Row],[Sales]]=MAX(Table1[Sales]), Table1[[#This Row],[Sales]], NA())</f>
        <v>#N/A</v>
      </c>
      <c r="V657">
        <v>7</v>
      </c>
      <c r="W657">
        <v>0.3</v>
      </c>
      <c r="X657">
        <v>236.76</v>
      </c>
      <c r="Y657" s="3">
        <f>YEAR(Table1[[#This Row],[Order Date]])</f>
        <v>2023</v>
      </c>
      <c r="Z657" s="3" t="str">
        <f>TEXT(Table1[[#This Row],[Order Date]],"MMM")</f>
        <v>Nov</v>
      </c>
      <c r="AA657" s="3">
        <f>DAY(Table1[[#This Row],[Order Date]])</f>
        <v>21</v>
      </c>
    </row>
    <row r="658" spans="1:27" x14ac:dyDescent="0.35">
      <c r="A658" s="1">
        <v>657</v>
      </c>
      <c r="B658" s="1" t="s">
        <v>2960</v>
      </c>
      <c r="C658" s="1" t="s">
        <v>2961</v>
      </c>
      <c r="D658" s="1" t="s">
        <v>2962</v>
      </c>
      <c r="E658" t="s">
        <v>38</v>
      </c>
      <c r="F658" t="s">
        <v>2963</v>
      </c>
      <c r="G658" t="s">
        <v>188</v>
      </c>
      <c r="H658" t="s">
        <v>27</v>
      </c>
      <c r="I658" s="1" t="s">
        <v>28</v>
      </c>
      <c r="J658" t="s">
        <v>64</v>
      </c>
      <c r="K658" t="s">
        <v>65</v>
      </c>
      <c r="L658" s="1">
        <v>949085</v>
      </c>
      <c r="M658" s="1" t="s">
        <v>66</v>
      </c>
      <c r="N658" t="s">
        <v>2964</v>
      </c>
      <c r="O658" t="s">
        <v>46</v>
      </c>
      <c r="P658" t="s">
        <v>57</v>
      </c>
      <c r="Q658" t="s">
        <v>58</v>
      </c>
      <c r="R658">
        <v>92044.36</v>
      </c>
      <c r="S658" s="25" t="e">
        <f>IF(Table1[[#This Row],[Sales]]=MIN(Table1[Sales]), Table1[[#This Row],[Sales]], NA())</f>
        <v>#N/A</v>
      </c>
      <c r="T658" s="25">
        <f>IF(AND(Table1[[#This Row],[Sales]]&lt;&gt;MIN(Table1[Sales]),Table1[[#This Row],[Sales]]&lt;&gt;MAX(Table1[Sales])), Table1[[#This Row],[Sales]], NA())</f>
        <v>92044.36</v>
      </c>
      <c r="U658" s="25" t="e">
        <f>IF(Table1[[#This Row],[Sales]]=MAX(Table1[Sales]), Table1[[#This Row],[Sales]], NA())</f>
        <v>#N/A</v>
      </c>
      <c r="V658">
        <v>4</v>
      </c>
      <c r="W658">
        <v>0.3</v>
      </c>
      <c r="X658">
        <v>460.22</v>
      </c>
      <c r="Y658" s="3">
        <f>YEAR(Table1[[#This Row],[Order Date]])</f>
        <v>2023</v>
      </c>
      <c r="Z658" s="3" t="str">
        <f>TEXT(Table1[[#This Row],[Order Date]],"MMM")</f>
        <v>Mar</v>
      </c>
      <c r="AA658" s="3">
        <f>DAY(Table1[[#This Row],[Order Date]])</f>
        <v>16</v>
      </c>
    </row>
    <row r="659" spans="1:27" x14ac:dyDescent="0.35">
      <c r="A659" s="1">
        <v>658</v>
      </c>
      <c r="B659" s="1" t="s">
        <v>2965</v>
      </c>
      <c r="C659" s="1" t="s">
        <v>658</v>
      </c>
      <c r="D659" s="1" t="s">
        <v>2966</v>
      </c>
      <c r="E659" t="s">
        <v>38</v>
      </c>
      <c r="F659" t="s">
        <v>2967</v>
      </c>
      <c r="G659" t="s">
        <v>93</v>
      </c>
      <c r="H659" t="s">
        <v>41</v>
      </c>
      <c r="I659" s="1" t="s">
        <v>28</v>
      </c>
      <c r="J659" t="s">
        <v>29</v>
      </c>
      <c r="K659" t="s">
        <v>29</v>
      </c>
      <c r="L659" s="1">
        <v>944893</v>
      </c>
      <c r="M659" s="1" t="s">
        <v>30</v>
      </c>
      <c r="N659" t="s">
        <v>2968</v>
      </c>
      <c r="O659" t="s">
        <v>68</v>
      </c>
      <c r="P659" t="s">
        <v>69</v>
      </c>
      <c r="Q659" t="s">
        <v>70</v>
      </c>
      <c r="R659">
        <v>40421.43</v>
      </c>
      <c r="S659" s="25" t="e">
        <f>IF(Table1[[#This Row],[Sales]]=MIN(Table1[Sales]), Table1[[#This Row],[Sales]], NA())</f>
        <v>#N/A</v>
      </c>
      <c r="T659" s="25">
        <f>IF(AND(Table1[[#This Row],[Sales]]&lt;&gt;MIN(Table1[Sales]),Table1[[#This Row],[Sales]]&lt;&gt;MAX(Table1[Sales])), Table1[[#This Row],[Sales]], NA())</f>
        <v>40421.43</v>
      </c>
      <c r="U659" s="25" t="e">
        <f>IF(Table1[[#This Row],[Sales]]=MAX(Table1[Sales]), Table1[[#This Row],[Sales]], NA())</f>
        <v>#N/A</v>
      </c>
      <c r="V659">
        <v>3</v>
      </c>
      <c r="W659">
        <v>0.1</v>
      </c>
      <c r="X659">
        <v>2223.1799999999998</v>
      </c>
      <c r="Y659" s="3">
        <f>YEAR(Table1[[#This Row],[Order Date]])</f>
        <v>2022</v>
      </c>
      <c r="Z659" s="3" t="str">
        <f>TEXT(Table1[[#This Row],[Order Date]],"MMM")</f>
        <v>May</v>
      </c>
      <c r="AA659" s="3">
        <f>DAY(Table1[[#This Row],[Order Date]])</f>
        <v>21</v>
      </c>
    </row>
    <row r="660" spans="1:27" x14ac:dyDescent="0.35">
      <c r="A660" s="1">
        <v>659</v>
      </c>
      <c r="B660" s="1" t="s">
        <v>2969</v>
      </c>
      <c r="C660" s="1" t="s">
        <v>1141</v>
      </c>
      <c r="D660" s="1" t="s">
        <v>914</v>
      </c>
      <c r="E660" t="s">
        <v>115</v>
      </c>
      <c r="F660" t="s">
        <v>2970</v>
      </c>
      <c r="G660" t="s">
        <v>140</v>
      </c>
      <c r="H660" t="s">
        <v>41</v>
      </c>
      <c r="I660" s="1" t="s">
        <v>28</v>
      </c>
      <c r="J660" t="s">
        <v>128</v>
      </c>
      <c r="K660" t="s">
        <v>129</v>
      </c>
      <c r="L660" s="1">
        <v>638670</v>
      </c>
      <c r="M660" s="1" t="s">
        <v>66</v>
      </c>
      <c r="N660" t="s">
        <v>2971</v>
      </c>
      <c r="O660" t="s">
        <v>46</v>
      </c>
      <c r="P660" t="s">
        <v>47</v>
      </c>
      <c r="Q660" t="s">
        <v>48</v>
      </c>
      <c r="R660">
        <v>51853.14</v>
      </c>
      <c r="S660" s="25" t="e">
        <f>IF(Table1[[#This Row],[Sales]]=MIN(Table1[Sales]), Table1[[#This Row],[Sales]], NA())</f>
        <v>#N/A</v>
      </c>
      <c r="T660" s="25">
        <f>IF(AND(Table1[[#This Row],[Sales]]&lt;&gt;MIN(Table1[Sales]),Table1[[#This Row],[Sales]]&lt;&gt;MAX(Table1[Sales])), Table1[[#This Row],[Sales]], NA())</f>
        <v>51853.14</v>
      </c>
      <c r="U660" s="25" t="e">
        <f>IF(Table1[[#This Row],[Sales]]=MAX(Table1[Sales]), Table1[[#This Row],[Sales]], NA())</f>
        <v>#N/A</v>
      </c>
      <c r="V660">
        <v>4</v>
      </c>
      <c r="W660">
        <v>0.1</v>
      </c>
      <c r="X660">
        <v>2851.92</v>
      </c>
      <c r="Y660" s="3">
        <f>YEAR(Table1[[#This Row],[Order Date]])</f>
        <v>2022</v>
      </c>
      <c r="Z660" s="3" t="str">
        <f>TEXT(Table1[[#This Row],[Order Date]],"MMM")</f>
        <v>Nov</v>
      </c>
      <c r="AA660" s="3">
        <f>DAY(Table1[[#This Row],[Order Date]])</f>
        <v>13</v>
      </c>
    </row>
    <row r="661" spans="1:27" x14ac:dyDescent="0.35">
      <c r="A661" s="1">
        <v>660</v>
      </c>
      <c r="B661" s="1" t="s">
        <v>2972</v>
      </c>
      <c r="C661" s="1" t="s">
        <v>803</v>
      </c>
      <c r="D661" s="1" t="s">
        <v>804</v>
      </c>
      <c r="E661" t="s">
        <v>115</v>
      </c>
      <c r="F661" t="s">
        <v>2973</v>
      </c>
      <c r="G661" t="s">
        <v>110</v>
      </c>
      <c r="H661" t="s">
        <v>41</v>
      </c>
      <c r="I661" s="1" t="s">
        <v>28</v>
      </c>
      <c r="J661" t="s">
        <v>53</v>
      </c>
      <c r="K661" t="s">
        <v>54</v>
      </c>
      <c r="L661" s="1">
        <v>208107</v>
      </c>
      <c r="M661" s="1" t="s">
        <v>55</v>
      </c>
      <c r="N661" t="s">
        <v>2974</v>
      </c>
      <c r="O661" t="s">
        <v>68</v>
      </c>
      <c r="P661" t="s">
        <v>69</v>
      </c>
      <c r="Q661" t="s">
        <v>70</v>
      </c>
      <c r="R661">
        <v>99663.62</v>
      </c>
      <c r="S661" s="25" t="e">
        <f>IF(Table1[[#This Row],[Sales]]=MIN(Table1[Sales]), Table1[[#This Row],[Sales]], NA())</f>
        <v>#N/A</v>
      </c>
      <c r="T661" s="25">
        <f>IF(AND(Table1[[#This Row],[Sales]]&lt;&gt;MIN(Table1[Sales]),Table1[[#This Row],[Sales]]&lt;&gt;MAX(Table1[Sales])), Table1[[#This Row],[Sales]], NA())</f>
        <v>99663.62</v>
      </c>
      <c r="U661" s="25" t="e">
        <f>IF(Table1[[#This Row],[Sales]]=MAX(Table1[Sales]), Table1[[#This Row],[Sales]], NA())</f>
        <v>#N/A</v>
      </c>
      <c r="V661">
        <v>10</v>
      </c>
      <c r="W661">
        <v>0.1</v>
      </c>
      <c r="X661">
        <v>5481.5</v>
      </c>
      <c r="Y661" s="3">
        <f>YEAR(Table1[[#This Row],[Order Date]])</f>
        <v>2023</v>
      </c>
      <c r="Z661" s="3" t="str">
        <f>TEXT(Table1[[#This Row],[Order Date]],"MMM")</f>
        <v>Nov</v>
      </c>
      <c r="AA661" s="3">
        <f>DAY(Table1[[#This Row],[Order Date]])</f>
        <v>25</v>
      </c>
    </row>
    <row r="662" spans="1:27" x14ac:dyDescent="0.35">
      <c r="A662" s="1">
        <v>661</v>
      </c>
      <c r="B662" s="1" t="s">
        <v>2975</v>
      </c>
      <c r="C662" s="1" t="s">
        <v>2976</v>
      </c>
      <c r="D662" s="1" t="s">
        <v>2977</v>
      </c>
      <c r="E662" t="s">
        <v>115</v>
      </c>
      <c r="F662" t="s">
        <v>2978</v>
      </c>
      <c r="G662" t="s">
        <v>140</v>
      </c>
      <c r="H662" t="s">
        <v>41</v>
      </c>
      <c r="I662" s="1" t="s">
        <v>28</v>
      </c>
      <c r="J662" t="s">
        <v>64</v>
      </c>
      <c r="K662" t="s">
        <v>65</v>
      </c>
      <c r="L662" s="1">
        <v>548371</v>
      </c>
      <c r="M662" s="1" t="s">
        <v>66</v>
      </c>
      <c r="N662" t="s">
        <v>2979</v>
      </c>
      <c r="O662" t="s">
        <v>46</v>
      </c>
      <c r="P662" t="s">
        <v>47</v>
      </c>
      <c r="Q662" t="s">
        <v>48</v>
      </c>
      <c r="R662">
        <v>36389.19</v>
      </c>
      <c r="S662" s="25" t="e">
        <f>IF(Table1[[#This Row],[Sales]]=MIN(Table1[Sales]), Table1[[#This Row],[Sales]], NA())</f>
        <v>#N/A</v>
      </c>
      <c r="T662" s="25">
        <f>IF(AND(Table1[[#This Row],[Sales]]&lt;&gt;MIN(Table1[Sales]),Table1[[#This Row],[Sales]]&lt;&gt;MAX(Table1[Sales])), Table1[[#This Row],[Sales]], NA())</f>
        <v>36389.19</v>
      </c>
      <c r="U662" s="25" t="e">
        <f>IF(Table1[[#This Row],[Sales]]=MAX(Table1[Sales]), Table1[[#This Row],[Sales]], NA())</f>
        <v>#N/A</v>
      </c>
      <c r="V662">
        <v>8</v>
      </c>
      <c r="W662">
        <v>0.1</v>
      </c>
      <c r="X662">
        <v>2001.41</v>
      </c>
      <c r="Y662" s="3">
        <f>YEAR(Table1[[#This Row],[Order Date]])</f>
        <v>2024</v>
      </c>
      <c r="Z662" s="3" t="str">
        <f>TEXT(Table1[[#This Row],[Order Date]],"MMM")</f>
        <v>Jan</v>
      </c>
      <c r="AA662" s="3">
        <f>DAY(Table1[[#This Row],[Order Date]])</f>
        <v>19</v>
      </c>
    </row>
    <row r="663" spans="1:27" x14ac:dyDescent="0.35">
      <c r="A663" s="1">
        <v>662</v>
      </c>
      <c r="B663" s="1" t="s">
        <v>2980</v>
      </c>
      <c r="C663" s="1" t="s">
        <v>2251</v>
      </c>
      <c r="D663" s="1" t="s">
        <v>954</v>
      </c>
      <c r="E663" t="s">
        <v>115</v>
      </c>
      <c r="F663" t="s">
        <v>2981</v>
      </c>
      <c r="G663" t="s">
        <v>188</v>
      </c>
      <c r="H663" t="s">
        <v>27</v>
      </c>
      <c r="I663" s="1" t="s">
        <v>28</v>
      </c>
      <c r="J663" t="s">
        <v>53</v>
      </c>
      <c r="K663" t="s">
        <v>54</v>
      </c>
      <c r="L663" s="1">
        <v>418043</v>
      </c>
      <c r="M663" s="1" t="s">
        <v>55</v>
      </c>
      <c r="N663" t="s">
        <v>2982</v>
      </c>
      <c r="O663" t="s">
        <v>46</v>
      </c>
      <c r="P663" t="s">
        <v>57</v>
      </c>
      <c r="Q663" t="s">
        <v>58</v>
      </c>
      <c r="R663">
        <v>96181.18</v>
      </c>
      <c r="S663" s="25" t="e">
        <f>IF(Table1[[#This Row],[Sales]]=MIN(Table1[Sales]), Table1[[#This Row],[Sales]], NA())</f>
        <v>#N/A</v>
      </c>
      <c r="T663" s="25">
        <f>IF(AND(Table1[[#This Row],[Sales]]&lt;&gt;MIN(Table1[Sales]),Table1[[#This Row],[Sales]]&lt;&gt;MAX(Table1[Sales])), Table1[[#This Row],[Sales]], NA())</f>
        <v>96181.18</v>
      </c>
      <c r="U663" s="25" t="e">
        <f>IF(Table1[[#This Row],[Sales]]=MAX(Table1[Sales]), Table1[[#This Row],[Sales]], NA())</f>
        <v>#N/A</v>
      </c>
      <c r="V663">
        <v>10</v>
      </c>
      <c r="W663">
        <v>0.2</v>
      </c>
      <c r="X663">
        <v>2885.44</v>
      </c>
      <c r="Y663" s="3">
        <f>YEAR(Table1[[#This Row],[Order Date]])</f>
        <v>2025</v>
      </c>
      <c r="Z663" s="3" t="str">
        <f>TEXT(Table1[[#This Row],[Order Date]],"MMM")</f>
        <v>Sep</v>
      </c>
      <c r="AA663" s="3">
        <f>DAY(Table1[[#This Row],[Order Date]])</f>
        <v>22</v>
      </c>
    </row>
    <row r="664" spans="1:27" x14ac:dyDescent="0.35">
      <c r="A664" s="1">
        <v>663</v>
      </c>
      <c r="B664" s="1" t="s">
        <v>2983</v>
      </c>
      <c r="C664" s="1" t="s">
        <v>774</v>
      </c>
      <c r="D664" s="1" t="s">
        <v>2984</v>
      </c>
      <c r="E664" t="s">
        <v>38</v>
      </c>
      <c r="F664" t="s">
        <v>2985</v>
      </c>
      <c r="G664" t="s">
        <v>188</v>
      </c>
      <c r="H664" t="s">
        <v>41</v>
      </c>
      <c r="I664" s="1" t="s">
        <v>28</v>
      </c>
      <c r="J664" t="s">
        <v>29</v>
      </c>
      <c r="K664" t="s">
        <v>29</v>
      </c>
      <c r="L664" s="1">
        <v>177330</v>
      </c>
      <c r="M664" s="1" t="s">
        <v>30</v>
      </c>
      <c r="N664" t="s">
        <v>2986</v>
      </c>
      <c r="O664" t="s">
        <v>32</v>
      </c>
      <c r="P664" t="s">
        <v>33</v>
      </c>
      <c r="Q664" t="s">
        <v>34</v>
      </c>
      <c r="R664">
        <v>43967.88</v>
      </c>
      <c r="S664" s="25" t="e">
        <f>IF(Table1[[#This Row],[Sales]]=MIN(Table1[Sales]), Table1[[#This Row],[Sales]], NA())</f>
        <v>#N/A</v>
      </c>
      <c r="T664" s="25">
        <f>IF(AND(Table1[[#This Row],[Sales]]&lt;&gt;MIN(Table1[Sales]),Table1[[#This Row],[Sales]]&lt;&gt;MAX(Table1[Sales])), Table1[[#This Row],[Sales]], NA())</f>
        <v>43967.88</v>
      </c>
      <c r="U664" s="25" t="e">
        <f>IF(Table1[[#This Row],[Sales]]=MAX(Table1[Sales]), Table1[[#This Row],[Sales]], NA())</f>
        <v>#N/A</v>
      </c>
      <c r="V664">
        <v>10</v>
      </c>
      <c r="W664">
        <v>0</v>
      </c>
      <c r="X664">
        <v>3517.43</v>
      </c>
      <c r="Y664" s="3">
        <f>YEAR(Table1[[#This Row],[Order Date]])</f>
        <v>2022</v>
      </c>
      <c r="Z664" s="3" t="str">
        <f>TEXT(Table1[[#This Row],[Order Date]],"MMM")</f>
        <v>Jun</v>
      </c>
      <c r="AA664" s="3">
        <f>DAY(Table1[[#This Row],[Order Date]])</f>
        <v>6</v>
      </c>
    </row>
    <row r="665" spans="1:27" x14ac:dyDescent="0.35">
      <c r="A665" s="1">
        <v>664</v>
      </c>
      <c r="B665" s="1" t="s">
        <v>2987</v>
      </c>
      <c r="C665" s="1" t="s">
        <v>2988</v>
      </c>
      <c r="D665" s="1" t="s">
        <v>2989</v>
      </c>
      <c r="E665" t="s">
        <v>115</v>
      </c>
      <c r="F665" t="s">
        <v>2990</v>
      </c>
      <c r="G665" t="s">
        <v>110</v>
      </c>
      <c r="H665" t="s">
        <v>94</v>
      </c>
      <c r="I665" s="1" t="s">
        <v>28</v>
      </c>
      <c r="J665" t="s">
        <v>29</v>
      </c>
      <c r="K665" t="s">
        <v>29</v>
      </c>
      <c r="L665" s="1">
        <v>779063</v>
      </c>
      <c r="M665" s="1" t="s">
        <v>30</v>
      </c>
      <c r="N665" t="s">
        <v>2991</v>
      </c>
      <c r="O665" t="s">
        <v>46</v>
      </c>
      <c r="P665" t="s">
        <v>57</v>
      </c>
      <c r="Q665" t="s">
        <v>58</v>
      </c>
      <c r="R665">
        <v>18693.05</v>
      </c>
      <c r="S665" s="25" t="e">
        <f>IF(Table1[[#This Row],[Sales]]=MIN(Table1[Sales]), Table1[[#This Row],[Sales]], NA())</f>
        <v>#N/A</v>
      </c>
      <c r="T665" s="25">
        <f>IF(AND(Table1[[#This Row],[Sales]]&lt;&gt;MIN(Table1[Sales]),Table1[[#This Row],[Sales]]&lt;&gt;MAX(Table1[Sales])), Table1[[#This Row],[Sales]], NA())</f>
        <v>18693.05</v>
      </c>
      <c r="U665" s="25" t="e">
        <f>IF(Table1[[#This Row],[Sales]]=MAX(Table1[Sales]), Table1[[#This Row],[Sales]], NA())</f>
        <v>#N/A</v>
      </c>
      <c r="V665">
        <v>10</v>
      </c>
      <c r="W665">
        <v>0.2</v>
      </c>
      <c r="X665">
        <v>560.79</v>
      </c>
      <c r="Y665" s="3">
        <f>YEAR(Table1[[#This Row],[Order Date]])</f>
        <v>2024</v>
      </c>
      <c r="Z665" s="3" t="str">
        <f>TEXT(Table1[[#This Row],[Order Date]],"MMM")</f>
        <v>Oct</v>
      </c>
      <c r="AA665" s="3">
        <f>DAY(Table1[[#This Row],[Order Date]])</f>
        <v>24</v>
      </c>
    </row>
    <row r="666" spans="1:27" x14ac:dyDescent="0.35">
      <c r="A666" s="1">
        <v>665</v>
      </c>
      <c r="B666" s="1" t="s">
        <v>2992</v>
      </c>
      <c r="C666" s="1" t="s">
        <v>2597</v>
      </c>
      <c r="D666" s="1" t="s">
        <v>2993</v>
      </c>
      <c r="E666" t="s">
        <v>62</v>
      </c>
      <c r="F666" t="s">
        <v>2994</v>
      </c>
      <c r="G666" t="s">
        <v>188</v>
      </c>
      <c r="H666" t="s">
        <v>94</v>
      </c>
      <c r="I666" s="1" t="s">
        <v>28</v>
      </c>
      <c r="J666" t="s">
        <v>128</v>
      </c>
      <c r="K666" t="s">
        <v>129</v>
      </c>
      <c r="L666" s="1">
        <v>415526</v>
      </c>
      <c r="M666" s="1" t="s">
        <v>66</v>
      </c>
      <c r="N666" t="s">
        <v>2995</v>
      </c>
      <c r="O666" t="s">
        <v>46</v>
      </c>
      <c r="P666" t="s">
        <v>47</v>
      </c>
      <c r="Q666" t="s">
        <v>48</v>
      </c>
      <c r="R666">
        <v>18174.740000000002</v>
      </c>
      <c r="S666" s="25" t="e">
        <f>IF(Table1[[#This Row],[Sales]]=MIN(Table1[Sales]), Table1[[#This Row],[Sales]], NA())</f>
        <v>#N/A</v>
      </c>
      <c r="T666" s="25">
        <f>IF(AND(Table1[[#This Row],[Sales]]&lt;&gt;MIN(Table1[Sales]),Table1[[#This Row],[Sales]]&lt;&gt;MAX(Table1[Sales])), Table1[[#This Row],[Sales]], NA())</f>
        <v>18174.740000000002</v>
      </c>
      <c r="U666" s="25" t="e">
        <f>IF(Table1[[#This Row],[Sales]]=MAX(Table1[Sales]), Table1[[#This Row],[Sales]], NA())</f>
        <v>#N/A</v>
      </c>
      <c r="V666">
        <v>7</v>
      </c>
      <c r="W666">
        <v>0</v>
      </c>
      <c r="X666">
        <v>1453.98</v>
      </c>
      <c r="Y666" s="3">
        <f>YEAR(Table1[[#This Row],[Order Date]])</f>
        <v>2024</v>
      </c>
      <c r="Z666" s="3" t="str">
        <f>TEXT(Table1[[#This Row],[Order Date]],"MMM")</f>
        <v>Mar</v>
      </c>
      <c r="AA666" s="3">
        <f>DAY(Table1[[#This Row],[Order Date]])</f>
        <v>21</v>
      </c>
    </row>
    <row r="667" spans="1:27" x14ac:dyDescent="0.35">
      <c r="A667" s="1">
        <v>666</v>
      </c>
      <c r="B667" s="1" t="s">
        <v>2996</v>
      </c>
      <c r="C667" s="1" t="s">
        <v>2997</v>
      </c>
      <c r="D667" s="1" t="s">
        <v>2998</v>
      </c>
      <c r="E667" t="s">
        <v>24</v>
      </c>
      <c r="F667" t="s">
        <v>2999</v>
      </c>
      <c r="G667" t="s">
        <v>140</v>
      </c>
      <c r="H667" t="s">
        <v>94</v>
      </c>
      <c r="I667" s="1" t="s">
        <v>28</v>
      </c>
      <c r="J667" t="s">
        <v>42</v>
      </c>
      <c r="K667" t="s">
        <v>43</v>
      </c>
      <c r="L667" s="1">
        <v>843877</v>
      </c>
      <c r="M667" s="1" t="s">
        <v>44</v>
      </c>
      <c r="N667" t="s">
        <v>3000</v>
      </c>
      <c r="O667" t="s">
        <v>46</v>
      </c>
      <c r="P667" t="s">
        <v>57</v>
      </c>
      <c r="Q667" t="s">
        <v>58</v>
      </c>
      <c r="R667">
        <v>46812.46</v>
      </c>
      <c r="S667" s="25" t="e">
        <f>IF(Table1[[#This Row],[Sales]]=MIN(Table1[Sales]), Table1[[#This Row],[Sales]], NA())</f>
        <v>#N/A</v>
      </c>
      <c r="T667" s="25">
        <f>IF(AND(Table1[[#This Row],[Sales]]&lt;&gt;MIN(Table1[Sales]),Table1[[#This Row],[Sales]]&lt;&gt;MAX(Table1[Sales])), Table1[[#This Row],[Sales]], NA())</f>
        <v>46812.46</v>
      </c>
      <c r="U667" s="25" t="e">
        <f>IF(Table1[[#This Row],[Sales]]=MAX(Table1[Sales]), Table1[[#This Row],[Sales]], NA())</f>
        <v>#N/A</v>
      </c>
      <c r="V667">
        <v>8</v>
      </c>
      <c r="W667">
        <v>0.3</v>
      </c>
      <c r="X667">
        <v>234.06</v>
      </c>
      <c r="Y667" s="3">
        <f>YEAR(Table1[[#This Row],[Order Date]])</f>
        <v>2021</v>
      </c>
      <c r="Z667" s="3" t="str">
        <f>TEXT(Table1[[#This Row],[Order Date]],"MMM")</f>
        <v>Feb</v>
      </c>
      <c r="AA667" s="3">
        <f>DAY(Table1[[#This Row],[Order Date]])</f>
        <v>19</v>
      </c>
    </row>
    <row r="668" spans="1:27" x14ac:dyDescent="0.35">
      <c r="A668" s="1">
        <v>667</v>
      </c>
      <c r="B668" s="1" t="s">
        <v>3001</v>
      </c>
      <c r="C668" s="1" t="s">
        <v>3002</v>
      </c>
      <c r="D668" s="1" t="s">
        <v>1228</v>
      </c>
      <c r="E668" t="s">
        <v>24</v>
      </c>
      <c r="F668" t="s">
        <v>3003</v>
      </c>
      <c r="G668" t="s">
        <v>140</v>
      </c>
      <c r="H668" t="s">
        <v>94</v>
      </c>
      <c r="I668" s="1" t="s">
        <v>28</v>
      </c>
      <c r="J668" t="s">
        <v>53</v>
      </c>
      <c r="K668" t="s">
        <v>54</v>
      </c>
      <c r="L668" s="1">
        <v>325178</v>
      </c>
      <c r="M668" s="1" t="s">
        <v>55</v>
      </c>
      <c r="N668" t="s">
        <v>3004</v>
      </c>
      <c r="O668" t="s">
        <v>46</v>
      </c>
      <c r="P668" t="s">
        <v>57</v>
      </c>
      <c r="Q668" t="s">
        <v>58</v>
      </c>
      <c r="R668">
        <v>62886.89</v>
      </c>
      <c r="S668" s="25" t="e">
        <f>IF(Table1[[#This Row],[Sales]]=MIN(Table1[Sales]), Table1[[#This Row],[Sales]], NA())</f>
        <v>#N/A</v>
      </c>
      <c r="T668" s="25">
        <f>IF(AND(Table1[[#This Row],[Sales]]&lt;&gt;MIN(Table1[Sales]),Table1[[#This Row],[Sales]]&lt;&gt;MAX(Table1[Sales])), Table1[[#This Row],[Sales]], NA())</f>
        <v>62886.89</v>
      </c>
      <c r="U668" s="25" t="e">
        <f>IF(Table1[[#This Row],[Sales]]=MAX(Table1[Sales]), Table1[[#This Row],[Sales]], NA())</f>
        <v>#N/A</v>
      </c>
      <c r="V668">
        <v>6</v>
      </c>
      <c r="W668">
        <v>0.3</v>
      </c>
      <c r="X668">
        <v>314.43</v>
      </c>
      <c r="Y668" s="3">
        <f>YEAR(Table1[[#This Row],[Order Date]])</f>
        <v>2025</v>
      </c>
      <c r="Z668" s="3" t="str">
        <f>TEXT(Table1[[#This Row],[Order Date]],"MMM")</f>
        <v>Oct</v>
      </c>
      <c r="AA668" s="3">
        <f>DAY(Table1[[#This Row],[Order Date]])</f>
        <v>23</v>
      </c>
    </row>
    <row r="669" spans="1:27" x14ac:dyDescent="0.35">
      <c r="A669" s="1">
        <v>668</v>
      </c>
      <c r="B669" s="1" t="s">
        <v>3005</v>
      </c>
      <c r="C669" s="1" t="s">
        <v>1793</v>
      </c>
      <c r="D669" s="1" t="s">
        <v>884</v>
      </c>
      <c r="E669" t="s">
        <v>62</v>
      </c>
      <c r="F669" t="s">
        <v>3006</v>
      </c>
      <c r="G669" t="s">
        <v>40</v>
      </c>
      <c r="H669" t="s">
        <v>41</v>
      </c>
      <c r="I669" s="1" t="s">
        <v>28</v>
      </c>
      <c r="J669" t="s">
        <v>42</v>
      </c>
      <c r="K669" t="s">
        <v>43</v>
      </c>
      <c r="L669" s="1">
        <v>967232</v>
      </c>
      <c r="M669" s="1" t="s">
        <v>44</v>
      </c>
      <c r="N669" t="s">
        <v>3007</v>
      </c>
      <c r="O669" t="s">
        <v>46</v>
      </c>
      <c r="P669" t="s">
        <v>57</v>
      </c>
      <c r="Q669" t="s">
        <v>58</v>
      </c>
      <c r="R669">
        <v>74518.179999999993</v>
      </c>
      <c r="S669" s="25" t="e">
        <f>IF(Table1[[#This Row],[Sales]]=MIN(Table1[Sales]), Table1[[#This Row],[Sales]], NA())</f>
        <v>#N/A</v>
      </c>
      <c r="T669" s="25">
        <f>IF(AND(Table1[[#This Row],[Sales]]&lt;&gt;MIN(Table1[Sales]),Table1[[#This Row],[Sales]]&lt;&gt;MAX(Table1[Sales])), Table1[[#This Row],[Sales]], NA())</f>
        <v>74518.179999999993</v>
      </c>
      <c r="U669" s="25" t="e">
        <f>IF(Table1[[#This Row],[Sales]]=MAX(Table1[Sales]), Table1[[#This Row],[Sales]], NA())</f>
        <v>#N/A</v>
      </c>
      <c r="V669">
        <v>8</v>
      </c>
      <c r="W669">
        <v>0.3</v>
      </c>
      <c r="X669">
        <v>372.59</v>
      </c>
      <c r="Y669" s="3">
        <f>YEAR(Table1[[#This Row],[Order Date]])</f>
        <v>2023</v>
      </c>
      <c r="Z669" s="3" t="str">
        <f>TEXT(Table1[[#This Row],[Order Date]],"MMM")</f>
        <v>Oct</v>
      </c>
      <c r="AA669" s="3">
        <f>DAY(Table1[[#This Row],[Order Date]])</f>
        <v>8</v>
      </c>
    </row>
    <row r="670" spans="1:27" x14ac:dyDescent="0.35">
      <c r="A670" s="1">
        <v>669</v>
      </c>
      <c r="B670" s="1" t="s">
        <v>3008</v>
      </c>
      <c r="C670" s="1" t="s">
        <v>1508</v>
      </c>
      <c r="D670" s="1" t="s">
        <v>2092</v>
      </c>
      <c r="E670" t="s">
        <v>62</v>
      </c>
      <c r="F670" t="s">
        <v>3009</v>
      </c>
      <c r="G670" t="s">
        <v>110</v>
      </c>
      <c r="H670" t="s">
        <v>94</v>
      </c>
      <c r="I670" s="1" t="s">
        <v>28</v>
      </c>
      <c r="J670" t="s">
        <v>128</v>
      </c>
      <c r="K670" t="s">
        <v>129</v>
      </c>
      <c r="L670" s="1">
        <v>212550</v>
      </c>
      <c r="M670" s="1" t="s">
        <v>66</v>
      </c>
      <c r="N670" t="s">
        <v>3010</v>
      </c>
      <c r="O670" t="s">
        <v>46</v>
      </c>
      <c r="P670" t="s">
        <v>47</v>
      </c>
      <c r="Q670" t="s">
        <v>48</v>
      </c>
      <c r="R670">
        <v>18500.46</v>
      </c>
      <c r="S670" s="25" t="e">
        <f>IF(Table1[[#This Row],[Sales]]=MIN(Table1[Sales]), Table1[[#This Row],[Sales]], NA())</f>
        <v>#N/A</v>
      </c>
      <c r="T670" s="25">
        <f>IF(AND(Table1[[#This Row],[Sales]]&lt;&gt;MIN(Table1[Sales]),Table1[[#This Row],[Sales]]&lt;&gt;MAX(Table1[Sales])), Table1[[#This Row],[Sales]], NA())</f>
        <v>18500.46</v>
      </c>
      <c r="U670" s="25" t="e">
        <f>IF(Table1[[#This Row],[Sales]]=MAX(Table1[Sales]), Table1[[#This Row],[Sales]], NA())</f>
        <v>#N/A</v>
      </c>
      <c r="V670">
        <v>3</v>
      </c>
      <c r="W670">
        <v>0.3</v>
      </c>
      <c r="X670">
        <v>92.5</v>
      </c>
      <c r="Y670" s="3">
        <f>YEAR(Table1[[#This Row],[Order Date]])</f>
        <v>2021</v>
      </c>
      <c r="Z670" s="3" t="str">
        <f>TEXT(Table1[[#This Row],[Order Date]],"MMM")</f>
        <v>Oct</v>
      </c>
      <c r="AA670" s="3">
        <f>DAY(Table1[[#This Row],[Order Date]])</f>
        <v>9</v>
      </c>
    </row>
    <row r="671" spans="1:27" x14ac:dyDescent="0.35">
      <c r="A671" s="1">
        <v>670</v>
      </c>
      <c r="B671" s="1" t="s">
        <v>3011</v>
      </c>
      <c r="C671" s="1" t="s">
        <v>360</v>
      </c>
      <c r="D671" s="1" t="s">
        <v>3012</v>
      </c>
      <c r="E671" t="s">
        <v>115</v>
      </c>
      <c r="F671" t="s">
        <v>3013</v>
      </c>
      <c r="G671" t="s">
        <v>93</v>
      </c>
      <c r="H671" t="s">
        <v>94</v>
      </c>
      <c r="I671" s="1" t="s">
        <v>28</v>
      </c>
      <c r="J671" t="s">
        <v>53</v>
      </c>
      <c r="K671" t="s">
        <v>54</v>
      </c>
      <c r="L671" s="1">
        <v>985098</v>
      </c>
      <c r="M671" s="1" t="s">
        <v>55</v>
      </c>
      <c r="N671" t="s">
        <v>3014</v>
      </c>
      <c r="O671" t="s">
        <v>46</v>
      </c>
      <c r="P671" t="s">
        <v>57</v>
      </c>
      <c r="Q671" t="s">
        <v>58</v>
      </c>
      <c r="R671">
        <v>88497.66</v>
      </c>
      <c r="S671" s="25" t="e">
        <f>IF(Table1[[#This Row],[Sales]]=MIN(Table1[Sales]), Table1[[#This Row],[Sales]], NA())</f>
        <v>#N/A</v>
      </c>
      <c r="T671" s="25">
        <f>IF(AND(Table1[[#This Row],[Sales]]&lt;&gt;MIN(Table1[Sales]),Table1[[#This Row],[Sales]]&lt;&gt;MAX(Table1[Sales])), Table1[[#This Row],[Sales]], NA())</f>
        <v>88497.66</v>
      </c>
      <c r="U671" s="25" t="e">
        <f>IF(Table1[[#This Row],[Sales]]=MAX(Table1[Sales]), Table1[[#This Row],[Sales]], NA())</f>
        <v>#N/A</v>
      </c>
      <c r="V671">
        <v>8</v>
      </c>
      <c r="W671">
        <v>0.1</v>
      </c>
      <c r="X671">
        <v>4867.37</v>
      </c>
      <c r="Y671" s="3">
        <f>YEAR(Table1[[#This Row],[Order Date]])</f>
        <v>2025</v>
      </c>
      <c r="Z671" s="3" t="str">
        <f>TEXT(Table1[[#This Row],[Order Date]],"MMM")</f>
        <v>Mar</v>
      </c>
      <c r="AA671" s="3">
        <f>DAY(Table1[[#This Row],[Order Date]])</f>
        <v>18</v>
      </c>
    </row>
    <row r="672" spans="1:27" x14ac:dyDescent="0.35">
      <c r="A672" s="1">
        <v>671</v>
      </c>
      <c r="B672" s="1" t="s">
        <v>3015</v>
      </c>
      <c r="C672" s="1" t="s">
        <v>3016</v>
      </c>
      <c r="D672" s="1" t="s">
        <v>910</v>
      </c>
      <c r="E672" t="s">
        <v>115</v>
      </c>
      <c r="F672" t="s">
        <v>3017</v>
      </c>
      <c r="G672" t="s">
        <v>87</v>
      </c>
      <c r="H672" t="s">
        <v>94</v>
      </c>
      <c r="I672" s="1" t="s">
        <v>28</v>
      </c>
      <c r="J672" t="s">
        <v>128</v>
      </c>
      <c r="K672" t="s">
        <v>129</v>
      </c>
      <c r="L672" s="1">
        <v>732601</v>
      </c>
      <c r="M672" s="1" t="s">
        <v>66</v>
      </c>
      <c r="N672" t="s">
        <v>3018</v>
      </c>
      <c r="O672" t="s">
        <v>46</v>
      </c>
      <c r="P672" t="s">
        <v>47</v>
      </c>
      <c r="Q672" t="s">
        <v>48</v>
      </c>
      <c r="R672">
        <v>37346.449999999997</v>
      </c>
      <c r="S672" s="25" t="e">
        <f>IF(Table1[[#This Row],[Sales]]=MIN(Table1[Sales]), Table1[[#This Row],[Sales]], NA())</f>
        <v>#N/A</v>
      </c>
      <c r="T672" s="25">
        <f>IF(AND(Table1[[#This Row],[Sales]]&lt;&gt;MIN(Table1[Sales]),Table1[[#This Row],[Sales]]&lt;&gt;MAX(Table1[Sales])), Table1[[#This Row],[Sales]], NA())</f>
        <v>37346.449999999997</v>
      </c>
      <c r="U672" s="25" t="e">
        <f>IF(Table1[[#This Row],[Sales]]=MAX(Table1[Sales]), Table1[[#This Row],[Sales]], NA())</f>
        <v>#N/A</v>
      </c>
      <c r="V672">
        <v>7</v>
      </c>
      <c r="W672">
        <v>0.1</v>
      </c>
      <c r="X672">
        <v>2054.0500000000002</v>
      </c>
      <c r="Y672" s="3">
        <f>YEAR(Table1[[#This Row],[Order Date]])</f>
        <v>2021</v>
      </c>
      <c r="Z672" s="3" t="str">
        <f>TEXT(Table1[[#This Row],[Order Date]],"MMM")</f>
        <v>Feb</v>
      </c>
      <c r="AA672" s="3">
        <f>DAY(Table1[[#This Row],[Order Date]])</f>
        <v>1</v>
      </c>
    </row>
    <row r="673" spans="1:27" x14ac:dyDescent="0.35">
      <c r="A673" s="1">
        <v>672</v>
      </c>
      <c r="B673" s="1" t="s">
        <v>3019</v>
      </c>
      <c r="C673" s="1" t="s">
        <v>964</v>
      </c>
      <c r="D673" s="1" t="s">
        <v>1441</v>
      </c>
      <c r="E673" t="s">
        <v>115</v>
      </c>
      <c r="F673" t="s">
        <v>3020</v>
      </c>
      <c r="G673" t="s">
        <v>140</v>
      </c>
      <c r="H673" t="s">
        <v>27</v>
      </c>
      <c r="I673" s="1" t="s">
        <v>28</v>
      </c>
      <c r="J673" t="s">
        <v>29</v>
      </c>
      <c r="K673" t="s">
        <v>29</v>
      </c>
      <c r="L673" s="1">
        <v>119634</v>
      </c>
      <c r="M673" s="1" t="s">
        <v>30</v>
      </c>
      <c r="N673" t="s">
        <v>3021</v>
      </c>
      <c r="O673" t="s">
        <v>68</v>
      </c>
      <c r="P673" t="s">
        <v>69</v>
      </c>
      <c r="Q673" t="s">
        <v>70</v>
      </c>
      <c r="R673">
        <v>70730.210000000006</v>
      </c>
      <c r="S673" s="25" t="e">
        <f>IF(Table1[[#This Row],[Sales]]=MIN(Table1[Sales]), Table1[[#This Row],[Sales]], NA())</f>
        <v>#N/A</v>
      </c>
      <c r="T673" s="25">
        <f>IF(AND(Table1[[#This Row],[Sales]]&lt;&gt;MIN(Table1[Sales]),Table1[[#This Row],[Sales]]&lt;&gt;MAX(Table1[Sales])), Table1[[#This Row],[Sales]], NA())</f>
        <v>70730.210000000006</v>
      </c>
      <c r="U673" s="25" t="e">
        <f>IF(Table1[[#This Row],[Sales]]=MAX(Table1[Sales]), Table1[[#This Row],[Sales]], NA())</f>
        <v>#N/A</v>
      </c>
      <c r="V673">
        <v>4</v>
      </c>
      <c r="W673">
        <v>0</v>
      </c>
      <c r="X673">
        <v>5658.42</v>
      </c>
      <c r="Y673" s="3">
        <f>YEAR(Table1[[#This Row],[Order Date]])</f>
        <v>2023</v>
      </c>
      <c r="Z673" s="3" t="str">
        <f>TEXT(Table1[[#This Row],[Order Date]],"MMM")</f>
        <v>Jun</v>
      </c>
      <c r="AA673" s="3">
        <f>DAY(Table1[[#This Row],[Order Date]])</f>
        <v>11</v>
      </c>
    </row>
    <row r="674" spans="1:27" x14ac:dyDescent="0.35">
      <c r="A674" s="1">
        <v>673</v>
      </c>
      <c r="B674" s="1" t="s">
        <v>3022</v>
      </c>
      <c r="C674" s="1" t="s">
        <v>2653</v>
      </c>
      <c r="D674" s="1" t="s">
        <v>481</v>
      </c>
      <c r="E674" t="s">
        <v>38</v>
      </c>
      <c r="F674" t="s">
        <v>3023</v>
      </c>
      <c r="G674" t="s">
        <v>140</v>
      </c>
      <c r="H674" t="s">
        <v>41</v>
      </c>
      <c r="I674" s="1" t="s">
        <v>28</v>
      </c>
      <c r="J674" t="s">
        <v>53</v>
      </c>
      <c r="K674" t="s">
        <v>54</v>
      </c>
      <c r="L674" s="1">
        <v>859910</v>
      </c>
      <c r="M674" s="1" t="s">
        <v>55</v>
      </c>
      <c r="N674" t="s">
        <v>3024</v>
      </c>
      <c r="O674" t="s">
        <v>46</v>
      </c>
      <c r="P674" t="s">
        <v>57</v>
      </c>
      <c r="Q674" t="s">
        <v>58</v>
      </c>
      <c r="R674">
        <v>31350.42</v>
      </c>
      <c r="S674" s="25" t="e">
        <f>IF(Table1[[#This Row],[Sales]]=MIN(Table1[Sales]), Table1[[#This Row],[Sales]], NA())</f>
        <v>#N/A</v>
      </c>
      <c r="T674" s="25">
        <f>IF(AND(Table1[[#This Row],[Sales]]&lt;&gt;MIN(Table1[Sales]),Table1[[#This Row],[Sales]]&lt;&gt;MAX(Table1[Sales])), Table1[[#This Row],[Sales]], NA())</f>
        <v>31350.42</v>
      </c>
      <c r="U674" s="25" t="e">
        <f>IF(Table1[[#This Row],[Sales]]=MAX(Table1[Sales]), Table1[[#This Row],[Sales]], NA())</f>
        <v>#N/A</v>
      </c>
      <c r="V674">
        <v>4</v>
      </c>
      <c r="W674">
        <v>0.1</v>
      </c>
      <c r="X674">
        <v>1724.27</v>
      </c>
      <c r="Y674" s="3">
        <f>YEAR(Table1[[#This Row],[Order Date]])</f>
        <v>2024</v>
      </c>
      <c r="Z674" s="3" t="str">
        <f>TEXT(Table1[[#This Row],[Order Date]],"MMM")</f>
        <v>Dec</v>
      </c>
      <c r="AA674" s="3">
        <f>DAY(Table1[[#This Row],[Order Date]])</f>
        <v>30</v>
      </c>
    </row>
    <row r="675" spans="1:27" x14ac:dyDescent="0.35">
      <c r="A675" s="1">
        <v>674</v>
      </c>
      <c r="B675" s="1" t="s">
        <v>3025</v>
      </c>
      <c r="C675" s="1" t="s">
        <v>826</v>
      </c>
      <c r="D675" s="1" t="s">
        <v>568</v>
      </c>
      <c r="E675" t="s">
        <v>24</v>
      </c>
      <c r="F675" t="s">
        <v>3026</v>
      </c>
      <c r="G675" t="s">
        <v>140</v>
      </c>
      <c r="H675" t="s">
        <v>27</v>
      </c>
      <c r="I675" s="1" t="s">
        <v>28</v>
      </c>
      <c r="J675" t="s">
        <v>128</v>
      </c>
      <c r="K675" t="s">
        <v>129</v>
      </c>
      <c r="L675" s="1">
        <v>454607</v>
      </c>
      <c r="M675" s="1" t="s">
        <v>66</v>
      </c>
      <c r="N675" t="s">
        <v>3027</v>
      </c>
      <c r="O675" t="s">
        <v>46</v>
      </c>
      <c r="P675" t="s">
        <v>57</v>
      </c>
      <c r="Q675" t="s">
        <v>58</v>
      </c>
      <c r="R675">
        <v>95957.42</v>
      </c>
      <c r="S675" s="25" t="e">
        <f>IF(Table1[[#This Row],[Sales]]=MIN(Table1[Sales]), Table1[[#This Row],[Sales]], NA())</f>
        <v>#N/A</v>
      </c>
      <c r="T675" s="25">
        <f>IF(AND(Table1[[#This Row],[Sales]]&lt;&gt;MIN(Table1[Sales]),Table1[[#This Row],[Sales]]&lt;&gt;MAX(Table1[Sales])), Table1[[#This Row],[Sales]], NA())</f>
        <v>95957.42</v>
      </c>
      <c r="U675" s="25" t="e">
        <f>IF(Table1[[#This Row],[Sales]]=MAX(Table1[Sales]), Table1[[#This Row],[Sales]], NA())</f>
        <v>#N/A</v>
      </c>
      <c r="V675">
        <v>5</v>
      </c>
      <c r="W675">
        <v>0.2</v>
      </c>
      <c r="X675">
        <v>2878.72</v>
      </c>
      <c r="Y675" s="3">
        <f>YEAR(Table1[[#This Row],[Order Date]])</f>
        <v>2022</v>
      </c>
      <c r="Z675" s="3" t="str">
        <f>TEXT(Table1[[#This Row],[Order Date]],"MMM")</f>
        <v>Sep</v>
      </c>
      <c r="AA675" s="3">
        <f>DAY(Table1[[#This Row],[Order Date]])</f>
        <v>30</v>
      </c>
    </row>
    <row r="676" spans="1:27" x14ac:dyDescent="0.35">
      <c r="A676" s="1">
        <v>675</v>
      </c>
      <c r="B676" s="1" t="s">
        <v>3028</v>
      </c>
      <c r="C676" s="1" t="s">
        <v>2429</v>
      </c>
      <c r="D676" s="1" t="s">
        <v>2161</v>
      </c>
      <c r="E676" t="s">
        <v>115</v>
      </c>
      <c r="F676" t="s">
        <v>3029</v>
      </c>
      <c r="G676" t="s">
        <v>40</v>
      </c>
      <c r="H676" t="s">
        <v>27</v>
      </c>
      <c r="I676" s="1" t="s">
        <v>28</v>
      </c>
      <c r="J676" t="s">
        <v>128</v>
      </c>
      <c r="K676" t="s">
        <v>129</v>
      </c>
      <c r="L676" s="1">
        <v>518582</v>
      </c>
      <c r="M676" s="1" t="s">
        <v>66</v>
      </c>
      <c r="N676" t="s">
        <v>3030</v>
      </c>
      <c r="O676" t="s">
        <v>32</v>
      </c>
      <c r="P676" t="s">
        <v>33</v>
      </c>
      <c r="Q676" t="s">
        <v>34</v>
      </c>
      <c r="R676">
        <v>27301.63</v>
      </c>
      <c r="S676" s="25" t="e">
        <f>IF(Table1[[#This Row],[Sales]]=MIN(Table1[Sales]), Table1[[#This Row],[Sales]], NA())</f>
        <v>#N/A</v>
      </c>
      <c r="T676" s="25">
        <f>IF(AND(Table1[[#This Row],[Sales]]&lt;&gt;MIN(Table1[Sales]),Table1[[#This Row],[Sales]]&lt;&gt;MAX(Table1[Sales])), Table1[[#This Row],[Sales]], NA())</f>
        <v>27301.63</v>
      </c>
      <c r="U676" s="25" t="e">
        <f>IF(Table1[[#This Row],[Sales]]=MAX(Table1[Sales]), Table1[[#This Row],[Sales]], NA())</f>
        <v>#N/A</v>
      </c>
      <c r="V676">
        <v>9</v>
      </c>
      <c r="W676">
        <v>0.2</v>
      </c>
      <c r="X676">
        <v>819.05</v>
      </c>
      <c r="Y676" s="3">
        <f>YEAR(Table1[[#This Row],[Order Date]])</f>
        <v>2023</v>
      </c>
      <c r="Z676" s="3" t="str">
        <f>TEXT(Table1[[#This Row],[Order Date]],"MMM")</f>
        <v>Mar</v>
      </c>
      <c r="AA676" s="3">
        <f>DAY(Table1[[#This Row],[Order Date]])</f>
        <v>5</v>
      </c>
    </row>
    <row r="677" spans="1:27" x14ac:dyDescent="0.35">
      <c r="A677" s="1">
        <v>676</v>
      </c>
      <c r="B677" s="1" t="s">
        <v>3031</v>
      </c>
      <c r="C677" s="1" t="s">
        <v>3032</v>
      </c>
      <c r="D677" s="1" t="s">
        <v>1165</v>
      </c>
      <c r="E677" t="s">
        <v>62</v>
      </c>
      <c r="F677" t="s">
        <v>3033</v>
      </c>
      <c r="G677" t="s">
        <v>140</v>
      </c>
      <c r="H677" t="s">
        <v>27</v>
      </c>
      <c r="I677" s="1" t="s">
        <v>28</v>
      </c>
      <c r="J677" t="s">
        <v>29</v>
      </c>
      <c r="K677" t="s">
        <v>29</v>
      </c>
      <c r="L677" s="1">
        <v>357678</v>
      </c>
      <c r="M677" s="1" t="s">
        <v>30</v>
      </c>
      <c r="N677" t="s">
        <v>3034</v>
      </c>
      <c r="O677" t="s">
        <v>32</v>
      </c>
      <c r="P677" t="s">
        <v>33</v>
      </c>
      <c r="Q677" t="s">
        <v>34</v>
      </c>
      <c r="R677">
        <v>8934.32</v>
      </c>
      <c r="S677" s="25" t="e">
        <f>IF(Table1[[#This Row],[Sales]]=MIN(Table1[Sales]), Table1[[#This Row],[Sales]], NA())</f>
        <v>#N/A</v>
      </c>
      <c r="T677" s="25">
        <f>IF(AND(Table1[[#This Row],[Sales]]&lt;&gt;MIN(Table1[Sales]),Table1[[#This Row],[Sales]]&lt;&gt;MAX(Table1[Sales])), Table1[[#This Row],[Sales]], NA())</f>
        <v>8934.32</v>
      </c>
      <c r="U677" s="25" t="e">
        <f>IF(Table1[[#This Row],[Sales]]=MAX(Table1[Sales]), Table1[[#This Row],[Sales]], NA())</f>
        <v>#N/A</v>
      </c>
      <c r="V677">
        <v>7</v>
      </c>
      <c r="W677">
        <v>0.3</v>
      </c>
      <c r="X677">
        <v>44.67</v>
      </c>
      <c r="Y677" s="3">
        <f>YEAR(Table1[[#This Row],[Order Date]])</f>
        <v>2021</v>
      </c>
      <c r="Z677" s="3" t="str">
        <f>TEXT(Table1[[#This Row],[Order Date]],"MMM")</f>
        <v>Feb</v>
      </c>
      <c r="AA677" s="3">
        <f>DAY(Table1[[#This Row],[Order Date]])</f>
        <v>15</v>
      </c>
    </row>
    <row r="678" spans="1:27" x14ac:dyDescent="0.35">
      <c r="A678" s="1">
        <v>677</v>
      </c>
      <c r="B678" s="1" t="s">
        <v>3035</v>
      </c>
      <c r="C678" s="1" t="s">
        <v>717</v>
      </c>
      <c r="D678" s="1" t="s">
        <v>3036</v>
      </c>
      <c r="E678" t="s">
        <v>24</v>
      </c>
      <c r="F678" t="s">
        <v>3037</v>
      </c>
      <c r="G678" t="s">
        <v>93</v>
      </c>
      <c r="H678" t="s">
        <v>94</v>
      </c>
      <c r="I678" s="1" t="s">
        <v>28</v>
      </c>
      <c r="J678" t="s">
        <v>42</v>
      </c>
      <c r="K678" t="s">
        <v>43</v>
      </c>
      <c r="L678" s="1">
        <v>195200</v>
      </c>
      <c r="M678" s="1" t="s">
        <v>44</v>
      </c>
      <c r="N678" t="s">
        <v>3038</v>
      </c>
      <c r="O678" t="s">
        <v>46</v>
      </c>
      <c r="P678" t="s">
        <v>47</v>
      </c>
      <c r="Q678" t="s">
        <v>48</v>
      </c>
      <c r="R678">
        <v>20597.14</v>
      </c>
      <c r="S678" s="25" t="e">
        <f>IF(Table1[[#This Row],[Sales]]=MIN(Table1[Sales]), Table1[[#This Row],[Sales]], NA())</f>
        <v>#N/A</v>
      </c>
      <c r="T678" s="25">
        <f>IF(AND(Table1[[#This Row],[Sales]]&lt;&gt;MIN(Table1[Sales]),Table1[[#This Row],[Sales]]&lt;&gt;MAX(Table1[Sales])), Table1[[#This Row],[Sales]], NA())</f>
        <v>20597.14</v>
      </c>
      <c r="U678" s="25" t="e">
        <f>IF(Table1[[#This Row],[Sales]]=MAX(Table1[Sales]), Table1[[#This Row],[Sales]], NA())</f>
        <v>#N/A</v>
      </c>
      <c r="V678">
        <v>3</v>
      </c>
      <c r="W678">
        <v>0.3</v>
      </c>
      <c r="X678">
        <v>102.99</v>
      </c>
      <c r="Y678" s="3">
        <f>YEAR(Table1[[#This Row],[Order Date]])</f>
        <v>2023</v>
      </c>
      <c r="Z678" s="3" t="str">
        <f>TEXT(Table1[[#This Row],[Order Date]],"MMM")</f>
        <v>Nov</v>
      </c>
      <c r="AA678" s="3">
        <f>DAY(Table1[[#This Row],[Order Date]])</f>
        <v>28</v>
      </c>
    </row>
    <row r="679" spans="1:27" x14ac:dyDescent="0.35">
      <c r="A679" s="1">
        <v>678</v>
      </c>
      <c r="B679" s="1" t="s">
        <v>3039</v>
      </c>
      <c r="C679" s="1" t="s">
        <v>1560</v>
      </c>
      <c r="D679" s="1" t="s">
        <v>2925</v>
      </c>
      <c r="E679" t="s">
        <v>38</v>
      </c>
      <c r="F679" t="s">
        <v>3040</v>
      </c>
      <c r="G679" t="s">
        <v>26</v>
      </c>
      <c r="H679" t="s">
        <v>94</v>
      </c>
      <c r="I679" s="1" t="s">
        <v>28</v>
      </c>
      <c r="J679" t="s">
        <v>53</v>
      </c>
      <c r="K679" t="s">
        <v>54</v>
      </c>
      <c r="L679" s="1">
        <v>426523</v>
      </c>
      <c r="M679" s="1" t="s">
        <v>55</v>
      </c>
      <c r="N679" t="s">
        <v>3041</v>
      </c>
      <c r="O679" t="s">
        <v>46</v>
      </c>
      <c r="P679" t="s">
        <v>47</v>
      </c>
      <c r="Q679" t="s">
        <v>48</v>
      </c>
      <c r="R679">
        <v>55895.54</v>
      </c>
      <c r="S679" s="25" t="e">
        <f>IF(Table1[[#This Row],[Sales]]=MIN(Table1[Sales]), Table1[[#This Row],[Sales]], NA())</f>
        <v>#N/A</v>
      </c>
      <c r="T679" s="25">
        <f>IF(AND(Table1[[#This Row],[Sales]]&lt;&gt;MIN(Table1[Sales]),Table1[[#This Row],[Sales]]&lt;&gt;MAX(Table1[Sales])), Table1[[#This Row],[Sales]], NA())</f>
        <v>55895.54</v>
      </c>
      <c r="U679" s="25" t="e">
        <f>IF(Table1[[#This Row],[Sales]]=MAX(Table1[Sales]), Table1[[#This Row],[Sales]], NA())</f>
        <v>#N/A</v>
      </c>
      <c r="V679">
        <v>6</v>
      </c>
      <c r="W679">
        <v>0.3</v>
      </c>
      <c r="X679">
        <v>279.48</v>
      </c>
      <c r="Y679" s="3">
        <f>YEAR(Table1[[#This Row],[Order Date]])</f>
        <v>2024</v>
      </c>
      <c r="Z679" s="3" t="str">
        <f>TEXT(Table1[[#This Row],[Order Date]],"MMM")</f>
        <v>Jul</v>
      </c>
      <c r="AA679" s="3">
        <f>DAY(Table1[[#This Row],[Order Date]])</f>
        <v>27</v>
      </c>
    </row>
    <row r="680" spans="1:27" x14ac:dyDescent="0.35">
      <c r="A680" s="1">
        <v>679</v>
      </c>
      <c r="B680" s="1" t="s">
        <v>3042</v>
      </c>
      <c r="C680" s="1" t="s">
        <v>826</v>
      </c>
      <c r="D680" s="1" t="s">
        <v>567</v>
      </c>
      <c r="E680" t="s">
        <v>24</v>
      </c>
      <c r="F680" t="s">
        <v>3043</v>
      </c>
      <c r="G680" t="s">
        <v>81</v>
      </c>
      <c r="H680" t="s">
        <v>27</v>
      </c>
      <c r="I680" s="1" t="s">
        <v>28</v>
      </c>
      <c r="J680" t="s">
        <v>42</v>
      </c>
      <c r="K680" t="s">
        <v>43</v>
      </c>
      <c r="L680" s="1">
        <v>228476</v>
      </c>
      <c r="M680" s="1" t="s">
        <v>44</v>
      </c>
      <c r="N680" t="s">
        <v>3044</v>
      </c>
      <c r="O680" t="s">
        <v>32</v>
      </c>
      <c r="P680" t="s">
        <v>33</v>
      </c>
      <c r="Q680" t="s">
        <v>34</v>
      </c>
      <c r="R680">
        <v>59879.65</v>
      </c>
      <c r="S680" s="25" t="e">
        <f>IF(Table1[[#This Row],[Sales]]=MIN(Table1[Sales]), Table1[[#This Row],[Sales]], NA())</f>
        <v>#N/A</v>
      </c>
      <c r="T680" s="25">
        <f>IF(AND(Table1[[#This Row],[Sales]]&lt;&gt;MIN(Table1[Sales]),Table1[[#This Row],[Sales]]&lt;&gt;MAX(Table1[Sales])), Table1[[#This Row],[Sales]], NA())</f>
        <v>59879.65</v>
      </c>
      <c r="U680" s="25" t="e">
        <f>IF(Table1[[#This Row],[Sales]]=MAX(Table1[Sales]), Table1[[#This Row],[Sales]], NA())</f>
        <v>#N/A</v>
      </c>
      <c r="V680">
        <v>2</v>
      </c>
      <c r="W680">
        <v>0.3</v>
      </c>
      <c r="X680">
        <v>299.39999999999998</v>
      </c>
      <c r="Y680" s="3">
        <f>YEAR(Table1[[#This Row],[Order Date]])</f>
        <v>2022</v>
      </c>
      <c r="Z680" s="3" t="str">
        <f>TEXT(Table1[[#This Row],[Order Date]],"MMM")</f>
        <v>Sep</v>
      </c>
      <c r="AA680" s="3">
        <f>DAY(Table1[[#This Row],[Order Date]])</f>
        <v>30</v>
      </c>
    </row>
    <row r="681" spans="1:27" x14ac:dyDescent="0.35">
      <c r="A681" s="1">
        <v>680</v>
      </c>
      <c r="B681" s="1" t="s">
        <v>3045</v>
      </c>
      <c r="C681" s="1" t="s">
        <v>3046</v>
      </c>
      <c r="D681" s="1" t="s">
        <v>949</v>
      </c>
      <c r="E681" t="s">
        <v>38</v>
      </c>
      <c r="F681" t="s">
        <v>3047</v>
      </c>
      <c r="G681" t="s">
        <v>87</v>
      </c>
      <c r="H681" t="s">
        <v>94</v>
      </c>
      <c r="I681" s="1" t="s">
        <v>28</v>
      </c>
      <c r="J681" t="s">
        <v>29</v>
      </c>
      <c r="K681" t="s">
        <v>29</v>
      </c>
      <c r="L681" s="1">
        <v>865898</v>
      </c>
      <c r="M681" s="1" t="s">
        <v>30</v>
      </c>
      <c r="N681" t="s">
        <v>3048</v>
      </c>
      <c r="O681" t="s">
        <v>46</v>
      </c>
      <c r="P681" t="s">
        <v>57</v>
      </c>
      <c r="Q681" t="s">
        <v>58</v>
      </c>
      <c r="R681">
        <v>83476.97</v>
      </c>
      <c r="S681" s="25" t="e">
        <f>IF(Table1[[#This Row],[Sales]]=MIN(Table1[Sales]), Table1[[#This Row],[Sales]], NA())</f>
        <v>#N/A</v>
      </c>
      <c r="T681" s="25">
        <f>IF(AND(Table1[[#This Row],[Sales]]&lt;&gt;MIN(Table1[Sales]),Table1[[#This Row],[Sales]]&lt;&gt;MAX(Table1[Sales])), Table1[[#This Row],[Sales]], NA())</f>
        <v>83476.97</v>
      </c>
      <c r="U681" s="25" t="e">
        <f>IF(Table1[[#This Row],[Sales]]=MAX(Table1[Sales]), Table1[[#This Row],[Sales]], NA())</f>
        <v>#N/A</v>
      </c>
      <c r="V681">
        <v>7</v>
      </c>
      <c r="W681">
        <v>0</v>
      </c>
      <c r="X681">
        <v>6678.16</v>
      </c>
      <c r="Y681" s="3">
        <f>YEAR(Table1[[#This Row],[Order Date]])</f>
        <v>2025</v>
      </c>
      <c r="Z681" s="3" t="str">
        <f>TEXT(Table1[[#This Row],[Order Date]],"MMM")</f>
        <v>Dec</v>
      </c>
      <c r="AA681" s="3">
        <f>DAY(Table1[[#This Row],[Order Date]])</f>
        <v>30</v>
      </c>
    </row>
    <row r="682" spans="1:27" x14ac:dyDescent="0.35">
      <c r="A682" s="1">
        <v>681</v>
      </c>
      <c r="B682" s="1" t="s">
        <v>3049</v>
      </c>
      <c r="C682" s="1" t="s">
        <v>732</v>
      </c>
      <c r="D682" s="1" t="s">
        <v>3050</v>
      </c>
      <c r="E682" t="s">
        <v>38</v>
      </c>
      <c r="F682" t="s">
        <v>3051</v>
      </c>
      <c r="G682" t="s">
        <v>188</v>
      </c>
      <c r="H682" t="s">
        <v>41</v>
      </c>
      <c r="I682" s="1" t="s">
        <v>28</v>
      </c>
      <c r="J682" t="s">
        <v>128</v>
      </c>
      <c r="K682" t="s">
        <v>129</v>
      </c>
      <c r="L682" s="1">
        <v>579181</v>
      </c>
      <c r="M682" s="1" t="s">
        <v>66</v>
      </c>
      <c r="N682" t="s">
        <v>3052</v>
      </c>
      <c r="O682" t="s">
        <v>32</v>
      </c>
      <c r="P682" t="s">
        <v>33</v>
      </c>
      <c r="Q682" t="s">
        <v>34</v>
      </c>
      <c r="R682">
        <v>99334.55</v>
      </c>
      <c r="S682" s="25" t="e">
        <f>IF(Table1[[#This Row],[Sales]]=MIN(Table1[Sales]), Table1[[#This Row],[Sales]], NA())</f>
        <v>#N/A</v>
      </c>
      <c r="T682" s="25">
        <f>IF(AND(Table1[[#This Row],[Sales]]&lt;&gt;MIN(Table1[Sales]),Table1[[#This Row],[Sales]]&lt;&gt;MAX(Table1[Sales])), Table1[[#This Row],[Sales]], NA())</f>
        <v>99334.55</v>
      </c>
      <c r="U682" s="25" t="e">
        <f>IF(Table1[[#This Row],[Sales]]=MAX(Table1[Sales]), Table1[[#This Row],[Sales]], NA())</f>
        <v>#N/A</v>
      </c>
      <c r="V682">
        <v>4</v>
      </c>
      <c r="W682">
        <v>0.3</v>
      </c>
      <c r="X682">
        <v>496.67</v>
      </c>
      <c r="Y682" s="3">
        <f>YEAR(Table1[[#This Row],[Order Date]])</f>
        <v>2025</v>
      </c>
      <c r="Z682" s="3" t="str">
        <f>TEXT(Table1[[#This Row],[Order Date]],"MMM")</f>
        <v>Mar</v>
      </c>
      <c r="AA682" s="3">
        <f>DAY(Table1[[#This Row],[Order Date]])</f>
        <v>21</v>
      </c>
    </row>
    <row r="683" spans="1:27" x14ac:dyDescent="0.35">
      <c r="A683" s="1">
        <v>682</v>
      </c>
      <c r="B683" s="1" t="s">
        <v>3053</v>
      </c>
      <c r="C683" s="1" t="s">
        <v>1214</v>
      </c>
      <c r="D683" s="1" t="s">
        <v>708</v>
      </c>
      <c r="E683" t="s">
        <v>62</v>
      </c>
      <c r="F683" t="s">
        <v>3054</v>
      </c>
      <c r="G683" t="s">
        <v>81</v>
      </c>
      <c r="H683" t="s">
        <v>27</v>
      </c>
      <c r="I683" s="1" t="s">
        <v>28</v>
      </c>
      <c r="J683" t="s">
        <v>64</v>
      </c>
      <c r="K683" t="s">
        <v>65</v>
      </c>
      <c r="L683" s="1">
        <v>767859</v>
      </c>
      <c r="M683" s="1" t="s">
        <v>66</v>
      </c>
      <c r="N683" t="s">
        <v>3055</v>
      </c>
      <c r="O683" t="s">
        <v>68</v>
      </c>
      <c r="P683" t="s">
        <v>69</v>
      </c>
      <c r="Q683" t="s">
        <v>70</v>
      </c>
      <c r="R683">
        <v>35562</v>
      </c>
      <c r="S683" s="25" t="e">
        <f>IF(Table1[[#This Row],[Sales]]=MIN(Table1[Sales]), Table1[[#This Row],[Sales]], NA())</f>
        <v>#N/A</v>
      </c>
      <c r="T683" s="25">
        <f>IF(AND(Table1[[#This Row],[Sales]]&lt;&gt;MIN(Table1[Sales]),Table1[[#This Row],[Sales]]&lt;&gt;MAX(Table1[Sales])), Table1[[#This Row],[Sales]], NA())</f>
        <v>35562</v>
      </c>
      <c r="U683" s="25" t="e">
        <f>IF(Table1[[#This Row],[Sales]]=MAX(Table1[Sales]), Table1[[#This Row],[Sales]], NA())</f>
        <v>#N/A</v>
      </c>
      <c r="V683">
        <v>9</v>
      </c>
      <c r="W683">
        <v>0.1</v>
      </c>
      <c r="X683">
        <v>1955.91</v>
      </c>
      <c r="Y683" s="3">
        <f>YEAR(Table1[[#This Row],[Order Date]])</f>
        <v>2025</v>
      </c>
      <c r="Z683" s="3" t="str">
        <f>TEXT(Table1[[#This Row],[Order Date]],"MMM")</f>
        <v>Aug</v>
      </c>
      <c r="AA683" s="3">
        <f>DAY(Table1[[#This Row],[Order Date]])</f>
        <v>19</v>
      </c>
    </row>
    <row r="684" spans="1:27" x14ac:dyDescent="0.35">
      <c r="A684" s="1">
        <v>683</v>
      </c>
      <c r="B684" s="1" t="s">
        <v>3056</v>
      </c>
      <c r="C684" s="1" t="s">
        <v>3057</v>
      </c>
      <c r="D684" s="1" t="s">
        <v>3058</v>
      </c>
      <c r="E684" t="s">
        <v>62</v>
      </c>
      <c r="F684" t="s">
        <v>3059</v>
      </c>
      <c r="G684" t="s">
        <v>81</v>
      </c>
      <c r="H684" t="s">
        <v>41</v>
      </c>
      <c r="I684" s="1" t="s">
        <v>28</v>
      </c>
      <c r="J684" t="s">
        <v>53</v>
      </c>
      <c r="K684" t="s">
        <v>54</v>
      </c>
      <c r="L684" s="1">
        <v>269837</v>
      </c>
      <c r="M684" s="1" t="s">
        <v>55</v>
      </c>
      <c r="N684" t="s">
        <v>3060</v>
      </c>
      <c r="O684" t="s">
        <v>32</v>
      </c>
      <c r="P684" t="s">
        <v>33</v>
      </c>
      <c r="Q684" t="s">
        <v>34</v>
      </c>
      <c r="R684">
        <v>82513.06</v>
      </c>
      <c r="S684" s="25" t="e">
        <f>IF(Table1[[#This Row],[Sales]]=MIN(Table1[Sales]), Table1[[#This Row],[Sales]], NA())</f>
        <v>#N/A</v>
      </c>
      <c r="T684" s="25">
        <f>IF(AND(Table1[[#This Row],[Sales]]&lt;&gt;MIN(Table1[Sales]),Table1[[#This Row],[Sales]]&lt;&gt;MAX(Table1[Sales])), Table1[[#This Row],[Sales]], NA())</f>
        <v>82513.06</v>
      </c>
      <c r="U684" s="25" t="e">
        <f>IF(Table1[[#This Row],[Sales]]=MAX(Table1[Sales]), Table1[[#This Row],[Sales]], NA())</f>
        <v>#N/A</v>
      </c>
      <c r="V684">
        <v>5</v>
      </c>
      <c r="W684">
        <v>0.1</v>
      </c>
      <c r="X684">
        <v>4538.22</v>
      </c>
      <c r="Y684" s="3">
        <f>YEAR(Table1[[#This Row],[Order Date]])</f>
        <v>2023</v>
      </c>
      <c r="Z684" s="3" t="str">
        <f>TEXT(Table1[[#This Row],[Order Date]],"MMM")</f>
        <v>Dec</v>
      </c>
      <c r="AA684" s="3">
        <f>DAY(Table1[[#This Row],[Order Date]])</f>
        <v>8</v>
      </c>
    </row>
    <row r="685" spans="1:27" x14ac:dyDescent="0.35">
      <c r="A685" s="1">
        <v>684</v>
      </c>
      <c r="B685" s="1" t="s">
        <v>3061</v>
      </c>
      <c r="C685" s="1" t="s">
        <v>2182</v>
      </c>
      <c r="D685" s="1" t="s">
        <v>3032</v>
      </c>
      <c r="E685" t="s">
        <v>24</v>
      </c>
      <c r="F685" t="s">
        <v>3062</v>
      </c>
      <c r="G685" t="s">
        <v>110</v>
      </c>
      <c r="H685" t="s">
        <v>27</v>
      </c>
      <c r="I685" s="1" t="s">
        <v>28</v>
      </c>
      <c r="J685" t="s">
        <v>128</v>
      </c>
      <c r="K685" t="s">
        <v>129</v>
      </c>
      <c r="L685" s="1">
        <v>543897</v>
      </c>
      <c r="M685" s="1" t="s">
        <v>66</v>
      </c>
      <c r="N685" t="s">
        <v>3063</v>
      </c>
      <c r="O685" t="s">
        <v>68</v>
      </c>
      <c r="P685" t="s">
        <v>69</v>
      </c>
      <c r="Q685" t="s">
        <v>70</v>
      </c>
      <c r="R685">
        <v>53201.54</v>
      </c>
      <c r="S685" s="25" t="e">
        <f>IF(Table1[[#This Row],[Sales]]=MIN(Table1[Sales]), Table1[[#This Row],[Sales]], NA())</f>
        <v>#N/A</v>
      </c>
      <c r="T685" s="25">
        <f>IF(AND(Table1[[#This Row],[Sales]]&lt;&gt;MIN(Table1[Sales]),Table1[[#This Row],[Sales]]&lt;&gt;MAX(Table1[Sales])), Table1[[#This Row],[Sales]], NA())</f>
        <v>53201.54</v>
      </c>
      <c r="U685" s="25" t="e">
        <f>IF(Table1[[#This Row],[Sales]]=MAX(Table1[Sales]), Table1[[#This Row],[Sales]], NA())</f>
        <v>#N/A</v>
      </c>
      <c r="V685">
        <v>7</v>
      </c>
      <c r="W685">
        <v>0.1</v>
      </c>
      <c r="X685">
        <v>2926.08</v>
      </c>
      <c r="Y685" s="3">
        <f>YEAR(Table1[[#This Row],[Order Date]])</f>
        <v>2021</v>
      </c>
      <c r="Z685" s="3" t="str">
        <f>TEXT(Table1[[#This Row],[Order Date]],"MMM")</f>
        <v>Feb</v>
      </c>
      <c r="AA685" s="3">
        <f>DAY(Table1[[#This Row],[Order Date]])</f>
        <v>8</v>
      </c>
    </row>
    <row r="686" spans="1:27" x14ac:dyDescent="0.35">
      <c r="A686" s="1">
        <v>685</v>
      </c>
      <c r="B686" s="1" t="s">
        <v>3064</v>
      </c>
      <c r="C686" s="1" t="s">
        <v>3065</v>
      </c>
      <c r="D686" s="1" t="s">
        <v>305</v>
      </c>
      <c r="E686" t="s">
        <v>62</v>
      </c>
      <c r="F686" t="s">
        <v>3066</v>
      </c>
      <c r="G686" t="s">
        <v>26</v>
      </c>
      <c r="H686" t="s">
        <v>27</v>
      </c>
      <c r="I686" s="1" t="s">
        <v>28</v>
      </c>
      <c r="J686" t="s">
        <v>53</v>
      </c>
      <c r="K686" t="s">
        <v>54</v>
      </c>
      <c r="L686" s="1">
        <v>557094</v>
      </c>
      <c r="M686" s="1" t="s">
        <v>55</v>
      </c>
      <c r="N686" t="s">
        <v>3067</v>
      </c>
      <c r="O686" t="s">
        <v>46</v>
      </c>
      <c r="P686" t="s">
        <v>47</v>
      </c>
      <c r="Q686" t="s">
        <v>48</v>
      </c>
      <c r="R686">
        <v>86393.71</v>
      </c>
      <c r="S686" s="25" t="e">
        <f>IF(Table1[[#This Row],[Sales]]=MIN(Table1[Sales]), Table1[[#This Row],[Sales]], NA())</f>
        <v>#N/A</v>
      </c>
      <c r="T686" s="25">
        <f>IF(AND(Table1[[#This Row],[Sales]]&lt;&gt;MIN(Table1[Sales]),Table1[[#This Row],[Sales]]&lt;&gt;MAX(Table1[Sales])), Table1[[#This Row],[Sales]], NA())</f>
        <v>86393.71</v>
      </c>
      <c r="U686" s="25" t="e">
        <f>IF(Table1[[#This Row],[Sales]]=MAX(Table1[Sales]), Table1[[#This Row],[Sales]], NA())</f>
        <v>#N/A</v>
      </c>
      <c r="V686">
        <v>5</v>
      </c>
      <c r="W686">
        <v>0.3</v>
      </c>
      <c r="X686">
        <v>431.97</v>
      </c>
      <c r="Y686" s="3">
        <f>YEAR(Table1[[#This Row],[Order Date]])</f>
        <v>2024</v>
      </c>
      <c r="Z686" s="3" t="str">
        <f>TEXT(Table1[[#This Row],[Order Date]],"MMM")</f>
        <v>Nov</v>
      </c>
      <c r="AA686" s="3">
        <f>DAY(Table1[[#This Row],[Order Date]])</f>
        <v>25</v>
      </c>
    </row>
    <row r="687" spans="1:27" x14ac:dyDescent="0.35">
      <c r="A687" s="1">
        <v>686</v>
      </c>
      <c r="B687" s="1" t="s">
        <v>3068</v>
      </c>
      <c r="C687" s="1" t="s">
        <v>3069</v>
      </c>
      <c r="D687" s="1" t="s">
        <v>3070</v>
      </c>
      <c r="E687" t="s">
        <v>115</v>
      </c>
      <c r="F687" t="s">
        <v>3071</v>
      </c>
      <c r="G687" t="s">
        <v>93</v>
      </c>
      <c r="H687" t="s">
        <v>27</v>
      </c>
      <c r="I687" s="1" t="s">
        <v>28</v>
      </c>
      <c r="J687" t="s">
        <v>128</v>
      </c>
      <c r="K687" t="s">
        <v>129</v>
      </c>
      <c r="L687" s="1">
        <v>506317</v>
      </c>
      <c r="M687" s="1" t="s">
        <v>66</v>
      </c>
      <c r="N687" t="s">
        <v>3072</v>
      </c>
      <c r="O687" t="s">
        <v>46</v>
      </c>
      <c r="P687" t="s">
        <v>47</v>
      </c>
      <c r="Q687" t="s">
        <v>48</v>
      </c>
      <c r="R687">
        <v>3861.44</v>
      </c>
      <c r="S687" s="25" t="e">
        <f>IF(Table1[[#This Row],[Sales]]=MIN(Table1[Sales]), Table1[[#This Row],[Sales]], NA())</f>
        <v>#N/A</v>
      </c>
      <c r="T687" s="25">
        <f>IF(AND(Table1[[#This Row],[Sales]]&lt;&gt;MIN(Table1[Sales]),Table1[[#This Row],[Sales]]&lt;&gt;MAX(Table1[Sales])), Table1[[#This Row],[Sales]], NA())</f>
        <v>3861.44</v>
      </c>
      <c r="U687" s="25" t="e">
        <f>IF(Table1[[#This Row],[Sales]]=MAX(Table1[Sales]), Table1[[#This Row],[Sales]], NA())</f>
        <v>#N/A</v>
      </c>
      <c r="V687">
        <v>9</v>
      </c>
      <c r="W687">
        <v>0.2</v>
      </c>
      <c r="X687">
        <v>115.84</v>
      </c>
      <c r="Y687" s="3">
        <f>YEAR(Table1[[#This Row],[Order Date]])</f>
        <v>2023</v>
      </c>
      <c r="Z687" s="3" t="str">
        <f>TEXT(Table1[[#This Row],[Order Date]],"MMM")</f>
        <v>Sep</v>
      </c>
      <c r="AA687" s="3">
        <f>DAY(Table1[[#This Row],[Order Date]])</f>
        <v>21</v>
      </c>
    </row>
    <row r="688" spans="1:27" x14ac:dyDescent="0.35">
      <c r="A688" s="1">
        <v>687</v>
      </c>
      <c r="B688" s="1" t="s">
        <v>3073</v>
      </c>
      <c r="C688" s="1" t="s">
        <v>496</v>
      </c>
      <c r="D688" s="1" t="s">
        <v>1345</v>
      </c>
      <c r="E688" t="s">
        <v>38</v>
      </c>
      <c r="F688" t="s">
        <v>3074</v>
      </c>
      <c r="G688" t="s">
        <v>122</v>
      </c>
      <c r="H688" t="s">
        <v>41</v>
      </c>
      <c r="I688" s="1" t="s">
        <v>28</v>
      </c>
      <c r="J688" t="s">
        <v>29</v>
      </c>
      <c r="K688" t="s">
        <v>29</v>
      </c>
      <c r="L688" s="1">
        <v>929882</v>
      </c>
      <c r="M688" s="1" t="s">
        <v>30</v>
      </c>
      <c r="N688" t="s">
        <v>3075</v>
      </c>
      <c r="O688" t="s">
        <v>46</v>
      </c>
      <c r="P688" t="s">
        <v>57</v>
      </c>
      <c r="Q688" t="s">
        <v>58</v>
      </c>
      <c r="R688">
        <v>3029.74</v>
      </c>
      <c r="S688" s="25" t="e">
        <f>IF(Table1[[#This Row],[Sales]]=MIN(Table1[Sales]), Table1[[#This Row],[Sales]], NA())</f>
        <v>#N/A</v>
      </c>
      <c r="T688" s="25">
        <f>IF(AND(Table1[[#This Row],[Sales]]&lt;&gt;MIN(Table1[Sales]),Table1[[#This Row],[Sales]]&lt;&gt;MAX(Table1[Sales])), Table1[[#This Row],[Sales]], NA())</f>
        <v>3029.74</v>
      </c>
      <c r="U688" s="25" t="e">
        <f>IF(Table1[[#This Row],[Sales]]=MAX(Table1[Sales]), Table1[[#This Row],[Sales]], NA())</f>
        <v>#N/A</v>
      </c>
      <c r="V688">
        <v>1</v>
      </c>
      <c r="W688">
        <v>0.2</v>
      </c>
      <c r="X688">
        <v>90.89</v>
      </c>
      <c r="Y688" s="3">
        <f>YEAR(Table1[[#This Row],[Order Date]])</f>
        <v>2021</v>
      </c>
      <c r="Z688" s="3" t="str">
        <f>TEXT(Table1[[#This Row],[Order Date]],"MMM")</f>
        <v>Jul</v>
      </c>
      <c r="AA688" s="3">
        <f>DAY(Table1[[#This Row],[Order Date]])</f>
        <v>5</v>
      </c>
    </row>
    <row r="689" spans="1:27" x14ac:dyDescent="0.35">
      <c r="A689" s="1">
        <v>688</v>
      </c>
      <c r="B689" s="1" t="s">
        <v>3076</v>
      </c>
      <c r="C689" s="1" t="s">
        <v>3077</v>
      </c>
      <c r="D689" s="1" t="s">
        <v>2787</v>
      </c>
      <c r="E689" t="s">
        <v>38</v>
      </c>
      <c r="F689" t="s">
        <v>3078</v>
      </c>
      <c r="G689" t="s">
        <v>81</v>
      </c>
      <c r="H689" t="s">
        <v>41</v>
      </c>
      <c r="I689" s="1" t="s">
        <v>28</v>
      </c>
      <c r="J689" t="s">
        <v>42</v>
      </c>
      <c r="K689" t="s">
        <v>43</v>
      </c>
      <c r="L689" s="1">
        <v>359882</v>
      </c>
      <c r="M689" s="1" t="s">
        <v>44</v>
      </c>
      <c r="N689" t="s">
        <v>3079</v>
      </c>
      <c r="O689" t="s">
        <v>68</v>
      </c>
      <c r="P689" t="s">
        <v>69</v>
      </c>
      <c r="Q689" t="s">
        <v>70</v>
      </c>
      <c r="R689">
        <v>25218.400000000001</v>
      </c>
      <c r="S689" s="25" t="e">
        <f>IF(Table1[[#This Row],[Sales]]=MIN(Table1[Sales]), Table1[[#This Row],[Sales]], NA())</f>
        <v>#N/A</v>
      </c>
      <c r="T689" s="25">
        <f>IF(AND(Table1[[#This Row],[Sales]]&lt;&gt;MIN(Table1[Sales]),Table1[[#This Row],[Sales]]&lt;&gt;MAX(Table1[Sales])), Table1[[#This Row],[Sales]], NA())</f>
        <v>25218.400000000001</v>
      </c>
      <c r="U689" s="25" t="e">
        <f>IF(Table1[[#This Row],[Sales]]=MAX(Table1[Sales]), Table1[[#This Row],[Sales]], NA())</f>
        <v>#N/A</v>
      </c>
      <c r="V689">
        <v>10</v>
      </c>
      <c r="W689">
        <v>0</v>
      </c>
      <c r="X689">
        <v>2017.47</v>
      </c>
      <c r="Y689" s="3">
        <f>YEAR(Table1[[#This Row],[Order Date]])</f>
        <v>2021</v>
      </c>
      <c r="Z689" s="3" t="str">
        <f>TEXT(Table1[[#This Row],[Order Date]],"MMM")</f>
        <v>May</v>
      </c>
      <c r="AA689" s="3">
        <f>DAY(Table1[[#This Row],[Order Date]])</f>
        <v>13</v>
      </c>
    </row>
    <row r="690" spans="1:27" x14ac:dyDescent="0.35">
      <c r="A690" s="1">
        <v>689</v>
      </c>
      <c r="B690" s="1" t="s">
        <v>3080</v>
      </c>
      <c r="C690" s="1" t="s">
        <v>3081</v>
      </c>
      <c r="D690" s="1" t="s">
        <v>3082</v>
      </c>
      <c r="E690" t="s">
        <v>24</v>
      </c>
      <c r="F690" t="s">
        <v>3083</v>
      </c>
      <c r="G690" t="s">
        <v>81</v>
      </c>
      <c r="H690" t="s">
        <v>41</v>
      </c>
      <c r="I690" s="1" t="s">
        <v>28</v>
      </c>
      <c r="J690" t="s">
        <v>53</v>
      </c>
      <c r="K690" t="s">
        <v>54</v>
      </c>
      <c r="L690" s="1">
        <v>763086</v>
      </c>
      <c r="M690" s="1" t="s">
        <v>55</v>
      </c>
      <c r="N690" t="s">
        <v>3084</v>
      </c>
      <c r="O690" t="s">
        <v>46</v>
      </c>
      <c r="P690" t="s">
        <v>57</v>
      </c>
      <c r="Q690" t="s">
        <v>58</v>
      </c>
      <c r="R690">
        <v>82026.67</v>
      </c>
      <c r="S690" s="25" t="e">
        <f>IF(Table1[[#This Row],[Sales]]=MIN(Table1[Sales]), Table1[[#This Row],[Sales]], NA())</f>
        <v>#N/A</v>
      </c>
      <c r="T690" s="25">
        <f>IF(AND(Table1[[#This Row],[Sales]]&lt;&gt;MIN(Table1[Sales]),Table1[[#This Row],[Sales]]&lt;&gt;MAX(Table1[Sales])), Table1[[#This Row],[Sales]], NA())</f>
        <v>82026.67</v>
      </c>
      <c r="U690" s="25" t="e">
        <f>IF(Table1[[#This Row],[Sales]]=MAX(Table1[Sales]), Table1[[#This Row],[Sales]], NA())</f>
        <v>#N/A</v>
      </c>
      <c r="V690">
        <v>1</v>
      </c>
      <c r="W690">
        <v>0.2</v>
      </c>
      <c r="X690">
        <v>2460.8000000000002</v>
      </c>
      <c r="Y690" s="3">
        <f>YEAR(Table1[[#This Row],[Order Date]])</f>
        <v>2024</v>
      </c>
      <c r="Z690" s="3" t="str">
        <f>TEXT(Table1[[#This Row],[Order Date]],"MMM")</f>
        <v>Jun</v>
      </c>
      <c r="AA690" s="3">
        <f>DAY(Table1[[#This Row],[Order Date]])</f>
        <v>14</v>
      </c>
    </row>
    <row r="691" spans="1:27" x14ac:dyDescent="0.35">
      <c r="A691" s="1">
        <v>690</v>
      </c>
      <c r="B691" s="1" t="s">
        <v>3085</v>
      </c>
      <c r="C691" s="1" t="s">
        <v>3086</v>
      </c>
      <c r="D691" s="1" t="s">
        <v>3087</v>
      </c>
      <c r="E691" t="s">
        <v>24</v>
      </c>
      <c r="F691" t="s">
        <v>3088</v>
      </c>
      <c r="G691" t="s">
        <v>40</v>
      </c>
      <c r="H691" t="s">
        <v>94</v>
      </c>
      <c r="I691" s="1" t="s">
        <v>28</v>
      </c>
      <c r="J691" t="s">
        <v>53</v>
      </c>
      <c r="K691" t="s">
        <v>54</v>
      </c>
      <c r="L691" s="1">
        <v>838667</v>
      </c>
      <c r="M691" s="1" t="s">
        <v>55</v>
      </c>
      <c r="N691" t="s">
        <v>3089</v>
      </c>
      <c r="O691" t="s">
        <v>46</v>
      </c>
      <c r="P691" t="s">
        <v>47</v>
      </c>
      <c r="Q691" t="s">
        <v>48</v>
      </c>
      <c r="R691">
        <v>15568.05</v>
      </c>
      <c r="S691" s="25" t="e">
        <f>IF(Table1[[#This Row],[Sales]]=MIN(Table1[Sales]), Table1[[#This Row],[Sales]], NA())</f>
        <v>#N/A</v>
      </c>
      <c r="T691" s="25">
        <f>IF(AND(Table1[[#This Row],[Sales]]&lt;&gt;MIN(Table1[Sales]),Table1[[#This Row],[Sales]]&lt;&gt;MAX(Table1[Sales])), Table1[[#This Row],[Sales]], NA())</f>
        <v>15568.05</v>
      </c>
      <c r="U691" s="25" t="e">
        <f>IF(Table1[[#This Row],[Sales]]=MAX(Table1[Sales]), Table1[[#This Row],[Sales]], NA())</f>
        <v>#N/A</v>
      </c>
      <c r="V691">
        <v>6</v>
      </c>
      <c r="W691">
        <v>0.1</v>
      </c>
      <c r="X691">
        <v>856.24</v>
      </c>
      <c r="Y691" s="3">
        <f>YEAR(Table1[[#This Row],[Order Date]])</f>
        <v>2022</v>
      </c>
      <c r="Z691" s="3" t="str">
        <f>TEXT(Table1[[#This Row],[Order Date]],"MMM")</f>
        <v>Jun</v>
      </c>
      <c r="AA691" s="3">
        <f>DAY(Table1[[#This Row],[Order Date]])</f>
        <v>15</v>
      </c>
    </row>
    <row r="692" spans="1:27" x14ac:dyDescent="0.35">
      <c r="A692" s="1">
        <v>691</v>
      </c>
      <c r="B692" s="1" t="s">
        <v>3090</v>
      </c>
      <c r="C692" s="1" t="s">
        <v>1346</v>
      </c>
      <c r="D692" s="1" t="s">
        <v>3091</v>
      </c>
      <c r="E692" t="s">
        <v>62</v>
      </c>
      <c r="F692" t="s">
        <v>3092</v>
      </c>
      <c r="G692" t="s">
        <v>75</v>
      </c>
      <c r="H692" t="s">
        <v>41</v>
      </c>
      <c r="I692" s="1" t="s">
        <v>28</v>
      </c>
      <c r="J692" t="s">
        <v>42</v>
      </c>
      <c r="K692" t="s">
        <v>43</v>
      </c>
      <c r="L692" s="1">
        <v>667261</v>
      </c>
      <c r="M692" s="1" t="s">
        <v>44</v>
      </c>
      <c r="N692" t="s">
        <v>3093</v>
      </c>
      <c r="O692" t="s">
        <v>32</v>
      </c>
      <c r="P692" t="s">
        <v>33</v>
      </c>
      <c r="Q692" t="s">
        <v>34</v>
      </c>
      <c r="R692">
        <v>1922.8</v>
      </c>
      <c r="S692" s="25" t="e">
        <f>IF(Table1[[#This Row],[Sales]]=MIN(Table1[Sales]), Table1[[#This Row],[Sales]], NA())</f>
        <v>#N/A</v>
      </c>
      <c r="T692" s="25">
        <f>IF(AND(Table1[[#This Row],[Sales]]&lt;&gt;MIN(Table1[Sales]),Table1[[#This Row],[Sales]]&lt;&gt;MAX(Table1[Sales])), Table1[[#This Row],[Sales]], NA())</f>
        <v>1922.8</v>
      </c>
      <c r="U692" s="25" t="e">
        <f>IF(Table1[[#This Row],[Sales]]=MAX(Table1[Sales]), Table1[[#This Row],[Sales]], NA())</f>
        <v>#N/A</v>
      </c>
      <c r="V692">
        <v>2</v>
      </c>
      <c r="W692">
        <v>0</v>
      </c>
      <c r="X692">
        <v>153.82</v>
      </c>
      <c r="Y692" s="3">
        <f>YEAR(Table1[[#This Row],[Order Date]])</f>
        <v>2021</v>
      </c>
      <c r="Z692" s="3" t="str">
        <f>TEXT(Table1[[#This Row],[Order Date]],"MMM")</f>
        <v>Jul</v>
      </c>
      <c r="AA692" s="3">
        <f>DAY(Table1[[#This Row],[Order Date]])</f>
        <v>16</v>
      </c>
    </row>
    <row r="693" spans="1:27" x14ac:dyDescent="0.35">
      <c r="A693" s="1">
        <v>692</v>
      </c>
      <c r="B693" s="1" t="s">
        <v>3094</v>
      </c>
      <c r="C693" s="1" t="s">
        <v>3095</v>
      </c>
      <c r="D693" s="1" t="s">
        <v>1508</v>
      </c>
      <c r="E693" t="s">
        <v>62</v>
      </c>
      <c r="F693" t="s">
        <v>3096</v>
      </c>
      <c r="G693" t="s">
        <v>87</v>
      </c>
      <c r="H693" t="s">
        <v>41</v>
      </c>
      <c r="I693" s="1" t="s">
        <v>28</v>
      </c>
      <c r="J693" t="s">
        <v>53</v>
      </c>
      <c r="K693" t="s">
        <v>54</v>
      </c>
      <c r="L693" s="1">
        <v>671265</v>
      </c>
      <c r="M693" s="1" t="s">
        <v>55</v>
      </c>
      <c r="N693" t="s">
        <v>3097</v>
      </c>
      <c r="O693" t="s">
        <v>46</v>
      </c>
      <c r="P693" t="s">
        <v>57</v>
      </c>
      <c r="Q693" t="s">
        <v>58</v>
      </c>
      <c r="R693">
        <v>72932.78</v>
      </c>
      <c r="S693" s="25" t="e">
        <f>IF(Table1[[#This Row],[Sales]]=MIN(Table1[Sales]), Table1[[#This Row],[Sales]], NA())</f>
        <v>#N/A</v>
      </c>
      <c r="T693" s="25">
        <f>IF(AND(Table1[[#This Row],[Sales]]&lt;&gt;MIN(Table1[Sales]),Table1[[#This Row],[Sales]]&lt;&gt;MAX(Table1[Sales])), Table1[[#This Row],[Sales]], NA())</f>
        <v>72932.78</v>
      </c>
      <c r="U693" s="25" t="e">
        <f>IF(Table1[[#This Row],[Sales]]=MAX(Table1[Sales]), Table1[[#This Row],[Sales]], NA())</f>
        <v>#N/A</v>
      </c>
      <c r="V693">
        <v>9</v>
      </c>
      <c r="W693">
        <v>0.1</v>
      </c>
      <c r="X693">
        <v>4011.3</v>
      </c>
      <c r="Y693" s="3">
        <f>YEAR(Table1[[#This Row],[Order Date]])</f>
        <v>2021</v>
      </c>
      <c r="Z693" s="3" t="str">
        <f>TEXT(Table1[[#This Row],[Order Date]],"MMM")</f>
        <v>Oct</v>
      </c>
      <c r="AA693" s="3">
        <f>DAY(Table1[[#This Row],[Order Date]])</f>
        <v>7</v>
      </c>
    </row>
    <row r="694" spans="1:27" x14ac:dyDescent="0.35">
      <c r="A694" s="1">
        <v>693</v>
      </c>
      <c r="B694" s="1" t="s">
        <v>3098</v>
      </c>
      <c r="C694" s="1" t="s">
        <v>3099</v>
      </c>
      <c r="D694" s="1" t="s">
        <v>2837</v>
      </c>
      <c r="E694" t="s">
        <v>115</v>
      </c>
      <c r="F694" t="s">
        <v>3100</v>
      </c>
      <c r="G694" t="s">
        <v>87</v>
      </c>
      <c r="H694" t="s">
        <v>94</v>
      </c>
      <c r="I694" s="1" t="s">
        <v>28</v>
      </c>
      <c r="J694" t="s">
        <v>128</v>
      </c>
      <c r="K694" t="s">
        <v>129</v>
      </c>
      <c r="L694" s="1">
        <v>187607</v>
      </c>
      <c r="M694" s="1" t="s">
        <v>66</v>
      </c>
      <c r="N694" t="s">
        <v>3101</v>
      </c>
      <c r="O694" t="s">
        <v>32</v>
      </c>
      <c r="P694" t="s">
        <v>33</v>
      </c>
      <c r="Q694" t="s">
        <v>34</v>
      </c>
      <c r="R694">
        <v>94066.99</v>
      </c>
      <c r="S694" s="25" t="e">
        <f>IF(Table1[[#This Row],[Sales]]=MIN(Table1[Sales]), Table1[[#This Row],[Sales]], NA())</f>
        <v>#N/A</v>
      </c>
      <c r="T694" s="25">
        <f>IF(AND(Table1[[#This Row],[Sales]]&lt;&gt;MIN(Table1[Sales]),Table1[[#This Row],[Sales]]&lt;&gt;MAX(Table1[Sales])), Table1[[#This Row],[Sales]], NA())</f>
        <v>94066.99</v>
      </c>
      <c r="U694" s="25" t="e">
        <f>IF(Table1[[#This Row],[Sales]]=MAX(Table1[Sales]), Table1[[#This Row],[Sales]], NA())</f>
        <v>#N/A</v>
      </c>
      <c r="V694">
        <v>8</v>
      </c>
      <c r="W694">
        <v>0.1</v>
      </c>
      <c r="X694">
        <v>5173.68</v>
      </c>
      <c r="Y694" s="3">
        <f>YEAR(Table1[[#This Row],[Order Date]])</f>
        <v>2023</v>
      </c>
      <c r="Z694" s="3" t="str">
        <f>TEXT(Table1[[#This Row],[Order Date]],"MMM")</f>
        <v>Oct</v>
      </c>
      <c r="AA694" s="3">
        <f>DAY(Table1[[#This Row],[Order Date]])</f>
        <v>3</v>
      </c>
    </row>
    <row r="695" spans="1:27" x14ac:dyDescent="0.35">
      <c r="A695" s="1">
        <v>694</v>
      </c>
      <c r="B695" s="1" t="s">
        <v>3102</v>
      </c>
      <c r="C695" s="1" t="s">
        <v>3103</v>
      </c>
      <c r="D695" s="1" t="s">
        <v>2477</v>
      </c>
      <c r="E695" t="s">
        <v>24</v>
      </c>
      <c r="F695" t="s">
        <v>3104</v>
      </c>
      <c r="G695" t="s">
        <v>87</v>
      </c>
      <c r="H695" t="s">
        <v>27</v>
      </c>
      <c r="I695" s="1" t="s">
        <v>28</v>
      </c>
      <c r="J695" t="s">
        <v>128</v>
      </c>
      <c r="K695" t="s">
        <v>129</v>
      </c>
      <c r="L695" s="1">
        <v>627565</v>
      </c>
      <c r="M695" s="1" t="s">
        <v>66</v>
      </c>
      <c r="N695" t="s">
        <v>3105</v>
      </c>
      <c r="O695" t="s">
        <v>68</v>
      </c>
      <c r="P695" t="s">
        <v>69</v>
      </c>
      <c r="Q695" t="s">
        <v>70</v>
      </c>
      <c r="R695">
        <v>45497.21</v>
      </c>
      <c r="S695" s="25" t="e">
        <f>IF(Table1[[#This Row],[Sales]]=MIN(Table1[Sales]), Table1[[#This Row],[Sales]], NA())</f>
        <v>#N/A</v>
      </c>
      <c r="T695" s="25">
        <f>IF(AND(Table1[[#This Row],[Sales]]&lt;&gt;MIN(Table1[Sales]),Table1[[#This Row],[Sales]]&lt;&gt;MAX(Table1[Sales])), Table1[[#This Row],[Sales]], NA())</f>
        <v>45497.21</v>
      </c>
      <c r="U695" s="25" t="e">
        <f>IF(Table1[[#This Row],[Sales]]=MAX(Table1[Sales]), Table1[[#This Row],[Sales]], NA())</f>
        <v>#N/A</v>
      </c>
      <c r="V695">
        <v>3</v>
      </c>
      <c r="W695">
        <v>0.1</v>
      </c>
      <c r="X695">
        <v>2502.35</v>
      </c>
      <c r="Y695" s="3">
        <f>YEAR(Table1[[#This Row],[Order Date]])</f>
        <v>2021</v>
      </c>
      <c r="Z695" s="3" t="str">
        <f>TEXT(Table1[[#This Row],[Order Date]],"MMM")</f>
        <v>Feb</v>
      </c>
      <c r="AA695" s="3">
        <f>DAY(Table1[[#This Row],[Order Date]])</f>
        <v>23</v>
      </c>
    </row>
    <row r="696" spans="1:27" x14ac:dyDescent="0.35">
      <c r="A696" s="1">
        <v>695</v>
      </c>
      <c r="B696" s="1" t="s">
        <v>3106</v>
      </c>
      <c r="C696" s="1" t="s">
        <v>3107</v>
      </c>
      <c r="D696" s="1" t="s">
        <v>2042</v>
      </c>
      <c r="E696" t="s">
        <v>38</v>
      </c>
      <c r="F696" t="s">
        <v>3108</v>
      </c>
      <c r="G696" t="s">
        <v>40</v>
      </c>
      <c r="H696" t="s">
        <v>41</v>
      </c>
      <c r="I696" s="1" t="s">
        <v>28</v>
      </c>
      <c r="J696" t="s">
        <v>64</v>
      </c>
      <c r="K696" t="s">
        <v>65</v>
      </c>
      <c r="L696" s="1">
        <v>214960</v>
      </c>
      <c r="M696" s="1" t="s">
        <v>66</v>
      </c>
      <c r="N696" t="s">
        <v>3109</v>
      </c>
      <c r="O696" t="s">
        <v>46</v>
      </c>
      <c r="P696" t="s">
        <v>47</v>
      </c>
      <c r="Q696" t="s">
        <v>48</v>
      </c>
      <c r="R696">
        <v>59747.37</v>
      </c>
      <c r="S696" s="25" t="e">
        <f>IF(Table1[[#This Row],[Sales]]=MIN(Table1[Sales]), Table1[[#This Row],[Sales]], NA())</f>
        <v>#N/A</v>
      </c>
      <c r="T696" s="25">
        <f>IF(AND(Table1[[#This Row],[Sales]]&lt;&gt;MIN(Table1[Sales]),Table1[[#This Row],[Sales]]&lt;&gt;MAX(Table1[Sales])), Table1[[#This Row],[Sales]], NA())</f>
        <v>59747.37</v>
      </c>
      <c r="U696" s="25" t="e">
        <f>IF(Table1[[#This Row],[Sales]]=MAX(Table1[Sales]), Table1[[#This Row],[Sales]], NA())</f>
        <v>#N/A</v>
      </c>
      <c r="V696">
        <v>10</v>
      </c>
      <c r="W696">
        <v>0.3</v>
      </c>
      <c r="X696">
        <v>298.74</v>
      </c>
      <c r="Y696" s="3">
        <f>YEAR(Table1[[#This Row],[Order Date]])</f>
        <v>2021</v>
      </c>
      <c r="Z696" s="3" t="str">
        <f>TEXT(Table1[[#This Row],[Order Date]],"MMM")</f>
        <v>Feb</v>
      </c>
      <c r="AA696" s="3">
        <f>DAY(Table1[[#This Row],[Order Date]])</f>
        <v>11</v>
      </c>
    </row>
    <row r="697" spans="1:27" x14ac:dyDescent="0.35">
      <c r="A697" s="1">
        <v>696</v>
      </c>
      <c r="B697" s="1" t="s">
        <v>3110</v>
      </c>
      <c r="C697" s="1" t="s">
        <v>197</v>
      </c>
      <c r="D697" s="1" t="s">
        <v>3111</v>
      </c>
      <c r="E697" t="s">
        <v>115</v>
      </c>
      <c r="F697" t="s">
        <v>3112</v>
      </c>
      <c r="G697" t="s">
        <v>122</v>
      </c>
      <c r="H697" t="s">
        <v>27</v>
      </c>
      <c r="I697" s="1" t="s">
        <v>28</v>
      </c>
      <c r="J697" t="s">
        <v>64</v>
      </c>
      <c r="K697" t="s">
        <v>65</v>
      </c>
      <c r="L697" s="1">
        <v>177414</v>
      </c>
      <c r="M697" s="1" t="s">
        <v>66</v>
      </c>
      <c r="N697" t="s">
        <v>3113</v>
      </c>
      <c r="O697" t="s">
        <v>46</v>
      </c>
      <c r="P697" t="s">
        <v>47</v>
      </c>
      <c r="Q697" t="s">
        <v>48</v>
      </c>
      <c r="R697">
        <v>44301.52</v>
      </c>
      <c r="S697" s="25" t="e">
        <f>IF(Table1[[#This Row],[Sales]]=MIN(Table1[Sales]), Table1[[#This Row],[Sales]], NA())</f>
        <v>#N/A</v>
      </c>
      <c r="T697" s="25">
        <f>IF(AND(Table1[[#This Row],[Sales]]&lt;&gt;MIN(Table1[Sales]),Table1[[#This Row],[Sales]]&lt;&gt;MAX(Table1[Sales])), Table1[[#This Row],[Sales]], NA())</f>
        <v>44301.52</v>
      </c>
      <c r="U697" s="25" t="e">
        <f>IF(Table1[[#This Row],[Sales]]=MAX(Table1[Sales]), Table1[[#This Row],[Sales]], NA())</f>
        <v>#N/A</v>
      </c>
      <c r="V697">
        <v>5</v>
      </c>
      <c r="W697">
        <v>0</v>
      </c>
      <c r="X697">
        <v>3544.12</v>
      </c>
      <c r="Y697" s="3">
        <f>YEAR(Table1[[#This Row],[Order Date]])</f>
        <v>2023</v>
      </c>
      <c r="Z697" s="3" t="str">
        <f>TEXT(Table1[[#This Row],[Order Date]],"MMM")</f>
        <v>Feb</v>
      </c>
      <c r="AA697" s="3">
        <f>DAY(Table1[[#This Row],[Order Date]])</f>
        <v>21</v>
      </c>
    </row>
    <row r="698" spans="1:27" x14ac:dyDescent="0.35">
      <c r="A698" s="1">
        <v>697</v>
      </c>
      <c r="B698" s="1" t="s">
        <v>3114</v>
      </c>
      <c r="C698" s="1" t="s">
        <v>222</v>
      </c>
      <c r="D698" s="1" t="s">
        <v>3115</v>
      </c>
      <c r="E698" t="s">
        <v>62</v>
      </c>
      <c r="F698" t="s">
        <v>3116</v>
      </c>
      <c r="G698" t="s">
        <v>81</v>
      </c>
      <c r="H698" t="s">
        <v>41</v>
      </c>
      <c r="I698" s="1" t="s">
        <v>28</v>
      </c>
      <c r="J698" t="s">
        <v>53</v>
      </c>
      <c r="K698" t="s">
        <v>54</v>
      </c>
      <c r="L698" s="1">
        <v>436237</v>
      </c>
      <c r="M698" s="1" t="s">
        <v>55</v>
      </c>
      <c r="N698" t="s">
        <v>3117</v>
      </c>
      <c r="O698" t="s">
        <v>68</v>
      </c>
      <c r="P698" t="s">
        <v>69</v>
      </c>
      <c r="Q698" t="s">
        <v>70</v>
      </c>
      <c r="R698">
        <v>97021.67</v>
      </c>
      <c r="S698" s="25" t="e">
        <f>IF(Table1[[#This Row],[Sales]]=MIN(Table1[Sales]), Table1[[#This Row],[Sales]], NA())</f>
        <v>#N/A</v>
      </c>
      <c r="T698" s="25">
        <f>IF(AND(Table1[[#This Row],[Sales]]&lt;&gt;MIN(Table1[Sales]),Table1[[#This Row],[Sales]]&lt;&gt;MAX(Table1[Sales])), Table1[[#This Row],[Sales]], NA())</f>
        <v>97021.67</v>
      </c>
      <c r="U698" s="25" t="e">
        <f>IF(Table1[[#This Row],[Sales]]=MAX(Table1[Sales]), Table1[[#This Row],[Sales]], NA())</f>
        <v>#N/A</v>
      </c>
      <c r="V698">
        <v>8</v>
      </c>
      <c r="W698">
        <v>0.1</v>
      </c>
      <c r="X698">
        <v>5336.19</v>
      </c>
      <c r="Y698" s="3">
        <f>YEAR(Table1[[#This Row],[Order Date]])</f>
        <v>2022</v>
      </c>
      <c r="Z698" s="3" t="str">
        <f>TEXT(Table1[[#This Row],[Order Date]],"MMM")</f>
        <v>May</v>
      </c>
      <c r="AA698" s="3">
        <f>DAY(Table1[[#This Row],[Order Date]])</f>
        <v>9</v>
      </c>
    </row>
    <row r="699" spans="1:27" x14ac:dyDescent="0.35">
      <c r="A699" s="1">
        <v>698</v>
      </c>
      <c r="B699" s="1" t="s">
        <v>3118</v>
      </c>
      <c r="C699" s="1" t="s">
        <v>3119</v>
      </c>
      <c r="D699" s="1" t="s">
        <v>3120</v>
      </c>
      <c r="E699" t="s">
        <v>62</v>
      </c>
      <c r="F699" t="s">
        <v>3121</v>
      </c>
      <c r="G699" t="s">
        <v>140</v>
      </c>
      <c r="H699" t="s">
        <v>94</v>
      </c>
      <c r="I699" s="1" t="s">
        <v>28</v>
      </c>
      <c r="J699" t="s">
        <v>53</v>
      </c>
      <c r="K699" t="s">
        <v>54</v>
      </c>
      <c r="L699" s="1">
        <v>148685</v>
      </c>
      <c r="M699" s="1" t="s">
        <v>55</v>
      </c>
      <c r="N699" t="s">
        <v>3122</v>
      </c>
      <c r="O699" t="s">
        <v>46</v>
      </c>
      <c r="P699" t="s">
        <v>57</v>
      </c>
      <c r="Q699" t="s">
        <v>58</v>
      </c>
      <c r="R699">
        <v>99310.31</v>
      </c>
      <c r="S699" s="25" t="e">
        <f>IF(Table1[[#This Row],[Sales]]=MIN(Table1[Sales]), Table1[[#This Row],[Sales]], NA())</f>
        <v>#N/A</v>
      </c>
      <c r="T699" s="25">
        <f>IF(AND(Table1[[#This Row],[Sales]]&lt;&gt;MIN(Table1[Sales]),Table1[[#This Row],[Sales]]&lt;&gt;MAX(Table1[Sales])), Table1[[#This Row],[Sales]], NA())</f>
        <v>99310.31</v>
      </c>
      <c r="U699" s="25" t="e">
        <f>IF(Table1[[#This Row],[Sales]]=MAX(Table1[Sales]), Table1[[#This Row],[Sales]], NA())</f>
        <v>#N/A</v>
      </c>
      <c r="V699">
        <v>2</v>
      </c>
      <c r="W699">
        <v>0.3</v>
      </c>
      <c r="X699">
        <v>496.55</v>
      </c>
      <c r="Y699" s="3">
        <f>YEAR(Table1[[#This Row],[Order Date]])</f>
        <v>2022</v>
      </c>
      <c r="Z699" s="3" t="str">
        <f>TEXT(Table1[[#This Row],[Order Date]],"MMM")</f>
        <v>Nov</v>
      </c>
      <c r="AA699" s="3">
        <f>DAY(Table1[[#This Row],[Order Date]])</f>
        <v>4</v>
      </c>
    </row>
    <row r="700" spans="1:27" x14ac:dyDescent="0.35">
      <c r="A700" s="1">
        <v>699</v>
      </c>
      <c r="B700" s="1" t="s">
        <v>3123</v>
      </c>
      <c r="C700" s="1" t="s">
        <v>3124</v>
      </c>
      <c r="D700" s="1" t="s">
        <v>3125</v>
      </c>
      <c r="E700" t="s">
        <v>38</v>
      </c>
      <c r="F700" t="s">
        <v>3126</v>
      </c>
      <c r="G700" t="s">
        <v>140</v>
      </c>
      <c r="H700" t="s">
        <v>27</v>
      </c>
      <c r="I700" s="1" t="s">
        <v>28</v>
      </c>
      <c r="J700" t="s">
        <v>29</v>
      </c>
      <c r="K700" t="s">
        <v>29</v>
      </c>
      <c r="L700" s="1">
        <v>823498</v>
      </c>
      <c r="M700" s="1" t="s">
        <v>30</v>
      </c>
      <c r="N700" t="s">
        <v>3127</v>
      </c>
      <c r="O700" t="s">
        <v>46</v>
      </c>
      <c r="P700" t="s">
        <v>57</v>
      </c>
      <c r="Q700" t="s">
        <v>58</v>
      </c>
      <c r="R700">
        <v>80074.899999999994</v>
      </c>
      <c r="S700" s="25" t="e">
        <f>IF(Table1[[#This Row],[Sales]]=MIN(Table1[Sales]), Table1[[#This Row],[Sales]], NA())</f>
        <v>#N/A</v>
      </c>
      <c r="T700" s="25">
        <f>IF(AND(Table1[[#This Row],[Sales]]&lt;&gt;MIN(Table1[Sales]),Table1[[#This Row],[Sales]]&lt;&gt;MAX(Table1[Sales])), Table1[[#This Row],[Sales]], NA())</f>
        <v>80074.899999999994</v>
      </c>
      <c r="U700" s="25" t="e">
        <f>IF(Table1[[#This Row],[Sales]]=MAX(Table1[Sales]), Table1[[#This Row],[Sales]], NA())</f>
        <v>#N/A</v>
      </c>
      <c r="V700">
        <v>4</v>
      </c>
      <c r="W700">
        <v>0.3</v>
      </c>
      <c r="X700">
        <v>400.37</v>
      </c>
      <c r="Y700" s="3">
        <f>YEAR(Table1[[#This Row],[Order Date]])</f>
        <v>2022</v>
      </c>
      <c r="Z700" s="3" t="str">
        <f>TEXT(Table1[[#This Row],[Order Date]],"MMM")</f>
        <v>Jun</v>
      </c>
      <c r="AA700" s="3">
        <f>DAY(Table1[[#This Row],[Order Date]])</f>
        <v>24</v>
      </c>
    </row>
    <row r="701" spans="1:27" x14ac:dyDescent="0.35">
      <c r="A701" s="1">
        <v>700</v>
      </c>
      <c r="B701" s="1" t="s">
        <v>3128</v>
      </c>
      <c r="C701" s="1" t="s">
        <v>3129</v>
      </c>
      <c r="D701" s="1" t="s">
        <v>1046</v>
      </c>
      <c r="E701" t="s">
        <v>115</v>
      </c>
      <c r="F701" t="s">
        <v>3130</v>
      </c>
      <c r="G701" t="s">
        <v>81</v>
      </c>
      <c r="H701" t="s">
        <v>94</v>
      </c>
      <c r="I701" s="1" t="s">
        <v>28</v>
      </c>
      <c r="J701" t="s">
        <v>64</v>
      </c>
      <c r="K701" t="s">
        <v>65</v>
      </c>
      <c r="L701" s="1">
        <v>942850</v>
      </c>
      <c r="M701" s="1" t="s">
        <v>66</v>
      </c>
      <c r="N701" t="s">
        <v>3131</v>
      </c>
      <c r="O701" t="s">
        <v>32</v>
      </c>
      <c r="P701" t="s">
        <v>33</v>
      </c>
      <c r="Q701" t="s">
        <v>34</v>
      </c>
      <c r="R701">
        <v>15613.73</v>
      </c>
      <c r="S701" s="25" t="e">
        <f>IF(Table1[[#This Row],[Sales]]=MIN(Table1[Sales]), Table1[[#This Row],[Sales]], NA())</f>
        <v>#N/A</v>
      </c>
      <c r="T701" s="25">
        <f>IF(AND(Table1[[#This Row],[Sales]]&lt;&gt;MIN(Table1[Sales]),Table1[[#This Row],[Sales]]&lt;&gt;MAX(Table1[Sales])), Table1[[#This Row],[Sales]], NA())</f>
        <v>15613.73</v>
      </c>
      <c r="U701" s="25" t="e">
        <f>IF(Table1[[#This Row],[Sales]]=MAX(Table1[Sales]), Table1[[#This Row],[Sales]], NA())</f>
        <v>#N/A</v>
      </c>
      <c r="V701">
        <v>2</v>
      </c>
      <c r="W701">
        <v>0</v>
      </c>
      <c r="X701">
        <v>1249.0999999999999</v>
      </c>
      <c r="Y701" s="3">
        <f>YEAR(Table1[[#This Row],[Order Date]])</f>
        <v>2022</v>
      </c>
      <c r="Z701" s="3" t="str">
        <f>TEXT(Table1[[#This Row],[Order Date]],"MMM")</f>
        <v>Apr</v>
      </c>
      <c r="AA701" s="3">
        <f>DAY(Table1[[#This Row],[Order Date]])</f>
        <v>29</v>
      </c>
    </row>
    <row r="702" spans="1:27" x14ac:dyDescent="0.35">
      <c r="A702" s="1">
        <v>701</v>
      </c>
      <c r="B702" s="1" t="s">
        <v>3132</v>
      </c>
      <c r="C702" s="1" t="s">
        <v>2706</v>
      </c>
      <c r="D702" s="1" t="s">
        <v>1646</v>
      </c>
      <c r="E702" t="s">
        <v>38</v>
      </c>
      <c r="F702" t="s">
        <v>3133</v>
      </c>
      <c r="G702" t="s">
        <v>110</v>
      </c>
      <c r="H702" t="s">
        <v>27</v>
      </c>
      <c r="I702" s="1" t="s">
        <v>28</v>
      </c>
      <c r="J702" t="s">
        <v>29</v>
      </c>
      <c r="K702" t="s">
        <v>29</v>
      </c>
      <c r="L702" s="1">
        <v>186303</v>
      </c>
      <c r="M702" s="1" t="s">
        <v>30</v>
      </c>
      <c r="N702" t="s">
        <v>3134</v>
      </c>
      <c r="O702" t="s">
        <v>46</v>
      </c>
      <c r="P702" t="s">
        <v>47</v>
      </c>
      <c r="Q702" t="s">
        <v>48</v>
      </c>
      <c r="R702">
        <v>23627.93</v>
      </c>
      <c r="S702" s="25" t="e">
        <f>IF(Table1[[#This Row],[Sales]]=MIN(Table1[Sales]), Table1[[#This Row],[Sales]], NA())</f>
        <v>#N/A</v>
      </c>
      <c r="T702" s="25">
        <f>IF(AND(Table1[[#This Row],[Sales]]&lt;&gt;MIN(Table1[Sales]),Table1[[#This Row],[Sales]]&lt;&gt;MAX(Table1[Sales])), Table1[[#This Row],[Sales]], NA())</f>
        <v>23627.93</v>
      </c>
      <c r="U702" s="25" t="e">
        <f>IF(Table1[[#This Row],[Sales]]=MAX(Table1[Sales]), Table1[[#This Row],[Sales]], NA())</f>
        <v>#N/A</v>
      </c>
      <c r="V702">
        <v>4</v>
      </c>
      <c r="W702">
        <v>0</v>
      </c>
      <c r="X702">
        <v>1890.23</v>
      </c>
      <c r="Y702" s="3">
        <f>YEAR(Table1[[#This Row],[Order Date]])</f>
        <v>2022</v>
      </c>
      <c r="Z702" s="3" t="str">
        <f>TEXT(Table1[[#This Row],[Order Date]],"MMM")</f>
        <v>Dec</v>
      </c>
      <c r="AA702" s="3">
        <f>DAY(Table1[[#This Row],[Order Date]])</f>
        <v>7</v>
      </c>
    </row>
    <row r="703" spans="1:27" x14ac:dyDescent="0.35">
      <c r="A703" s="1">
        <v>702</v>
      </c>
      <c r="B703" s="1" t="s">
        <v>3135</v>
      </c>
      <c r="C703" s="1" t="s">
        <v>3136</v>
      </c>
      <c r="D703" s="1" t="s">
        <v>3137</v>
      </c>
      <c r="E703" t="s">
        <v>115</v>
      </c>
      <c r="F703" t="s">
        <v>3138</v>
      </c>
      <c r="G703" t="s">
        <v>26</v>
      </c>
      <c r="H703" t="s">
        <v>27</v>
      </c>
      <c r="I703" s="1" t="s">
        <v>28</v>
      </c>
      <c r="J703" t="s">
        <v>42</v>
      </c>
      <c r="K703" t="s">
        <v>43</v>
      </c>
      <c r="L703" s="1">
        <v>226611</v>
      </c>
      <c r="M703" s="1" t="s">
        <v>44</v>
      </c>
      <c r="N703" t="s">
        <v>3139</v>
      </c>
      <c r="O703" t="s">
        <v>68</v>
      </c>
      <c r="P703" t="s">
        <v>69</v>
      </c>
      <c r="Q703" t="s">
        <v>70</v>
      </c>
      <c r="R703">
        <v>29303.55</v>
      </c>
      <c r="S703" s="25" t="e">
        <f>IF(Table1[[#This Row],[Sales]]=MIN(Table1[Sales]), Table1[[#This Row],[Sales]], NA())</f>
        <v>#N/A</v>
      </c>
      <c r="T703" s="25">
        <f>IF(AND(Table1[[#This Row],[Sales]]&lt;&gt;MIN(Table1[Sales]),Table1[[#This Row],[Sales]]&lt;&gt;MAX(Table1[Sales])), Table1[[#This Row],[Sales]], NA())</f>
        <v>29303.55</v>
      </c>
      <c r="U703" s="25" t="e">
        <f>IF(Table1[[#This Row],[Sales]]=MAX(Table1[Sales]), Table1[[#This Row],[Sales]], NA())</f>
        <v>#N/A</v>
      </c>
      <c r="V703">
        <v>6</v>
      </c>
      <c r="W703">
        <v>0.1</v>
      </c>
      <c r="X703">
        <v>1611.7</v>
      </c>
      <c r="Y703" s="3">
        <f>YEAR(Table1[[#This Row],[Order Date]])</f>
        <v>2023</v>
      </c>
      <c r="Z703" s="3" t="str">
        <f>TEXT(Table1[[#This Row],[Order Date]],"MMM")</f>
        <v>Aug</v>
      </c>
      <c r="AA703" s="3">
        <f>DAY(Table1[[#This Row],[Order Date]])</f>
        <v>10</v>
      </c>
    </row>
    <row r="704" spans="1:27" x14ac:dyDescent="0.35">
      <c r="A704" s="1">
        <v>703</v>
      </c>
      <c r="B704" s="1" t="s">
        <v>3140</v>
      </c>
      <c r="C704" s="1" t="s">
        <v>2739</v>
      </c>
      <c r="D704" s="1" t="s">
        <v>125</v>
      </c>
      <c r="E704" t="s">
        <v>115</v>
      </c>
      <c r="F704" t="s">
        <v>3141</v>
      </c>
      <c r="G704" t="s">
        <v>140</v>
      </c>
      <c r="H704" t="s">
        <v>94</v>
      </c>
      <c r="I704" s="1" t="s">
        <v>28</v>
      </c>
      <c r="J704" t="s">
        <v>128</v>
      </c>
      <c r="K704" t="s">
        <v>129</v>
      </c>
      <c r="L704" s="1">
        <v>843107</v>
      </c>
      <c r="M704" s="1" t="s">
        <v>66</v>
      </c>
      <c r="N704" t="s">
        <v>3142</v>
      </c>
      <c r="O704" t="s">
        <v>46</v>
      </c>
      <c r="P704" t="s">
        <v>47</v>
      </c>
      <c r="Q704" t="s">
        <v>48</v>
      </c>
      <c r="R704">
        <v>55352.67</v>
      </c>
      <c r="S704" s="25" t="e">
        <f>IF(Table1[[#This Row],[Sales]]=MIN(Table1[Sales]), Table1[[#This Row],[Sales]], NA())</f>
        <v>#N/A</v>
      </c>
      <c r="T704" s="25">
        <f>IF(AND(Table1[[#This Row],[Sales]]&lt;&gt;MIN(Table1[Sales]),Table1[[#This Row],[Sales]]&lt;&gt;MAX(Table1[Sales])), Table1[[#This Row],[Sales]], NA())</f>
        <v>55352.67</v>
      </c>
      <c r="U704" s="25" t="e">
        <f>IF(Table1[[#This Row],[Sales]]=MAX(Table1[Sales]), Table1[[#This Row],[Sales]], NA())</f>
        <v>#N/A</v>
      </c>
      <c r="V704">
        <v>4</v>
      </c>
      <c r="W704">
        <v>0.2</v>
      </c>
      <c r="X704">
        <v>1660.58</v>
      </c>
      <c r="Y704" s="3">
        <f>YEAR(Table1[[#This Row],[Order Date]])</f>
        <v>2021</v>
      </c>
      <c r="Z704" s="3" t="str">
        <f>TEXT(Table1[[#This Row],[Order Date]],"MMM")</f>
        <v>May</v>
      </c>
      <c r="AA704" s="3">
        <f>DAY(Table1[[#This Row],[Order Date]])</f>
        <v>24</v>
      </c>
    </row>
    <row r="705" spans="1:27" x14ac:dyDescent="0.35">
      <c r="A705" s="1">
        <v>704</v>
      </c>
      <c r="B705" s="1" t="s">
        <v>3143</v>
      </c>
      <c r="C705" s="1" t="s">
        <v>90</v>
      </c>
      <c r="D705" s="1" t="s">
        <v>3144</v>
      </c>
      <c r="E705" t="s">
        <v>62</v>
      </c>
      <c r="F705" t="s">
        <v>3145</v>
      </c>
      <c r="G705" t="s">
        <v>75</v>
      </c>
      <c r="H705" t="s">
        <v>27</v>
      </c>
      <c r="I705" s="1" t="s">
        <v>28</v>
      </c>
      <c r="J705" t="s">
        <v>128</v>
      </c>
      <c r="K705" t="s">
        <v>129</v>
      </c>
      <c r="L705" s="1">
        <v>962676</v>
      </c>
      <c r="M705" s="1" t="s">
        <v>66</v>
      </c>
      <c r="N705" t="s">
        <v>3146</v>
      </c>
      <c r="O705" t="s">
        <v>32</v>
      </c>
      <c r="P705" t="s">
        <v>33</v>
      </c>
      <c r="Q705" t="s">
        <v>34</v>
      </c>
      <c r="R705">
        <v>51421.34</v>
      </c>
      <c r="S705" s="25" t="e">
        <f>IF(Table1[[#This Row],[Sales]]=MIN(Table1[Sales]), Table1[[#This Row],[Sales]], NA())</f>
        <v>#N/A</v>
      </c>
      <c r="T705" s="25">
        <f>IF(AND(Table1[[#This Row],[Sales]]&lt;&gt;MIN(Table1[Sales]),Table1[[#This Row],[Sales]]&lt;&gt;MAX(Table1[Sales])), Table1[[#This Row],[Sales]], NA())</f>
        <v>51421.34</v>
      </c>
      <c r="U705" s="25" t="e">
        <f>IF(Table1[[#This Row],[Sales]]=MAX(Table1[Sales]), Table1[[#This Row],[Sales]], NA())</f>
        <v>#N/A</v>
      </c>
      <c r="V705">
        <v>6</v>
      </c>
      <c r="W705">
        <v>0.3</v>
      </c>
      <c r="X705">
        <v>257.11</v>
      </c>
      <c r="Y705" s="3">
        <f>YEAR(Table1[[#This Row],[Order Date]])</f>
        <v>2023</v>
      </c>
      <c r="Z705" s="3" t="str">
        <f>TEXT(Table1[[#This Row],[Order Date]],"MMM")</f>
        <v>Aug</v>
      </c>
      <c r="AA705" s="3">
        <f>DAY(Table1[[#This Row],[Order Date]])</f>
        <v>27</v>
      </c>
    </row>
    <row r="706" spans="1:27" x14ac:dyDescent="0.35">
      <c r="A706" s="1">
        <v>705</v>
      </c>
      <c r="B706" s="1" t="s">
        <v>3147</v>
      </c>
      <c r="C706" s="1" t="s">
        <v>831</v>
      </c>
      <c r="D706" s="1" t="s">
        <v>3148</v>
      </c>
      <c r="E706" t="s">
        <v>115</v>
      </c>
      <c r="F706" t="s">
        <v>3149</v>
      </c>
      <c r="G706" t="s">
        <v>93</v>
      </c>
      <c r="H706" t="s">
        <v>27</v>
      </c>
      <c r="I706" s="1" t="s">
        <v>28</v>
      </c>
      <c r="J706" t="s">
        <v>128</v>
      </c>
      <c r="K706" t="s">
        <v>129</v>
      </c>
      <c r="L706" s="1">
        <v>981002</v>
      </c>
      <c r="M706" s="1" t="s">
        <v>66</v>
      </c>
      <c r="N706" t="s">
        <v>3150</v>
      </c>
      <c r="O706" t="s">
        <v>46</v>
      </c>
      <c r="P706" t="s">
        <v>47</v>
      </c>
      <c r="Q706" t="s">
        <v>48</v>
      </c>
      <c r="R706">
        <v>47071.02</v>
      </c>
      <c r="S706" s="25" t="e">
        <f>IF(Table1[[#This Row],[Sales]]=MIN(Table1[Sales]), Table1[[#This Row],[Sales]], NA())</f>
        <v>#N/A</v>
      </c>
      <c r="T706" s="25">
        <f>IF(AND(Table1[[#This Row],[Sales]]&lt;&gt;MIN(Table1[Sales]),Table1[[#This Row],[Sales]]&lt;&gt;MAX(Table1[Sales])), Table1[[#This Row],[Sales]], NA())</f>
        <v>47071.02</v>
      </c>
      <c r="U706" s="25" t="e">
        <f>IF(Table1[[#This Row],[Sales]]=MAX(Table1[Sales]), Table1[[#This Row],[Sales]], NA())</f>
        <v>#N/A</v>
      </c>
      <c r="V706">
        <v>7</v>
      </c>
      <c r="W706">
        <v>0.3</v>
      </c>
      <c r="X706">
        <v>235.36</v>
      </c>
      <c r="Y706" s="3">
        <f>YEAR(Table1[[#This Row],[Order Date]])</f>
        <v>2023</v>
      </c>
      <c r="Z706" s="3" t="str">
        <f>TEXT(Table1[[#This Row],[Order Date]],"MMM")</f>
        <v>Dec</v>
      </c>
      <c r="AA706" s="3">
        <f>DAY(Table1[[#This Row],[Order Date]])</f>
        <v>21</v>
      </c>
    </row>
    <row r="707" spans="1:27" x14ac:dyDescent="0.35">
      <c r="A707" s="1">
        <v>706</v>
      </c>
      <c r="B707" s="1" t="s">
        <v>3151</v>
      </c>
      <c r="C707" s="1" t="s">
        <v>3152</v>
      </c>
      <c r="D707" s="1" t="s">
        <v>876</v>
      </c>
      <c r="E707" t="s">
        <v>38</v>
      </c>
      <c r="F707" t="s">
        <v>3153</v>
      </c>
      <c r="G707" t="s">
        <v>188</v>
      </c>
      <c r="H707" t="s">
        <v>94</v>
      </c>
      <c r="I707" s="1" t="s">
        <v>28</v>
      </c>
      <c r="J707" t="s">
        <v>53</v>
      </c>
      <c r="K707" t="s">
        <v>54</v>
      </c>
      <c r="L707" s="1">
        <v>674205</v>
      </c>
      <c r="M707" s="1" t="s">
        <v>55</v>
      </c>
      <c r="N707" t="s">
        <v>3154</v>
      </c>
      <c r="O707" t="s">
        <v>46</v>
      </c>
      <c r="P707" t="s">
        <v>47</v>
      </c>
      <c r="Q707" t="s">
        <v>48</v>
      </c>
      <c r="R707">
        <v>32631.52</v>
      </c>
      <c r="S707" s="25" t="e">
        <f>IF(Table1[[#This Row],[Sales]]=MIN(Table1[Sales]), Table1[[#This Row],[Sales]], NA())</f>
        <v>#N/A</v>
      </c>
      <c r="T707" s="25">
        <f>IF(AND(Table1[[#This Row],[Sales]]&lt;&gt;MIN(Table1[Sales]),Table1[[#This Row],[Sales]]&lt;&gt;MAX(Table1[Sales])), Table1[[#This Row],[Sales]], NA())</f>
        <v>32631.52</v>
      </c>
      <c r="U707" s="25" t="e">
        <f>IF(Table1[[#This Row],[Sales]]=MAX(Table1[Sales]), Table1[[#This Row],[Sales]], NA())</f>
        <v>#N/A</v>
      </c>
      <c r="V707">
        <v>4</v>
      </c>
      <c r="W707">
        <v>0.2</v>
      </c>
      <c r="X707">
        <v>978.95</v>
      </c>
      <c r="Y707" s="3">
        <f>YEAR(Table1[[#This Row],[Order Date]])</f>
        <v>2022</v>
      </c>
      <c r="Z707" s="3" t="str">
        <f>TEXT(Table1[[#This Row],[Order Date]],"MMM")</f>
        <v>Jul</v>
      </c>
      <c r="AA707" s="3">
        <f>DAY(Table1[[#This Row],[Order Date]])</f>
        <v>15</v>
      </c>
    </row>
    <row r="708" spans="1:27" x14ac:dyDescent="0.35">
      <c r="A708" s="1">
        <v>707</v>
      </c>
      <c r="B708" s="1" t="s">
        <v>3155</v>
      </c>
      <c r="C708" s="1" t="s">
        <v>452</v>
      </c>
      <c r="D708" s="1" t="s">
        <v>3156</v>
      </c>
      <c r="E708" t="s">
        <v>38</v>
      </c>
      <c r="F708" t="s">
        <v>3157</v>
      </c>
      <c r="G708" t="s">
        <v>110</v>
      </c>
      <c r="H708" t="s">
        <v>94</v>
      </c>
      <c r="I708" s="1" t="s">
        <v>28</v>
      </c>
      <c r="J708" t="s">
        <v>64</v>
      </c>
      <c r="K708" t="s">
        <v>65</v>
      </c>
      <c r="L708" s="1">
        <v>813112</v>
      </c>
      <c r="M708" s="1" t="s">
        <v>66</v>
      </c>
      <c r="N708" t="s">
        <v>3158</v>
      </c>
      <c r="O708" t="s">
        <v>32</v>
      </c>
      <c r="P708" t="s">
        <v>33</v>
      </c>
      <c r="Q708" t="s">
        <v>34</v>
      </c>
      <c r="R708">
        <v>27560.080000000002</v>
      </c>
      <c r="S708" s="25" t="e">
        <f>IF(Table1[[#This Row],[Sales]]=MIN(Table1[Sales]), Table1[[#This Row],[Sales]], NA())</f>
        <v>#N/A</v>
      </c>
      <c r="T708" s="25">
        <f>IF(AND(Table1[[#This Row],[Sales]]&lt;&gt;MIN(Table1[Sales]),Table1[[#This Row],[Sales]]&lt;&gt;MAX(Table1[Sales])), Table1[[#This Row],[Sales]], NA())</f>
        <v>27560.080000000002</v>
      </c>
      <c r="U708" s="25" t="e">
        <f>IF(Table1[[#This Row],[Sales]]=MAX(Table1[Sales]), Table1[[#This Row],[Sales]], NA())</f>
        <v>#N/A</v>
      </c>
      <c r="V708">
        <v>5</v>
      </c>
      <c r="W708">
        <v>0.2</v>
      </c>
      <c r="X708">
        <v>826.8</v>
      </c>
      <c r="Y708" s="3">
        <f>YEAR(Table1[[#This Row],[Order Date]])</f>
        <v>2023</v>
      </c>
      <c r="Z708" s="3" t="str">
        <f>TEXT(Table1[[#This Row],[Order Date]],"MMM")</f>
        <v>Nov</v>
      </c>
      <c r="AA708" s="3">
        <f>DAY(Table1[[#This Row],[Order Date]])</f>
        <v>6</v>
      </c>
    </row>
    <row r="709" spans="1:27" x14ac:dyDescent="0.35">
      <c r="A709" s="1">
        <v>708</v>
      </c>
      <c r="B709" s="1" t="s">
        <v>3159</v>
      </c>
      <c r="C709" s="1" t="s">
        <v>2404</v>
      </c>
      <c r="D709" s="1" t="s">
        <v>3160</v>
      </c>
      <c r="E709" t="s">
        <v>62</v>
      </c>
      <c r="F709" t="s">
        <v>3161</v>
      </c>
      <c r="G709" t="s">
        <v>40</v>
      </c>
      <c r="H709" t="s">
        <v>27</v>
      </c>
      <c r="I709" s="1" t="s">
        <v>28</v>
      </c>
      <c r="J709" t="s">
        <v>42</v>
      </c>
      <c r="K709" t="s">
        <v>43</v>
      </c>
      <c r="L709" s="1">
        <v>938351</v>
      </c>
      <c r="M709" s="1" t="s">
        <v>44</v>
      </c>
      <c r="N709" t="s">
        <v>3162</v>
      </c>
      <c r="O709" t="s">
        <v>32</v>
      </c>
      <c r="P709" t="s">
        <v>33</v>
      </c>
      <c r="Q709" t="s">
        <v>34</v>
      </c>
      <c r="R709">
        <v>53264.43</v>
      </c>
      <c r="S709" s="25" t="e">
        <f>IF(Table1[[#This Row],[Sales]]=MIN(Table1[Sales]), Table1[[#This Row],[Sales]], NA())</f>
        <v>#N/A</v>
      </c>
      <c r="T709" s="25">
        <f>IF(AND(Table1[[#This Row],[Sales]]&lt;&gt;MIN(Table1[Sales]),Table1[[#This Row],[Sales]]&lt;&gt;MAX(Table1[Sales])), Table1[[#This Row],[Sales]], NA())</f>
        <v>53264.43</v>
      </c>
      <c r="U709" s="25" t="e">
        <f>IF(Table1[[#This Row],[Sales]]=MAX(Table1[Sales]), Table1[[#This Row],[Sales]], NA())</f>
        <v>#N/A</v>
      </c>
      <c r="V709">
        <v>2</v>
      </c>
      <c r="W709">
        <v>0.2</v>
      </c>
      <c r="X709">
        <v>1597.93</v>
      </c>
      <c r="Y709" s="3">
        <f>YEAR(Table1[[#This Row],[Order Date]])</f>
        <v>2023</v>
      </c>
      <c r="Z709" s="3" t="str">
        <f>TEXT(Table1[[#This Row],[Order Date]],"MMM")</f>
        <v>Mar</v>
      </c>
      <c r="AA709" s="3">
        <f>DAY(Table1[[#This Row],[Order Date]])</f>
        <v>29</v>
      </c>
    </row>
    <row r="710" spans="1:27" x14ac:dyDescent="0.35">
      <c r="A710" s="1">
        <v>709</v>
      </c>
      <c r="B710" s="1" t="s">
        <v>3163</v>
      </c>
      <c r="C710" s="1" t="s">
        <v>3164</v>
      </c>
      <c r="D710" s="1" t="s">
        <v>2038</v>
      </c>
      <c r="E710" t="s">
        <v>24</v>
      </c>
      <c r="F710" t="s">
        <v>3165</v>
      </c>
      <c r="G710" t="s">
        <v>40</v>
      </c>
      <c r="H710" t="s">
        <v>27</v>
      </c>
      <c r="I710" s="1" t="s">
        <v>28</v>
      </c>
      <c r="J710" t="s">
        <v>128</v>
      </c>
      <c r="K710" t="s">
        <v>129</v>
      </c>
      <c r="L710" s="1">
        <v>427632</v>
      </c>
      <c r="M710" s="1" t="s">
        <v>66</v>
      </c>
      <c r="N710" t="s">
        <v>3166</v>
      </c>
      <c r="O710" t="s">
        <v>32</v>
      </c>
      <c r="P710" t="s">
        <v>33</v>
      </c>
      <c r="Q710" t="s">
        <v>34</v>
      </c>
      <c r="R710">
        <v>33038.660000000003</v>
      </c>
      <c r="S710" s="25" t="e">
        <f>IF(Table1[[#This Row],[Sales]]=MIN(Table1[Sales]), Table1[[#This Row],[Sales]], NA())</f>
        <v>#N/A</v>
      </c>
      <c r="T710" s="25">
        <f>IF(AND(Table1[[#This Row],[Sales]]&lt;&gt;MIN(Table1[Sales]),Table1[[#This Row],[Sales]]&lt;&gt;MAX(Table1[Sales])), Table1[[#This Row],[Sales]], NA())</f>
        <v>33038.660000000003</v>
      </c>
      <c r="U710" s="25" t="e">
        <f>IF(Table1[[#This Row],[Sales]]=MAX(Table1[Sales]), Table1[[#This Row],[Sales]], NA())</f>
        <v>#N/A</v>
      </c>
      <c r="V710">
        <v>6</v>
      </c>
      <c r="W710">
        <v>0.3</v>
      </c>
      <c r="X710">
        <v>165.19</v>
      </c>
      <c r="Y710" s="3">
        <f>YEAR(Table1[[#This Row],[Order Date]])</f>
        <v>2025</v>
      </c>
      <c r="Z710" s="3" t="str">
        <f>TEXT(Table1[[#This Row],[Order Date]],"MMM")</f>
        <v>Jun</v>
      </c>
      <c r="AA710" s="3">
        <f>DAY(Table1[[#This Row],[Order Date]])</f>
        <v>9</v>
      </c>
    </row>
    <row r="711" spans="1:27" x14ac:dyDescent="0.35">
      <c r="A711" s="1">
        <v>710</v>
      </c>
      <c r="B711" s="1" t="s">
        <v>3167</v>
      </c>
      <c r="C711" s="1" t="s">
        <v>3168</v>
      </c>
      <c r="D711" s="1" t="s">
        <v>3169</v>
      </c>
      <c r="E711" t="s">
        <v>38</v>
      </c>
      <c r="F711" t="s">
        <v>3170</v>
      </c>
      <c r="G711" t="s">
        <v>75</v>
      </c>
      <c r="H711" t="s">
        <v>94</v>
      </c>
      <c r="I711" s="1" t="s">
        <v>28</v>
      </c>
      <c r="J711" t="s">
        <v>64</v>
      </c>
      <c r="K711" t="s">
        <v>65</v>
      </c>
      <c r="L711" s="1">
        <v>133392</v>
      </c>
      <c r="M711" s="1" t="s">
        <v>66</v>
      </c>
      <c r="N711" t="s">
        <v>3171</v>
      </c>
      <c r="O711" t="s">
        <v>46</v>
      </c>
      <c r="P711" t="s">
        <v>47</v>
      </c>
      <c r="Q711" t="s">
        <v>48</v>
      </c>
      <c r="R711">
        <v>77032.240000000005</v>
      </c>
      <c r="S711" s="25" t="e">
        <f>IF(Table1[[#This Row],[Sales]]=MIN(Table1[Sales]), Table1[[#This Row],[Sales]], NA())</f>
        <v>#N/A</v>
      </c>
      <c r="T711" s="25">
        <f>IF(AND(Table1[[#This Row],[Sales]]&lt;&gt;MIN(Table1[Sales]),Table1[[#This Row],[Sales]]&lt;&gt;MAX(Table1[Sales])), Table1[[#This Row],[Sales]], NA())</f>
        <v>77032.240000000005</v>
      </c>
      <c r="U711" s="25" t="e">
        <f>IF(Table1[[#This Row],[Sales]]=MAX(Table1[Sales]), Table1[[#This Row],[Sales]], NA())</f>
        <v>#N/A</v>
      </c>
      <c r="V711">
        <v>6</v>
      </c>
      <c r="W711">
        <v>0.3</v>
      </c>
      <c r="X711">
        <v>385.16</v>
      </c>
      <c r="Y711" s="3">
        <f>YEAR(Table1[[#This Row],[Order Date]])</f>
        <v>2024</v>
      </c>
      <c r="Z711" s="3" t="str">
        <f>TEXT(Table1[[#This Row],[Order Date]],"MMM")</f>
        <v>Aug</v>
      </c>
      <c r="AA711" s="3">
        <f>DAY(Table1[[#This Row],[Order Date]])</f>
        <v>14</v>
      </c>
    </row>
    <row r="712" spans="1:27" x14ac:dyDescent="0.35">
      <c r="A712" s="1">
        <v>711</v>
      </c>
      <c r="B712" s="1" t="s">
        <v>3172</v>
      </c>
      <c r="C712" s="1" t="s">
        <v>3173</v>
      </c>
      <c r="D712" s="1" t="s">
        <v>3174</v>
      </c>
      <c r="E712" t="s">
        <v>62</v>
      </c>
      <c r="F712" t="s">
        <v>3175</v>
      </c>
      <c r="G712" t="s">
        <v>75</v>
      </c>
      <c r="H712" t="s">
        <v>27</v>
      </c>
      <c r="I712" s="1" t="s">
        <v>28</v>
      </c>
      <c r="J712" t="s">
        <v>128</v>
      </c>
      <c r="K712" t="s">
        <v>129</v>
      </c>
      <c r="L712" s="1">
        <v>853091</v>
      </c>
      <c r="M712" s="1" t="s">
        <v>66</v>
      </c>
      <c r="N712" t="s">
        <v>3176</v>
      </c>
      <c r="O712" t="s">
        <v>68</v>
      </c>
      <c r="P712" t="s">
        <v>69</v>
      </c>
      <c r="Q712" t="s">
        <v>70</v>
      </c>
      <c r="R712">
        <v>85600.97</v>
      </c>
      <c r="S712" s="25" t="e">
        <f>IF(Table1[[#This Row],[Sales]]=MIN(Table1[Sales]), Table1[[#This Row],[Sales]], NA())</f>
        <v>#N/A</v>
      </c>
      <c r="T712" s="25">
        <f>IF(AND(Table1[[#This Row],[Sales]]&lt;&gt;MIN(Table1[Sales]),Table1[[#This Row],[Sales]]&lt;&gt;MAX(Table1[Sales])), Table1[[#This Row],[Sales]], NA())</f>
        <v>85600.97</v>
      </c>
      <c r="U712" s="25" t="e">
        <f>IF(Table1[[#This Row],[Sales]]=MAX(Table1[Sales]), Table1[[#This Row],[Sales]], NA())</f>
        <v>#N/A</v>
      </c>
      <c r="V712">
        <v>7</v>
      </c>
      <c r="W712">
        <v>0</v>
      </c>
      <c r="X712">
        <v>6848.08</v>
      </c>
      <c r="Y712" s="3">
        <f>YEAR(Table1[[#This Row],[Order Date]])</f>
        <v>2021</v>
      </c>
      <c r="Z712" s="3" t="str">
        <f>TEXT(Table1[[#This Row],[Order Date]],"MMM")</f>
        <v>Apr</v>
      </c>
      <c r="AA712" s="3">
        <f>DAY(Table1[[#This Row],[Order Date]])</f>
        <v>15</v>
      </c>
    </row>
    <row r="713" spans="1:27" x14ac:dyDescent="0.35">
      <c r="A713" s="1">
        <v>712</v>
      </c>
      <c r="B713" s="1" t="s">
        <v>3177</v>
      </c>
      <c r="C713" s="1" t="s">
        <v>3178</v>
      </c>
      <c r="D713" s="1" t="s">
        <v>3129</v>
      </c>
      <c r="E713" t="s">
        <v>115</v>
      </c>
      <c r="F713" t="s">
        <v>3179</v>
      </c>
      <c r="G713" t="s">
        <v>26</v>
      </c>
      <c r="H713" t="s">
        <v>41</v>
      </c>
      <c r="I713" s="1" t="s">
        <v>28</v>
      </c>
      <c r="J713" t="s">
        <v>128</v>
      </c>
      <c r="K713" t="s">
        <v>129</v>
      </c>
      <c r="L713" s="1">
        <v>304274</v>
      </c>
      <c r="M713" s="1" t="s">
        <v>66</v>
      </c>
      <c r="N713" t="s">
        <v>3180</v>
      </c>
      <c r="O713" t="s">
        <v>46</v>
      </c>
      <c r="P713" t="s">
        <v>47</v>
      </c>
      <c r="Q713" t="s">
        <v>48</v>
      </c>
      <c r="R713">
        <v>51461.61</v>
      </c>
      <c r="S713" s="25" t="e">
        <f>IF(Table1[[#This Row],[Sales]]=MIN(Table1[Sales]), Table1[[#This Row],[Sales]], NA())</f>
        <v>#N/A</v>
      </c>
      <c r="T713" s="25">
        <f>IF(AND(Table1[[#This Row],[Sales]]&lt;&gt;MIN(Table1[Sales]),Table1[[#This Row],[Sales]]&lt;&gt;MAX(Table1[Sales])), Table1[[#This Row],[Sales]], NA())</f>
        <v>51461.61</v>
      </c>
      <c r="U713" s="25" t="e">
        <f>IF(Table1[[#This Row],[Sales]]=MAX(Table1[Sales]), Table1[[#This Row],[Sales]], NA())</f>
        <v>#N/A</v>
      </c>
      <c r="V713">
        <v>7</v>
      </c>
      <c r="W713">
        <v>0.3</v>
      </c>
      <c r="X713">
        <v>257.31</v>
      </c>
      <c r="Y713" s="3">
        <f>YEAR(Table1[[#This Row],[Order Date]])</f>
        <v>2022</v>
      </c>
      <c r="Z713" s="3" t="str">
        <f>TEXT(Table1[[#This Row],[Order Date]],"MMM")</f>
        <v>Apr</v>
      </c>
      <c r="AA713" s="3">
        <f>DAY(Table1[[#This Row],[Order Date]])</f>
        <v>22</v>
      </c>
    </row>
    <row r="714" spans="1:27" x14ac:dyDescent="0.35">
      <c r="A714" s="1">
        <v>713</v>
      </c>
      <c r="B714" s="1" t="s">
        <v>3181</v>
      </c>
      <c r="C714" s="1" t="s">
        <v>794</v>
      </c>
      <c r="D714" s="1" t="s">
        <v>3182</v>
      </c>
      <c r="E714" t="s">
        <v>115</v>
      </c>
      <c r="F714" t="s">
        <v>3183</v>
      </c>
      <c r="G714" t="s">
        <v>87</v>
      </c>
      <c r="H714" t="s">
        <v>27</v>
      </c>
      <c r="I714" s="1" t="s">
        <v>28</v>
      </c>
      <c r="J714" t="s">
        <v>128</v>
      </c>
      <c r="K714" t="s">
        <v>129</v>
      </c>
      <c r="L714" s="1">
        <v>886005</v>
      </c>
      <c r="M714" s="1" t="s">
        <v>66</v>
      </c>
      <c r="N714" t="s">
        <v>3184</v>
      </c>
      <c r="O714" t="s">
        <v>46</v>
      </c>
      <c r="P714" t="s">
        <v>57</v>
      </c>
      <c r="Q714" t="s">
        <v>58</v>
      </c>
      <c r="R714">
        <v>64689.599999999999</v>
      </c>
      <c r="S714" s="25" t="e">
        <f>IF(Table1[[#This Row],[Sales]]=MIN(Table1[Sales]), Table1[[#This Row],[Sales]], NA())</f>
        <v>#N/A</v>
      </c>
      <c r="T714" s="25">
        <f>IF(AND(Table1[[#This Row],[Sales]]&lt;&gt;MIN(Table1[Sales]),Table1[[#This Row],[Sales]]&lt;&gt;MAX(Table1[Sales])), Table1[[#This Row],[Sales]], NA())</f>
        <v>64689.599999999999</v>
      </c>
      <c r="U714" s="25" t="e">
        <f>IF(Table1[[#This Row],[Sales]]=MAX(Table1[Sales]), Table1[[#This Row],[Sales]], NA())</f>
        <v>#N/A</v>
      </c>
      <c r="V714">
        <v>5</v>
      </c>
      <c r="W714">
        <v>0.3</v>
      </c>
      <c r="X714">
        <v>323.45</v>
      </c>
      <c r="Y714" s="3">
        <f>YEAR(Table1[[#This Row],[Order Date]])</f>
        <v>2023</v>
      </c>
      <c r="Z714" s="3" t="str">
        <f>TEXT(Table1[[#This Row],[Order Date]],"MMM")</f>
        <v>Oct</v>
      </c>
      <c r="AA714" s="3">
        <f>DAY(Table1[[#This Row],[Order Date]])</f>
        <v>25</v>
      </c>
    </row>
    <row r="715" spans="1:27" x14ac:dyDescent="0.35">
      <c r="A715" s="1">
        <v>714</v>
      </c>
      <c r="B715" s="1" t="s">
        <v>3185</v>
      </c>
      <c r="C715" s="1" t="s">
        <v>3186</v>
      </c>
      <c r="D715" s="1" t="s">
        <v>3187</v>
      </c>
      <c r="E715" t="s">
        <v>24</v>
      </c>
      <c r="F715" t="s">
        <v>3188</v>
      </c>
      <c r="G715" t="s">
        <v>40</v>
      </c>
      <c r="H715" t="s">
        <v>94</v>
      </c>
      <c r="I715" s="1" t="s">
        <v>28</v>
      </c>
      <c r="J715" t="s">
        <v>53</v>
      </c>
      <c r="K715" t="s">
        <v>54</v>
      </c>
      <c r="L715" s="1">
        <v>613059</v>
      </c>
      <c r="M715" s="1" t="s">
        <v>55</v>
      </c>
      <c r="N715" t="s">
        <v>3189</v>
      </c>
      <c r="O715" t="s">
        <v>46</v>
      </c>
      <c r="P715" t="s">
        <v>47</v>
      </c>
      <c r="Q715" t="s">
        <v>48</v>
      </c>
      <c r="R715">
        <v>8083.01</v>
      </c>
      <c r="S715" s="25" t="e">
        <f>IF(Table1[[#This Row],[Sales]]=MIN(Table1[Sales]), Table1[[#This Row],[Sales]], NA())</f>
        <v>#N/A</v>
      </c>
      <c r="T715" s="25">
        <f>IF(AND(Table1[[#This Row],[Sales]]&lt;&gt;MIN(Table1[Sales]),Table1[[#This Row],[Sales]]&lt;&gt;MAX(Table1[Sales])), Table1[[#This Row],[Sales]], NA())</f>
        <v>8083.01</v>
      </c>
      <c r="U715" s="25" t="e">
        <f>IF(Table1[[#This Row],[Sales]]=MAX(Table1[Sales]), Table1[[#This Row],[Sales]], NA())</f>
        <v>#N/A</v>
      </c>
      <c r="V715">
        <v>5</v>
      </c>
      <c r="W715">
        <v>0.1</v>
      </c>
      <c r="X715">
        <v>444.57</v>
      </c>
      <c r="Y715" s="3">
        <f>YEAR(Table1[[#This Row],[Order Date]])</f>
        <v>2024</v>
      </c>
      <c r="Z715" s="3" t="str">
        <f>TEXT(Table1[[#This Row],[Order Date]],"MMM")</f>
        <v>Jun</v>
      </c>
      <c r="AA715" s="3">
        <f>DAY(Table1[[#This Row],[Order Date]])</f>
        <v>15</v>
      </c>
    </row>
    <row r="716" spans="1:27" x14ac:dyDescent="0.35">
      <c r="A716" s="1">
        <v>715</v>
      </c>
      <c r="B716" s="1" t="s">
        <v>3190</v>
      </c>
      <c r="C716" s="1" t="s">
        <v>3191</v>
      </c>
      <c r="D716" s="1" t="s">
        <v>3192</v>
      </c>
      <c r="E716" t="s">
        <v>38</v>
      </c>
      <c r="F716" t="s">
        <v>3193</v>
      </c>
      <c r="G716" t="s">
        <v>93</v>
      </c>
      <c r="H716" t="s">
        <v>41</v>
      </c>
      <c r="I716" s="1" t="s">
        <v>28</v>
      </c>
      <c r="J716" t="s">
        <v>53</v>
      </c>
      <c r="K716" t="s">
        <v>54</v>
      </c>
      <c r="L716" s="1">
        <v>466129</v>
      </c>
      <c r="M716" s="1" t="s">
        <v>55</v>
      </c>
      <c r="N716" t="s">
        <v>3194</v>
      </c>
      <c r="O716" t="s">
        <v>46</v>
      </c>
      <c r="P716" t="s">
        <v>57</v>
      </c>
      <c r="Q716" t="s">
        <v>58</v>
      </c>
      <c r="R716">
        <v>99770.46</v>
      </c>
      <c r="S716" s="25" t="e">
        <f>IF(Table1[[#This Row],[Sales]]=MIN(Table1[Sales]), Table1[[#This Row],[Sales]], NA())</f>
        <v>#N/A</v>
      </c>
      <c r="T716" s="25">
        <f>IF(AND(Table1[[#This Row],[Sales]]&lt;&gt;MIN(Table1[Sales]),Table1[[#This Row],[Sales]]&lt;&gt;MAX(Table1[Sales])), Table1[[#This Row],[Sales]], NA())</f>
        <v>99770.46</v>
      </c>
      <c r="U716" s="25" t="e">
        <f>IF(Table1[[#This Row],[Sales]]=MAX(Table1[Sales]), Table1[[#This Row],[Sales]], NA())</f>
        <v>#N/A</v>
      </c>
      <c r="V716">
        <v>8</v>
      </c>
      <c r="W716">
        <v>0.3</v>
      </c>
      <c r="X716">
        <v>498.85</v>
      </c>
      <c r="Y716" s="3">
        <f>YEAR(Table1[[#This Row],[Order Date]])</f>
        <v>2022</v>
      </c>
      <c r="Z716" s="3" t="str">
        <f>TEXT(Table1[[#This Row],[Order Date]],"MMM")</f>
        <v>Oct</v>
      </c>
      <c r="AA716" s="3">
        <f>DAY(Table1[[#This Row],[Order Date]])</f>
        <v>23</v>
      </c>
    </row>
    <row r="717" spans="1:27" x14ac:dyDescent="0.35">
      <c r="A717" s="1">
        <v>716</v>
      </c>
      <c r="B717" s="1" t="s">
        <v>3195</v>
      </c>
      <c r="C717" s="1" t="s">
        <v>3196</v>
      </c>
      <c r="D717" s="1" t="s">
        <v>3197</v>
      </c>
      <c r="E717" t="s">
        <v>115</v>
      </c>
      <c r="F717" t="s">
        <v>3198</v>
      </c>
      <c r="G717" t="s">
        <v>93</v>
      </c>
      <c r="H717" t="s">
        <v>41</v>
      </c>
      <c r="I717" s="1" t="s">
        <v>28</v>
      </c>
      <c r="J717" t="s">
        <v>64</v>
      </c>
      <c r="K717" t="s">
        <v>65</v>
      </c>
      <c r="L717" s="1">
        <v>224710</v>
      </c>
      <c r="M717" s="1" t="s">
        <v>66</v>
      </c>
      <c r="N717" t="s">
        <v>3199</v>
      </c>
      <c r="O717" t="s">
        <v>46</v>
      </c>
      <c r="P717" t="s">
        <v>57</v>
      </c>
      <c r="Q717" t="s">
        <v>58</v>
      </c>
      <c r="R717">
        <v>73710.649999999994</v>
      </c>
      <c r="S717" s="25" t="e">
        <f>IF(Table1[[#This Row],[Sales]]=MIN(Table1[Sales]), Table1[[#This Row],[Sales]], NA())</f>
        <v>#N/A</v>
      </c>
      <c r="T717" s="25">
        <f>IF(AND(Table1[[#This Row],[Sales]]&lt;&gt;MIN(Table1[Sales]),Table1[[#This Row],[Sales]]&lt;&gt;MAX(Table1[Sales])), Table1[[#This Row],[Sales]], NA())</f>
        <v>73710.649999999994</v>
      </c>
      <c r="U717" s="25" t="e">
        <f>IF(Table1[[#This Row],[Sales]]=MAX(Table1[Sales]), Table1[[#This Row],[Sales]], NA())</f>
        <v>#N/A</v>
      </c>
      <c r="V717">
        <v>6</v>
      </c>
      <c r="W717">
        <v>0.2</v>
      </c>
      <c r="X717">
        <v>2211.3200000000002</v>
      </c>
      <c r="Y717" s="3">
        <f>YEAR(Table1[[#This Row],[Order Date]])</f>
        <v>2023</v>
      </c>
      <c r="Z717" s="3" t="str">
        <f>TEXT(Table1[[#This Row],[Order Date]],"MMM")</f>
        <v>Jun</v>
      </c>
      <c r="AA717" s="3">
        <f>DAY(Table1[[#This Row],[Order Date]])</f>
        <v>28</v>
      </c>
    </row>
    <row r="718" spans="1:27" x14ac:dyDescent="0.35">
      <c r="A718" s="1">
        <v>717</v>
      </c>
      <c r="B718" s="1" t="s">
        <v>3200</v>
      </c>
      <c r="C718" s="1" t="s">
        <v>1210</v>
      </c>
      <c r="D718" s="1" t="s">
        <v>2766</v>
      </c>
      <c r="E718" t="s">
        <v>62</v>
      </c>
      <c r="F718" t="s">
        <v>3201</v>
      </c>
      <c r="G718" t="s">
        <v>40</v>
      </c>
      <c r="H718" t="s">
        <v>41</v>
      </c>
      <c r="I718" s="1" t="s">
        <v>28</v>
      </c>
      <c r="J718" t="s">
        <v>128</v>
      </c>
      <c r="K718" t="s">
        <v>129</v>
      </c>
      <c r="L718" s="1">
        <v>572771</v>
      </c>
      <c r="M718" s="1" t="s">
        <v>66</v>
      </c>
      <c r="N718" t="s">
        <v>3202</v>
      </c>
      <c r="O718" t="s">
        <v>46</v>
      </c>
      <c r="P718" t="s">
        <v>47</v>
      </c>
      <c r="Q718" t="s">
        <v>48</v>
      </c>
      <c r="R718">
        <v>28467.87</v>
      </c>
      <c r="S718" s="25" t="e">
        <f>IF(Table1[[#This Row],[Sales]]=MIN(Table1[Sales]), Table1[[#This Row],[Sales]], NA())</f>
        <v>#N/A</v>
      </c>
      <c r="T718" s="25">
        <f>IF(AND(Table1[[#This Row],[Sales]]&lt;&gt;MIN(Table1[Sales]),Table1[[#This Row],[Sales]]&lt;&gt;MAX(Table1[Sales])), Table1[[#This Row],[Sales]], NA())</f>
        <v>28467.87</v>
      </c>
      <c r="U718" s="25" t="e">
        <f>IF(Table1[[#This Row],[Sales]]=MAX(Table1[Sales]), Table1[[#This Row],[Sales]], NA())</f>
        <v>#N/A</v>
      </c>
      <c r="V718">
        <v>10</v>
      </c>
      <c r="W718">
        <v>0</v>
      </c>
      <c r="X718">
        <v>2277.4299999999998</v>
      </c>
      <c r="Y718" s="3">
        <f>YEAR(Table1[[#This Row],[Order Date]])</f>
        <v>2021</v>
      </c>
      <c r="Z718" s="3" t="str">
        <f>TEXT(Table1[[#This Row],[Order Date]],"MMM")</f>
        <v>Jan</v>
      </c>
      <c r="AA718" s="3">
        <f>DAY(Table1[[#This Row],[Order Date]])</f>
        <v>18</v>
      </c>
    </row>
    <row r="719" spans="1:27" x14ac:dyDescent="0.35">
      <c r="A719" s="1">
        <v>718</v>
      </c>
      <c r="B719" s="1" t="s">
        <v>3203</v>
      </c>
      <c r="C719" s="1" t="s">
        <v>3204</v>
      </c>
      <c r="D719" s="1" t="s">
        <v>1005</v>
      </c>
      <c r="E719" t="s">
        <v>38</v>
      </c>
      <c r="F719" t="s">
        <v>3205</v>
      </c>
      <c r="G719" t="s">
        <v>122</v>
      </c>
      <c r="H719" t="s">
        <v>41</v>
      </c>
      <c r="I719" s="1" t="s">
        <v>28</v>
      </c>
      <c r="J719" t="s">
        <v>42</v>
      </c>
      <c r="K719" t="s">
        <v>43</v>
      </c>
      <c r="L719" s="1">
        <v>365746</v>
      </c>
      <c r="M719" s="1" t="s">
        <v>44</v>
      </c>
      <c r="N719" t="s">
        <v>3206</v>
      </c>
      <c r="O719" t="s">
        <v>68</v>
      </c>
      <c r="P719" t="s">
        <v>69</v>
      </c>
      <c r="Q719" t="s">
        <v>70</v>
      </c>
      <c r="R719">
        <v>34129.980000000003</v>
      </c>
      <c r="S719" s="25" t="e">
        <f>IF(Table1[[#This Row],[Sales]]=MIN(Table1[Sales]), Table1[[#This Row],[Sales]], NA())</f>
        <v>#N/A</v>
      </c>
      <c r="T719" s="25">
        <f>IF(AND(Table1[[#This Row],[Sales]]&lt;&gt;MIN(Table1[Sales]),Table1[[#This Row],[Sales]]&lt;&gt;MAX(Table1[Sales])), Table1[[#This Row],[Sales]], NA())</f>
        <v>34129.980000000003</v>
      </c>
      <c r="U719" s="25" t="e">
        <f>IF(Table1[[#This Row],[Sales]]=MAX(Table1[Sales]), Table1[[#This Row],[Sales]], NA())</f>
        <v>#N/A</v>
      </c>
      <c r="V719">
        <v>2</v>
      </c>
      <c r="W719">
        <v>0.2</v>
      </c>
      <c r="X719">
        <v>1023.9</v>
      </c>
      <c r="Y719" s="3">
        <f>YEAR(Table1[[#This Row],[Order Date]])</f>
        <v>2023</v>
      </c>
      <c r="Z719" s="3" t="str">
        <f>TEXT(Table1[[#This Row],[Order Date]],"MMM")</f>
        <v>Nov</v>
      </c>
      <c r="AA719" s="3">
        <f>DAY(Table1[[#This Row],[Order Date]])</f>
        <v>3</v>
      </c>
    </row>
    <row r="720" spans="1:27" x14ac:dyDescent="0.35">
      <c r="A720" s="1">
        <v>719</v>
      </c>
      <c r="B720" s="1" t="s">
        <v>3207</v>
      </c>
      <c r="C720" s="1" t="s">
        <v>3208</v>
      </c>
      <c r="D720" s="1" t="s">
        <v>1668</v>
      </c>
      <c r="E720" t="s">
        <v>24</v>
      </c>
      <c r="F720" t="s">
        <v>3209</v>
      </c>
      <c r="G720" t="s">
        <v>75</v>
      </c>
      <c r="H720" t="s">
        <v>27</v>
      </c>
      <c r="I720" s="1" t="s">
        <v>28</v>
      </c>
      <c r="J720" t="s">
        <v>53</v>
      </c>
      <c r="K720" t="s">
        <v>54</v>
      </c>
      <c r="L720" s="1">
        <v>245318</v>
      </c>
      <c r="M720" s="1" t="s">
        <v>55</v>
      </c>
      <c r="N720" t="s">
        <v>3210</v>
      </c>
      <c r="O720" t="s">
        <v>32</v>
      </c>
      <c r="P720" t="s">
        <v>33</v>
      </c>
      <c r="Q720" t="s">
        <v>34</v>
      </c>
      <c r="R720">
        <v>18818.47</v>
      </c>
      <c r="S720" s="25" t="e">
        <f>IF(Table1[[#This Row],[Sales]]=MIN(Table1[Sales]), Table1[[#This Row],[Sales]], NA())</f>
        <v>#N/A</v>
      </c>
      <c r="T720" s="25">
        <f>IF(AND(Table1[[#This Row],[Sales]]&lt;&gt;MIN(Table1[Sales]),Table1[[#This Row],[Sales]]&lt;&gt;MAX(Table1[Sales])), Table1[[#This Row],[Sales]], NA())</f>
        <v>18818.47</v>
      </c>
      <c r="U720" s="25" t="e">
        <f>IF(Table1[[#This Row],[Sales]]=MAX(Table1[Sales]), Table1[[#This Row],[Sales]], NA())</f>
        <v>#N/A</v>
      </c>
      <c r="V720">
        <v>10</v>
      </c>
      <c r="W720">
        <v>0.2</v>
      </c>
      <c r="X720">
        <v>564.54999999999995</v>
      </c>
      <c r="Y720" s="3">
        <f>YEAR(Table1[[#This Row],[Order Date]])</f>
        <v>2023</v>
      </c>
      <c r="Z720" s="3" t="str">
        <f>TEXT(Table1[[#This Row],[Order Date]],"MMM")</f>
        <v>Apr</v>
      </c>
      <c r="AA720" s="3">
        <f>DAY(Table1[[#This Row],[Order Date]])</f>
        <v>6</v>
      </c>
    </row>
    <row r="721" spans="1:27" x14ac:dyDescent="0.35">
      <c r="A721" s="1">
        <v>720</v>
      </c>
      <c r="B721" s="1" t="s">
        <v>3211</v>
      </c>
      <c r="C721" s="1" t="s">
        <v>2193</v>
      </c>
      <c r="D721" s="1" t="s">
        <v>3212</v>
      </c>
      <c r="E721" t="s">
        <v>24</v>
      </c>
      <c r="F721" t="s">
        <v>3213</v>
      </c>
      <c r="G721" t="s">
        <v>26</v>
      </c>
      <c r="H721" t="s">
        <v>41</v>
      </c>
      <c r="I721" s="1" t="s">
        <v>28</v>
      </c>
      <c r="J721" t="s">
        <v>128</v>
      </c>
      <c r="K721" t="s">
        <v>129</v>
      </c>
      <c r="L721" s="1">
        <v>761565</v>
      </c>
      <c r="M721" s="1" t="s">
        <v>66</v>
      </c>
      <c r="N721" t="s">
        <v>3214</v>
      </c>
      <c r="O721" t="s">
        <v>32</v>
      </c>
      <c r="P721" t="s">
        <v>33</v>
      </c>
      <c r="Q721" t="s">
        <v>34</v>
      </c>
      <c r="R721">
        <v>64202.86</v>
      </c>
      <c r="S721" s="25" t="e">
        <f>IF(Table1[[#This Row],[Sales]]=MIN(Table1[Sales]), Table1[[#This Row],[Sales]], NA())</f>
        <v>#N/A</v>
      </c>
      <c r="T721" s="25">
        <f>IF(AND(Table1[[#This Row],[Sales]]&lt;&gt;MIN(Table1[Sales]),Table1[[#This Row],[Sales]]&lt;&gt;MAX(Table1[Sales])), Table1[[#This Row],[Sales]], NA())</f>
        <v>64202.86</v>
      </c>
      <c r="U721" s="25" t="e">
        <f>IF(Table1[[#This Row],[Sales]]=MAX(Table1[Sales]), Table1[[#This Row],[Sales]], NA())</f>
        <v>#N/A</v>
      </c>
      <c r="V721">
        <v>10</v>
      </c>
      <c r="W721">
        <v>0.1</v>
      </c>
      <c r="X721">
        <v>3531.16</v>
      </c>
      <c r="Y721" s="3">
        <f>YEAR(Table1[[#This Row],[Order Date]])</f>
        <v>2025</v>
      </c>
      <c r="Z721" s="3" t="str">
        <f>TEXT(Table1[[#This Row],[Order Date]],"MMM")</f>
        <v>Jul</v>
      </c>
      <c r="AA721" s="3">
        <f>DAY(Table1[[#This Row],[Order Date]])</f>
        <v>11</v>
      </c>
    </row>
    <row r="722" spans="1:27" x14ac:dyDescent="0.35">
      <c r="A722" s="1">
        <v>721</v>
      </c>
      <c r="B722" s="1" t="s">
        <v>3215</v>
      </c>
      <c r="C722" s="1" t="s">
        <v>3216</v>
      </c>
      <c r="D722" s="1" t="s">
        <v>2083</v>
      </c>
      <c r="E722" t="s">
        <v>38</v>
      </c>
      <c r="F722" t="s">
        <v>3217</v>
      </c>
      <c r="G722" t="s">
        <v>110</v>
      </c>
      <c r="H722" t="s">
        <v>27</v>
      </c>
      <c r="I722" s="1" t="s">
        <v>28</v>
      </c>
      <c r="J722" t="s">
        <v>128</v>
      </c>
      <c r="K722" t="s">
        <v>129</v>
      </c>
      <c r="L722" s="1">
        <v>406873</v>
      </c>
      <c r="M722" s="1" t="s">
        <v>66</v>
      </c>
      <c r="N722" t="s">
        <v>3218</v>
      </c>
      <c r="O722" t="s">
        <v>68</v>
      </c>
      <c r="P722" t="s">
        <v>69</v>
      </c>
      <c r="Q722" t="s">
        <v>70</v>
      </c>
      <c r="R722">
        <v>19156.38</v>
      </c>
      <c r="S722" s="25" t="e">
        <f>IF(Table1[[#This Row],[Sales]]=MIN(Table1[Sales]), Table1[[#This Row],[Sales]], NA())</f>
        <v>#N/A</v>
      </c>
      <c r="T722" s="25">
        <f>IF(AND(Table1[[#This Row],[Sales]]&lt;&gt;MIN(Table1[Sales]),Table1[[#This Row],[Sales]]&lt;&gt;MAX(Table1[Sales])), Table1[[#This Row],[Sales]], NA())</f>
        <v>19156.38</v>
      </c>
      <c r="U722" s="25" t="e">
        <f>IF(Table1[[#This Row],[Sales]]=MAX(Table1[Sales]), Table1[[#This Row],[Sales]], NA())</f>
        <v>#N/A</v>
      </c>
      <c r="V722">
        <v>6</v>
      </c>
      <c r="W722">
        <v>0.1</v>
      </c>
      <c r="X722">
        <v>1053.5999999999999</v>
      </c>
      <c r="Y722" s="3">
        <f>YEAR(Table1[[#This Row],[Order Date]])</f>
        <v>2024</v>
      </c>
      <c r="Z722" s="3" t="str">
        <f>TEXT(Table1[[#This Row],[Order Date]],"MMM")</f>
        <v>Oct</v>
      </c>
      <c r="AA722" s="3">
        <f>DAY(Table1[[#This Row],[Order Date]])</f>
        <v>7</v>
      </c>
    </row>
    <row r="723" spans="1:27" x14ac:dyDescent="0.35">
      <c r="A723" s="1">
        <v>722</v>
      </c>
      <c r="B723" s="1" t="s">
        <v>3219</v>
      </c>
      <c r="C723" s="1" t="s">
        <v>3220</v>
      </c>
      <c r="D723" s="1" t="s">
        <v>2525</v>
      </c>
      <c r="E723" t="s">
        <v>38</v>
      </c>
      <c r="F723" t="s">
        <v>3221</v>
      </c>
      <c r="G723" t="s">
        <v>26</v>
      </c>
      <c r="H723" t="s">
        <v>27</v>
      </c>
      <c r="I723" s="1" t="s">
        <v>28</v>
      </c>
      <c r="J723" t="s">
        <v>128</v>
      </c>
      <c r="K723" t="s">
        <v>129</v>
      </c>
      <c r="L723" s="1">
        <v>355058</v>
      </c>
      <c r="M723" s="1" t="s">
        <v>66</v>
      </c>
      <c r="N723" t="s">
        <v>3222</v>
      </c>
      <c r="O723" t="s">
        <v>46</v>
      </c>
      <c r="P723" t="s">
        <v>57</v>
      </c>
      <c r="Q723" t="s">
        <v>58</v>
      </c>
      <c r="R723">
        <v>40021.32</v>
      </c>
      <c r="S723" s="25" t="e">
        <f>IF(Table1[[#This Row],[Sales]]=MIN(Table1[Sales]), Table1[[#This Row],[Sales]], NA())</f>
        <v>#N/A</v>
      </c>
      <c r="T723" s="25">
        <f>IF(AND(Table1[[#This Row],[Sales]]&lt;&gt;MIN(Table1[Sales]),Table1[[#This Row],[Sales]]&lt;&gt;MAX(Table1[Sales])), Table1[[#This Row],[Sales]], NA())</f>
        <v>40021.32</v>
      </c>
      <c r="U723" s="25" t="e">
        <f>IF(Table1[[#This Row],[Sales]]=MAX(Table1[Sales]), Table1[[#This Row],[Sales]], NA())</f>
        <v>#N/A</v>
      </c>
      <c r="V723">
        <v>4</v>
      </c>
      <c r="W723">
        <v>0.3</v>
      </c>
      <c r="X723">
        <v>200.11</v>
      </c>
      <c r="Y723" s="3">
        <f>YEAR(Table1[[#This Row],[Order Date]])</f>
        <v>2023</v>
      </c>
      <c r="Z723" s="3" t="str">
        <f>TEXT(Table1[[#This Row],[Order Date]],"MMM")</f>
        <v>Feb</v>
      </c>
      <c r="AA723" s="3">
        <f>DAY(Table1[[#This Row],[Order Date]])</f>
        <v>28</v>
      </c>
    </row>
    <row r="724" spans="1:27" x14ac:dyDescent="0.35">
      <c r="A724" s="1">
        <v>723</v>
      </c>
      <c r="B724" s="1" t="s">
        <v>3223</v>
      </c>
      <c r="C724" s="1" t="s">
        <v>3168</v>
      </c>
      <c r="D724" s="1" t="s">
        <v>3169</v>
      </c>
      <c r="E724" t="s">
        <v>24</v>
      </c>
      <c r="F724" t="s">
        <v>3224</v>
      </c>
      <c r="G724" t="s">
        <v>188</v>
      </c>
      <c r="H724" t="s">
        <v>27</v>
      </c>
      <c r="I724" s="1" t="s">
        <v>28</v>
      </c>
      <c r="J724" t="s">
        <v>53</v>
      </c>
      <c r="K724" t="s">
        <v>54</v>
      </c>
      <c r="L724" s="1">
        <v>777619</v>
      </c>
      <c r="M724" s="1" t="s">
        <v>55</v>
      </c>
      <c r="N724" t="s">
        <v>3225</v>
      </c>
      <c r="O724" t="s">
        <v>32</v>
      </c>
      <c r="P724" t="s">
        <v>33</v>
      </c>
      <c r="Q724" t="s">
        <v>34</v>
      </c>
      <c r="R724">
        <v>38457.29</v>
      </c>
      <c r="S724" s="25" t="e">
        <f>IF(Table1[[#This Row],[Sales]]=MIN(Table1[Sales]), Table1[[#This Row],[Sales]], NA())</f>
        <v>#N/A</v>
      </c>
      <c r="T724" s="25">
        <f>IF(AND(Table1[[#This Row],[Sales]]&lt;&gt;MIN(Table1[Sales]),Table1[[#This Row],[Sales]]&lt;&gt;MAX(Table1[Sales])), Table1[[#This Row],[Sales]], NA())</f>
        <v>38457.29</v>
      </c>
      <c r="U724" s="25" t="e">
        <f>IF(Table1[[#This Row],[Sales]]=MAX(Table1[Sales]), Table1[[#This Row],[Sales]], NA())</f>
        <v>#N/A</v>
      </c>
      <c r="V724">
        <v>9</v>
      </c>
      <c r="W724">
        <v>0.3</v>
      </c>
      <c r="X724">
        <v>192.29</v>
      </c>
      <c r="Y724" s="3">
        <f>YEAR(Table1[[#This Row],[Order Date]])</f>
        <v>2024</v>
      </c>
      <c r="Z724" s="3" t="str">
        <f>TEXT(Table1[[#This Row],[Order Date]],"MMM")</f>
        <v>Aug</v>
      </c>
      <c r="AA724" s="3">
        <f>DAY(Table1[[#This Row],[Order Date]])</f>
        <v>14</v>
      </c>
    </row>
    <row r="725" spans="1:27" x14ac:dyDescent="0.35">
      <c r="A725" s="1">
        <v>724</v>
      </c>
      <c r="B725" s="1" t="s">
        <v>3226</v>
      </c>
      <c r="C725" s="1" t="s">
        <v>336</v>
      </c>
      <c r="D725" s="1" t="s">
        <v>3227</v>
      </c>
      <c r="E725" t="s">
        <v>24</v>
      </c>
      <c r="F725" t="s">
        <v>3228</v>
      </c>
      <c r="G725" t="s">
        <v>75</v>
      </c>
      <c r="H725" t="s">
        <v>94</v>
      </c>
      <c r="I725" s="1" t="s">
        <v>28</v>
      </c>
      <c r="J725" t="s">
        <v>29</v>
      </c>
      <c r="K725" t="s">
        <v>29</v>
      </c>
      <c r="L725" s="1">
        <v>211209</v>
      </c>
      <c r="M725" s="1" t="s">
        <v>30</v>
      </c>
      <c r="N725" t="s">
        <v>3229</v>
      </c>
      <c r="O725" t="s">
        <v>46</v>
      </c>
      <c r="P725" t="s">
        <v>47</v>
      </c>
      <c r="Q725" t="s">
        <v>48</v>
      </c>
      <c r="R725">
        <v>45593.67</v>
      </c>
      <c r="S725" s="25" t="e">
        <f>IF(Table1[[#This Row],[Sales]]=MIN(Table1[Sales]), Table1[[#This Row],[Sales]], NA())</f>
        <v>#N/A</v>
      </c>
      <c r="T725" s="25">
        <f>IF(AND(Table1[[#This Row],[Sales]]&lt;&gt;MIN(Table1[Sales]),Table1[[#This Row],[Sales]]&lt;&gt;MAX(Table1[Sales])), Table1[[#This Row],[Sales]], NA())</f>
        <v>45593.67</v>
      </c>
      <c r="U725" s="25" t="e">
        <f>IF(Table1[[#This Row],[Sales]]=MAX(Table1[Sales]), Table1[[#This Row],[Sales]], NA())</f>
        <v>#N/A</v>
      </c>
      <c r="V725">
        <v>3</v>
      </c>
      <c r="W725">
        <v>0.3</v>
      </c>
      <c r="X725">
        <v>227.97</v>
      </c>
      <c r="Y725" s="3">
        <f>YEAR(Table1[[#This Row],[Order Date]])</f>
        <v>2022</v>
      </c>
      <c r="Z725" s="3" t="str">
        <f>TEXT(Table1[[#This Row],[Order Date]],"MMM")</f>
        <v>Aug</v>
      </c>
      <c r="AA725" s="3">
        <f>DAY(Table1[[#This Row],[Order Date]])</f>
        <v>2</v>
      </c>
    </row>
    <row r="726" spans="1:27" x14ac:dyDescent="0.35">
      <c r="A726" s="1">
        <v>725</v>
      </c>
      <c r="B726" s="1" t="s">
        <v>3230</v>
      </c>
      <c r="C726" s="1" t="s">
        <v>3231</v>
      </c>
      <c r="D726" s="1" t="s">
        <v>726</v>
      </c>
      <c r="E726" t="s">
        <v>24</v>
      </c>
      <c r="F726" t="s">
        <v>3232</v>
      </c>
      <c r="G726" t="s">
        <v>87</v>
      </c>
      <c r="H726" t="s">
        <v>94</v>
      </c>
      <c r="I726" s="1" t="s">
        <v>28</v>
      </c>
      <c r="J726" t="s">
        <v>128</v>
      </c>
      <c r="K726" t="s">
        <v>129</v>
      </c>
      <c r="L726" s="1">
        <v>343367</v>
      </c>
      <c r="M726" s="1" t="s">
        <v>66</v>
      </c>
      <c r="N726" t="s">
        <v>3233</v>
      </c>
      <c r="O726" t="s">
        <v>46</v>
      </c>
      <c r="P726" t="s">
        <v>57</v>
      </c>
      <c r="Q726" t="s">
        <v>58</v>
      </c>
      <c r="R726">
        <v>78542.33</v>
      </c>
      <c r="S726" s="25" t="e">
        <f>IF(Table1[[#This Row],[Sales]]=MIN(Table1[Sales]), Table1[[#This Row],[Sales]], NA())</f>
        <v>#N/A</v>
      </c>
      <c r="T726" s="25">
        <f>IF(AND(Table1[[#This Row],[Sales]]&lt;&gt;MIN(Table1[Sales]),Table1[[#This Row],[Sales]]&lt;&gt;MAX(Table1[Sales])), Table1[[#This Row],[Sales]], NA())</f>
        <v>78542.33</v>
      </c>
      <c r="U726" s="25" t="e">
        <f>IF(Table1[[#This Row],[Sales]]=MAX(Table1[Sales]), Table1[[#This Row],[Sales]], NA())</f>
        <v>#N/A</v>
      </c>
      <c r="V726">
        <v>8</v>
      </c>
      <c r="W726">
        <v>0.1</v>
      </c>
      <c r="X726">
        <v>4319.83</v>
      </c>
      <c r="Y726" s="3">
        <f>YEAR(Table1[[#This Row],[Order Date]])</f>
        <v>2022</v>
      </c>
      <c r="Z726" s="3" t="str">
        <f>TEXT(Table1[[#This Row],[Order Date]],"MMM")</f>
        <v>Apr</v>
      </c>
      <c r="AA726" s="3">
        <f>DAY(Table1[[#This Row],[Order Date]])</f>
        <v>12</v>
      </c>
    </row>
    <row r="727" spans="1:27" x14ac:dyDescent="0.35">
      <c r="A727" s="1">
        <v>726</v>
      </c>
      <c r="B727" s="1" t="s">
        <v>3234</v>
      </c>
      <c r="C727" s="1" t="s">
        <v>667</v>
      </c>
      <c r="D727" s="1" t="s">
        <v>668</v>
      </c>
      <c r="E727" t="s">
        <v>24</v>
      </c>
      <c r="F727" t="s">
        <v>3235</v>
      </c>
      <c r="G727" t="s">
        <v>40</v>
      </c>
      <c r="H727" t="s">
        <v>41</v>
      </c>
      <c r="I727" s="1" t="s">
        <v>28</v>
      </c>
      <c r="J727" t="s">
        <v>128</v>
      </c>
      <c r="K727" t="s">
        <v>129</v>
      </c>
      <c r="L727" s="1">
        <v>309167</v>
      </c>
      <c r="M727" s="1" t="s">
        <v>66</v>
      </c>
      <c r="N727" t="s">
        <v>3236</v>
      </c>
      <c r="O727" t="s">
        <v>32</v>
      </c>
      <c r="P727" t="s">
        <v>33</v>
      </c>
      <c r="Q727" t="s">
        <v>34</v>
      </c>
      <c r="R727">
        <v>91156.86</v>
      </c>
      <c r="S727" s="25" t="e">
        <f>IF(Table1[[#This Row],[Sales]]=MIN(Table1[Sales]), Table1[[#This Row],[Sales]], NA())</f>
        <v>#N/A</v>
      </c>
      <c r="T727" s="25">
        <f>IF(AND(Table1[[#This Row],[Sales]]&lt;&gt;MIN(Table1[Sales]),Table1[[#This Row],[Sales]]&lt;&gt;MAX(Table1[Sales])), Table1[[#This Row],[Sales]], NA())</f>
        <v>91156.86</v>
      </c>
      <c r="U727" s="25" t="e">
        <f>IF(Table1[[#This Row],[Sales]]=MAX(Table1[Sales]), Table1[[#This Row],[Sales]], NA())</f>
        <v>#N/A</v>
      </c>
      <c r="V727">
        <v>10</v>
      </c>
      <c r="W727">
        <v>0.3</v>
      </c>
      <c r="X727">
        <v>455.78</v>
      </c>
      <c r="Y727" s="3">
        <f>YEAR(Table1[[#This Row],[Order Date]])</f>
        <v>2025</v>
      </c>
      <c r="Z727" s="3" t="str">
        <f>TEXT(Table1[[#This Row],[Order Date]],"MMM")</f>
        <v>Feb</v>
      </c>
      <c r="AA727" s="3">
        <f>DAY(Table1[[#This Row],[Order Date]])</f>
        <v>14</v>
      </c>
    </row>
    <row r="728" spans="1:27" x14ac:dyDescent="0.35">
      <c r="A728" s="1">
        <v>727</v>
      </c>
      <c r="B728" s="1" t="s">
        <v>3237</v>
      </c>
      <c r="C728" s="1" t="s">
        <v>3238</v>
      </c>
      <c r="D728" s="1" t="s">
        <v>1672</v>
      </c>
      <c r="E728" t="s">
        <v>24</v>
      </c>
      <c r="F728" t="s">
        <v>3239</v>
      </c>
      <c r="G728" t="s">
        <v>122</v>
      </c>
      <c r="H728" t="s">
        <v>27</v>
      </c>
      <c r="I728" s="1" t="s">
        <v>28</v>
      </c>
      <c r="J728" t="s">
        <v>53</v>
      </c>
      <c r="K728" t="s">
        <v>54</v>
      </c>
      <c r="L728" s="1">
        <v>152682</v>
      </c>
      <c r="M728" s="1" t="s">
        <v>55</v>
      </c>
      <c r="N728" t="s">
        <v>3240</v>
      </c>
      <c r="O728" t="s">
        <v>46</v>
      </c>
      <c r="P728" t="s">
        <v>57</v>
      </c>
      <c r="Q728" t="s">
        <v>58</v>
      </c>
      <c r="R728">
        <v>92055.84</v>
      </c>
      <c r="S728" s="25" t="e">
        <f>IF(Table1[[#This Row],[Sales]]=MIN(Table1[Sales]), Table1[[#This Row],[Sales]], NA())</f>
        <v>#N/A</v>
      </c>
      <c r="T728" s="25">
        <f>IF(AND(Table1[[#This Row],[Sales]]&lt;&gt;MIN(Table1[Sales]),Table1[[#This Row],[Sales]]&lt;&gt;MAX(Table1[Sales])), Table1[[#This Row],[Sales]], NA())</f>
        <v>92055.84</v>
      </c>
      <c r="U728" s="25" t="e">
        <f>IF(Table1[[#This Row],[Sales]]=MAX(Table1[Sales]), Table1[[#This Row],[Sales]], NA())</f>
        <v>#N/A</v>
      </c>
      <c r="V728">
        <v>9</v>
      </c>
      <c r="W728">
        <v>0.1</v>
      </c>
      <c r="X728">
        <v>5063.07</v>
      </c>
      <c r="Y728" s="3">
        <f>YEAR(Table1[[#This Row],[Order Date]])</f>
        <v>2022</v>
      </c>
      <c r="Z728" s="3" t="str">
        <f>TEXT(Table1[[#This Row],[Order Date]],"MMM")</f>
        <v>May</v>
      </c>
      <c r="AA728" s="3">
        <f>DAY(Table1[[#This Row],[Order Date]])</f>
        <v>23</v>
      </c>
    </row>
    <row r="729" spans="1:27" x14ac:dyDescent="0.35">
      <c r="A729" s="1">
        <v>728</v>
      </c>
      <c r="B729" s="1" t="s">
        <v>3241</v>
      </c>
      <c r="C729" s="1" t="s">
        <v>3242</v>
      </c>
      <c r="D729" s="1" t="s">
        <v>37</v>
      </c>
      <c r="E729" t="s">
        <v>115</v>
      </c>
      <c r="F729" t="s">
        <v>3243</v>
      </c>
      <c r="G729" t="s">
        <v>110</v>
      </c>
      <c r="H729" t="s">
        <v>94</v>
      </c>
      <c r="I729" s="1" t="s">
        <v>28</v>
      </c>
      <c r="J729" t="s">
        <v>29</v>
      </c>
      <c r="K729" t="s">
        <v>29</v>
      </c>
      <c r="L729" s="1">
        <v>812196</v>
      </c>
      <c r="M729" s="1" t="s">
        <v>30</v>
      </c>
      <c r="N729" t="s">
        <v>3244</v>
      </c>
      <c r="O729" t="s">
        <v>32</v>
      </c>
      <c r="P729" t="s">
        <v>33</v>
      </c>
      <c r="Q729" t="s">
        <v>34</v>
      </c>
      <c r="R729">
        <v>29281.62</v>
      </c>
      <c r="S729" s="25" t="e">
        <f>IF(Table1[[#This Row],[Sales]]=MIN(Table1[Sales]), Table1[[#This Row],[Sales]], NA())</f>
        <v>#N/A</v>
      </c>
      <c r="T729" s="25">
        <f>IF(AND(Table1[[#This Row],[Sales]]&lt;&gt;MIN(Table1[Sales]),Table1[[#This Row],[Sales]]&lt;&gt;MAX(Table1[Sales])), Table1[[#This Row],[Sales]], NA())</f>
        <v>29281.62</v>
      </c>
      <c r="U729" s="25" t="e">
        <f>IF(Table1[[#This Row],[Sales]]=MAX(Table1[Sales]), Table1[[#This Row],[Sales]], NA())</f>
        <v>#N/A</v>
      </c>
      <c r="V729">
        <v>8</v>
      </c>
      <c r="W729">
        <v>0.3</v>
      </c>
      <c r="X729">
        <v>146.41</v>
      </c>
      <c r="Y729" s="3">
        <f>YEAR(Table1[[#This Row],[Order Date]])</f>
        <v>2021</v>
      </c>
      <c r="Z729" s="3" t="str">
        <f>TEXT(Table1[[#This Row],[Order Date]],"MMM")</f>
        <v>Dec</v>
      </c>
      <c r="AA729" s="3">
        <f>DAY(Table1[[#This Row],[Order Date]])</f>
        <v>13</v>
      </c>
    </row>
    <row r="730" spans="1:27" x14ac:dyDescent="0.35">
      <c r="A730" s="1">
        <v>729</v>
      </c>
      <c r="B730" s="1" t="s">
        <v>3245</v>
      </c>
      <c r="C730" s="1" t="s">
        <v>1642</v>
      </c>
      <c r="D730" s="1" t="s">
        <v>2289</v>
      </c>
      <c r="E730" t="s">
        <v>62</v>
      </c>
      <c r="F730" t="s">
        <v>3246</v>
      </c>
      <c r="G730" t="s">
        <v>87</v>
      </c>
      <c r="H730" t="s">
        <v>94</v>
      </c>
      <c r="I730" s="1" t="s">
        <v>28</v>
      </c>
      <c r="J730" t="s">
        <v>29</v>
      </c>
      <c r="K730" t="s">
        <v>29</v>
      </c>
      <c r="L730" s="1">
        <v>312575</v>
      </c>
      <c r="M730" s="1" t="s">
        <v>30</v>
      </c>
      <c r="N730" t="s">
        <v>3247</v>
      </c>
      <c r="O730" t="s">
        <v>68</v>
      </c>
      <c r="P730" t="s">
        <v>69</v>
      </c>
      <c r="Q730" t="s">
        <v>70</v>
      </c>
      <c r="R730">
        <v>76889.91</v>
      </c>
      <c r="S730" s="25" t="e">
        <f>IF(Table1[[#This Row],[Sales]]=MIN(Table1[Sales]), Table1[[#This Row],[Sales]], NA())</f>
        <v>#N/A</v>
      </c>
      <c r="T730" s="25">
        <f>IF(AND(Table1[[#This Row],[Sales]]&lt;&gt;MIN(Table1[Sales]),Table1[[#This Row],[Sales]]&lt;&gt;MAX(Table1[Sales])), Table1[[#This Row],[Sales]], NA())</f>
        <v>76889.91</v>
      </c>
      <c r="U730" s="25" t="e">
        <f>IF(Table1[[#This Row],[Sales]]=MAX(Table1[Sales]), Table1[[#This Row],[Sales]], NA())</f>
        <v>#N/A</v>
      </c>
      <c r="V730">
        <v>5</v>
      </c>
      <c r="W730">
        <v>0</v>
      </c>
      <c r="X730">
        <v>6151.19</v>
      </c>
      <c r="Y730" s="3">
        <f>YEAR(Table1[[#This Row],[Order Date]])</f>
        <v>2025</v>
      </c>
      <c r="Z730" s="3" t="str">
        <f>TEXT(Table1[[#This Row],[Order Date]],"MMM")</f>
        <v>Apr</v>
      </c>
      <c r="AA730" s="3">
        <f>DAY(Table1[[#This Row],[Order Date]])</f>
        <v>1</v>
      </c>
    </row>
    <row r="731" spans="1:27" x14ac:dyDescent="0.35">
      <c r="A731" s="1">
        <v>730</v>
      </c>
      <c r="B731" s="1" t="s">
        <v>3248</v>
      </c>
      <c r="C731" s="1" t="s">
        <v>1908</v>
      </c>
      <c r="D731" s="1" t="s">
        <v>3249</v>
      </c>
      <c r="E731" t="s">
        <v>24</v>
      </c>
      <c r="F731" t="s">
        <v>3250</v>
      </c>
      <c r="G731" t="s">
        <v>140</v>
      </c>
      <c r="H731" t="s">
        <v>27</v>
      </c>
      <c r="I731" s="1" t="s">
        <v>28</v>
      </c>
      <c r="J731" t="s">
        <v>42</v>
      </c>
      <c r="K731" t="s">
        <v>43</v>
      </c>
      <c r="L731" s="1">
        <v>567526</v>
      </c>
      <c r="M731" s="1" t="s">
        <v>44</v>
      </c>
      <c r="N731" t="s">
        <v>3251</v>
      </c>
      <c r="O731" t="s">
        <v>46</v>
      </c>
      <c r="P731" t="s">
        <v>47</v>
      </c>
      <c r="Q731" t="s">
        <v>48</v>
      </c>
      <c r="R731">
        <v>79821.990000000005</v>
      </c>
      <c r="S731" s="25" t="e">
        <f>IF(Table1[[#This Row],[Sales]]=MIN(Table1[Sales]), Table1[[#This Row],[Sales]], NA())</f>
        <v>#N/A</v>
      </c>
      <c r="T731" s="25">
        <f>IF(AND(Table1[[#This Row],[Sales]]&lt;&gt;MIN(Table1[Sales]),Table1[[#This Row],[Sales]]&lt;&gt;MAX(Table1[Sales])), Table1[[#This Row],[Sales]], NA())</f>
        <v>79821.990000000005</v>
      </c>
      <c r="U731" s="25" t="e">
        <f>IF(Table1[[#This Row],[Sales]]=MAX(Table1[Sales]), Table1[[#This Row],[Sales]], NA())</f>
        <v>#N/A</v>
      </c>
      <c r="V731">
        <v>1</v>
      </c>
      <c r="W731">
        <v>0.2</v>
      </c>
      <c r="X731">
        <v>2394.66</v>
      </c>
      <c r="Y731" s="3">
        <f>YEAR(Table1[[#This Row],[Order Date]])</f>
        <v>2024</v>
      </c>
      <c r="Z731" s="3" t="str">
        <f>TEXT(Table1[[#This Row],[Order Date]],"MMM")</f>
        <v>May</v>
      </c>
      <c r="AA731" s="3">
        <f>DAY(Table1[[#This Row],[Order Date]])</f>
        <v>7</v>
      </c>
    </row>
    <row r="732" spans="1:27" x14ac:dyDescent="0.35">
      <c r="A732" s="1">
        <v>731</v>
      </c>
      <c r="B732" s="1" t="s">
        <v>3252</v>
      </c>
      <c r="C732" s="1" t="s">
        <v>191</v>
      </c>
      <c r="D732" s="1" t="s">
        <v>175</v>
      </c>
      <c r="E732" t="s">
        <v>38</v>
      </c>
      <c r="F732" t="s">
        <v>3253</v>
      </c>
      <c r="G732" t="s">
        <v>81</v>
      </c>
      <c r="H732" t="s">
        <v>41</v>
      </c>
      <c r="I732" s="1" t="s">
        <v>28</v>
      </c>
      <c r="J732" t="s">
        <v>29</v>
      </c>
      <c r="K732" t="s">
        <v>29</v>
      </c>
      <c r="L732" s="1">
        <v>908968</v>
      </c>
      <c r="M732" s="1" t="s">
        <v>30</v>
      </c>
      <c r="N732" t="s">
        <v>3254</v>
      </c>
      <c r="O732" t="s">
        <v>68</v>
      </c>
      <c r="P732" t="s">
        <v>69</v>
      </c>
      <c r="Q732" t="s">
        <v>70</v>
      </c>
      <c r="R732">
        <v>27528.02</v>
      </c>
      <c r="S732" s="25" t="e">
        <f>IF(Table1[[#This Row],[Sales]]=MIN(Table1[Sales]), Table1[[#This Row],[Sales]], NA())</f>
        <v>#N/A</v>
      </c>
      <c r="T732" s="25">
        <f>IF(AND(Table1[[#This Row],[Sales]]&lt;&gt;MIN(Table1[Sales]),Table1[[#This Row],[Sales]]&lt;&gt;MAX(Table1[Sales])), Table1[[#This Row],[Sales]], NA())</f>
        <v>27528.02</v>
      </c>
      <c r="U732" s="25" t="e">
        <f>IF(Table1[[#This Row],[Sales]]=MAX(Table1[Sales]), Table1[[#This Row],[Sales]], NA())</f>
        <v>#N/A</v>
      </c>
      <c r="V732">
        <v>3</v>
      </c>
      <c r="W732">
        <v>0.2</v>
      </c>
      <c r="X732">
        <v>825.84</v>
      </c>
      <c r="Y732" s="3">
        <f>YEAR(Table1[[#This Row],[Order Date]])</f>
        <v>2024</v>
      </c>
      <c r="Z732" s="3" t="str">
        <f>TEXT(Table1[[#This Row],[Order Date]],"MMM")</f>
        <v>Jun</v>
      </c>
      <c r="AA732" s="3">
        <f>DAY(Table1[[#This Row],[Order Date]])</f>
        <v>18</v>
      </c>
    </row>
    <row r="733" spans="1:27" x14ac:dyDescent="0.35">
      <c r="A733" s="1">
        <v>732</v>
      </c>
      <c r="B733" s="1" t="s">
        <v>3255</v>
      </c>
      <c r="C733" s="1" t="s">
        <v>1176</v>
      </c>
      <c r="D733" s="1" t="s">
        <v>321</v>
      </c>
      <c r="E733" t="s">
        <v>24</v>
      </c>
      <c r="F733" t="s">
        <v>3256</v>
      </c>
      <c r="G733" t="s">
        <v>81</v>
      </c>
      <c r="H733" t="s">
        <v>41</v>
      </c>
      <c r="I733" s="1" t="s">
        <v>28</v>
      </c>
      <c r="J733" t="s">
        <v>64</v>
      </c>
      <c r="K733" t="s">
        <v>65</v>
      </c>
      <c r="L733" s="1">
        <v>289010</v>
      </c>
      <c r="M733" s="1" t="s">
        <v>66</v>
      </c>
      <c r="N733" t="s">
        <v>3257</v>
      </c>
      <c r="O733" t="s">
        <v>46</v>
      </c>
      <c r="P733" t="s">
        <v>57</v>
      </c>
      <c r="Q733" t="s">
        <v>58</v>
      </c>
      <c r="R733">
        <v>20602.18</v>
      </c>
      <c r="S733" s="25" t="e">
        <f>IF(Table1[[#This Row],[Sales]]=MIN(Table1[Sales]), Table1[[#This Row],[Sales]], NA())</f>
        <v>#N/A</v>
      </c>
      <c r="T733" s="25">
        <f>IF(AND(Table1[[#This Row],[Sales]]&lt;&gt;MIN(Table1[Sales]),Table1[[#This Row],[Sales]]&lt;&gt;MAX(Table1[Sales])), Table1[[#This Row],[Sales]], NA())</f>
        <v>20602.18</v>
      </c>
      <c r="U733" s="25" t="e">
        <f>IF(Table1[[#This Row],[Sales]]=MAX(Table1[Sales]), Table1[[#This Row],[Sales]], NA())</f>
        <v>#N/A</v>
      </c>
      <c r="V733">
        <v>9</v>
      </c>
      <c r="W733">
        <v>0</v>
      </c>
      <c r="X733">
        <v>1648.17</v>
      </c>
      <c r="Y733" s="3">
        <f>YEAR(Table1[[#This Row],[Order Date]])</f>
        <v>2024</v>
      </c>
      <c r="Z733" s="3" t="str">
        <f>TEXT(Table1[[#This Row],[Order Date]],"MMM")</f>
        <v>Feb</v>
      </c>
      <c r="AA733" s="3">
        <f>DAY(Table1[[#This Row],[Order Date]])</f>
        <v>21</v>
      </c>
    </row>
    <row r="734" spans="1:27" x14ac:dyDescent="0.35">
      <c r="A734" s="1">
        <v>733</v>
      </c>
      <c r="B734" s="1" t="s">
        <v>3258</v>
      </c>
      <c r="C734" s="1" t="s">
        <v>3259</v>
      </c>
      <c r="D734" s="1" t="s">
        <v>3260</v>
      </c>
      <c r="E734" t="s">
        <v>62</v>
      </c>
      <c r="F734" t="s">
        <v>3261</v>
      </c>
      <c r="G734" t="s">
        <v>75</v>
      </c>
      <c r="H734" t="s">
        <v>94</v>
      </c>
      <c r="I734" s="1" t="s">
        <v>28</v>
      </c>
      <c r="J734" t="s">
        <v>29</v>
      </c>
      <c r="K734" t="s">
        <v>29</v>
      </c>
      <c r="L734" s="1">
        <v>212971</v>
      </c>
      <c r="M734" s="1" t="s">
        <v>30</v>
      </c>
      <c r="N734" t="s">
        <v>3262</v>
      </c>
      <c r="O734" t="s">
        <v>46</v>
      </c>
      <c r="P734" t="s">
        <v>57</v>
      </c>
      <c r="Q734" t="s">
        <v>58</v>
      </c>
      <c r="R734">
        <v>62050.03</v>
      </c>
      <c r="S734" s="25" t="e">
        <f>IF(Table1[[#This Row],[Sales]]=MIN(Table1[Sales]), Table1[[#This Row],[Sales]], NA())</f>
        <v>#N/A</v>
      </c>
      <c r="T734" s="25">
        <f>IF(AND(Table1[[#This Row],[Sales]]&lt;&gt;MIN(Table1[Sales]),Table1[[#This Row],[Sales]]&lt;&gt;MAX(Table1[Sales])), Table1[[#This Row],[Sales]], NA())</f>
        <v>62050.03</v>
      </c>
      <c r="U734" s="25" t="e">
        <f>IF(Table1[[#This Row],[Sales]]=MAX(Table1[Sales]), Table1[[#This Row],[Sales]], NA())</f>
        <v>#N/A</v>
      </c>
      <c r="V734">
        <v>9</v>
      </c>
      <c r="W734">
        <v>0</v>
      </c>
      <c r="X734">
        <v>4964</v>
      </c>
      <c r="Y734" s="3">
        <f>YEAR(Table1[[#This Row],[Order Date]])</f>
        <v>2025</v>
      </c>
      <c r="Z734" s="3" t="str">
        <f>TEXT(Table1[[#This Row],[Order Date]],"MMM")</f>
        <v>Feb</v>
      </c>
      <c r="AA734" s="3">
        <f>DAY(Table1[[#This Row],[Order Date]])</f>
        <v>20</v>
      </c>
    </row>
    <row r="735" spans="1:27" x14ac:dyDescent="0.35">
      <c r="A735" s="1">
        <v>734</v>
      </c>
      <c r="B735" s="1" t="s">
        <v>3263</v>
      </c>
      <c r="C735" s="1" t="s">
        <v>3264</v>
      </c>
      <c r="D735" s="1" t="s">
        <v>2783</v>
      </c>
      <c r="E735" t="s">
        <v>115</v>
      </c>
      <c r="F735" t="s">
        <v>3265</v>
      </c>
      <c r="G735" t="s">
        <v>188</v>
      </c>
      <c r="H735" t="s">
        <v>94</v>
      </c>
      <c r="I735" s="1" t="s">
        <v>28</v>
      </c>
      <c r="J735" t="s">
        <v>64</v>
      </c>
      <c r="K735" t="s">
        <v>65</v>
      </c>
      <c r="L735" s="1">
        <v>317226</v>
      </c>
      <c r="M735" s="1" t="s">
        <v>66</v>
      </c>
      <c r="N735" t="s">
        <v>3266</v>
      </c>
      <c r="O735" t="s">
        <v>46</v>
      </c>
      <c r="P735" t="s">
        <v>57</v>
      </c>
      <c r="Q735" t="s">
        <v>58</v>
      </c>
      <c r="R735">
        <v>64842.95</v>
      </c>
      <c r="S735" s="25" t="e">
        <f>IF(Table1[[#This Row],[Sales]]=MIN(Table1[Sales]), Table1[[#This Row],[Sales]], NA())</f>
        <v>#N/A</v>
      </c>
      <c r="T735" s="25">
        <f>IF(AND(Table1[[#This Row],[Sales]]&lt;&gt;MIN(Table1[Sales]),Table1[[#This Row],[Sales]]&lt;&gt;MAX(Table1[Sales])), Table1[[#This Row],[Sales]], NA())</f>
        <v>64842.95</v>
      </c>
      <c r="U735" s="25" t="e">
        <f>IF(Table1[[#This Row],[Sales]]=MAX(Table1[Sales]), Table1[[#This Row],[Sales]], NA())</f>
        <v>#N/A</v>
      </c>
      <c r="V735">
        <v>8</v>
      </c>
      <c r="W735">
        <v>0.1</v>
      </c>
      <c r="X735">
        <v>3566.36</v>
      </c>
      <c r="Y735" s="3">
        <f>YEAR(Table1[[#This Row],[Order Date]])</f>
        <v>2023</v>
      </c>
      <c r="Z735" s="3" t="str">
        <f>TEXT(Table1[[#This Row],[Order Date]],"MMM")</f>
        <v>Feb</v>
      </c>
      <c r="AA735" s="3">
        <f>DAY(Table1[[#This Row],[Order Date]])</f>
        <v>8</v>
      </c>
    </row>
    <row r="736" spans="1:27" x14ac:dyDescent="0.35">
      <c r="A736" s="1">
        <v>735</v>
      </c>
      <c r="B736" s="1" t="s">
        <v>3267</v>
      </c>
      <c r="C736" s="1" t="s">
        <v>2062</v>
      </c>
      <c r="D736" s="1" t="s">
        <v>1646</v>
      </c>
      <c r="E736" t="s">
        <v>24</v>
      </c>
      <c r="F736" t="s">
        <v>3268</v>
      </c>
      <c r="G736" t="s">
        <v>140</v>
      </c>
      <c r="H736" t="s">
        <v>27</v>
      </c>
      <c r="I736" s="1" t="s">
        <v>28</v>
      </c>
      <c r="J736" t="s">
        <v>53</v>
      </c>
      <c r="K736" t="s">
        <v>54</v>
      </c>
      <c r="L736" s="1">
        <v>307770</v>
      </c>
      <c r="M736" s="1" t="s">
        <v>55</v>
      </c>
      <c r="N736" t="s">
        <v>3269</v>
      </c>
      <c r="O736" t="s">
        <v>46</v>
      </c>
      <c r="P736" t="s">
        <v>57</v>
      </c>
      <c r="Q736" t="s">
        <v>58</v>
      </c>
      <c r="R736">
        <v>38074.19</v>
      </c>
      <c r="S736" s="25" t="e">
        <f>IF(Table1[[#This Row],[Sales]]=MIN(Table1[Sales]), Table1[[#This Row],[Sales]], NA())</f>
        <v>#N/A</v>
      </c>
      <c r="T736" s="25">
        <f>IF(AND(Table1[[#This Row],[Sales]]&lt;&gt;MIN(Table1[Sales]),Table1[[#This Row],[Sales]]&lt;&gt;MAX(Table1[Sales])), Table1[[#This Row],[Sales]], NA())</f>
        <v>38074.19</v>
      </c>
      <c r="U736" s="25" t="e">
        <f>IF(Table1[[#This Row],[Sales]]=MAX(Table1[Sales]), Table1[[#This Row],[Sales]], NA())</f>
        <v>#N/A</v>
      </c>
      <c r="V736">
        <v>5</v>
      </c>
      <c r="W736">
        <v>0.3</v>
      </c>
      <c r="X736">
        <v>190.37</v>
      </c>
      <c r="Y736" s="3">
        <f>YEAR(Table1[[#This Row],[Order Date]])</f>
        <v>2022</v>
      </c>
      <c r="Z736" s="3" t="str">
        <f>TEXT(Table1[[#This Row],[Order Date]],"MMM")</f>
        <v>Dec</v>
      </c>
      <c r="AA736" s="3">
        <f>DAY(Table1[[#This Row],[Order Date]])</f>
        <v>9</v>
      </c>
    </row>
    <row r="737" spans="1:27" x14ac:dyDescent="0.35">
      <c r="A737" s="1">
        <v>736</v>
      </c>
      <c r="B737" s="1" t="s">
        <v>3270</v>
      </c>
      <c r="C737" s="1" t="s">
        <v>1865</v>
      </c>
      <c r="D737" s="1" t="s">
        <v>3271</v>
      </c>
      <c r="E737" t="s">
        <v>115</v>
      </c>
      <c r="F737" t="s">
        <v>3272</v>
      </c>
      <c r="G737" t="s">
        <v>122</v>
      </c>
      <c r="H737" t="s">
        <v>41</v>
      </c>
      <c r="I737" s="1" t="s">
        <v>28</v>
      </c>
      <c r="J737" t="s">
        <v>64</v>
      </c>
      <c r="K737" t="s">
        <v>65</v>
      </c>
      <c r="L737" s="1">
        <v>218819</v>
      </c>
      <c r="M737" s="1" t="s">
        <v>66</v>
      </c>
      <c r="N737" t="s">
        <v>3273</v>
      </c>
      <c r="O737" t="s">
        <v>32</v>
      </c>
      <c r="P737" t="s">
        <v>33</v>
      </c>
      <c r="Q737" t="s">
        <v>34</v>
      </c>
      <c r="R737">
        <v>58547.46</v>
      </c>
      <c r="S737" s="25" t="e">
        <f>IF(Table1[[#This Row],[Sales]]=MIN(Table1[Sales]), Table1[[#This Row],[Sales]], NA())</f>
        <v>#N/A</v>
      </c>
      <c r="T737" s="25">
        <f>IF(AND(Table1[[#This Row],[Sales]]&lt;&gt;MIN(Table1[Sales]),Table1[[#This Row],[Sales]]&lt;&gt;MAX(Table1[Sales])), Table1[[#This Row],[Sales]], NA())</f>
        <v>58547.46</v>
      </c>
      <c r="U737" s="25" t="e">
        <f>IF(Table1[[#This Row],[Sales]]=MAX(Table1[Sales]), Table1[[#This Row],[Sales]], NA())</f>
        <v>#N/A</v>
      </c>
      <c r="V737">
        <v>7</v>
      </c>
      <c r="W737">
        <v>0.3</v>
      </c>
      <c r="X737">
        <v>292.74</v>
      </c>
      <c r="Y737" s="3">
        <f>YEAR(Table1[[#This Row],[Order Date]])</f>
        <v>2021</v>
      </c>
      <c r="Z737" s="3" t="str">
        <f>TEXT(Table1[[#This Row],[Order Date]],"MMM")</f>
        <v>Oct</v>
      </c>
      <c r="AA737" s="3">
        <f>DAY(Table1[[#This Row],[Order Date]])</f>
        <v>31</v>
      </c>
    </row>
    <row r="738" spans="1:27" x14ac:dyDescent="0.35">
      <c r="A738" s="1">
        <v>737</v>
      </c>
      <c r="B738" s="1" t="s">
        <v>3274</v>
      </c>
      <c r="C738" s="1" t="s">
        <v>1238</v>
      </c>
      <c r="D738" s="1" t="s">
        <v>465</v>
      </c>
      <c r="E738" t="s">
        <v>24</v>
      </c>
      <c r="F738" t="s">
        <v>3275</v>
      </c>
      <c r="G738" t="s">
        <v>40</v>
      </c>
      <c r="H738" t="s">
        <v>41</v>
      </c>
      <c r="I738" s="1" t="s">
        <v>28</v>
      </c>
      <c r="J738" t="s">
        <v>42</v>
      </c>
      <c r="K738" t="s">
        <v>43</v>
      </c>
      <c r="L738" s="1">
        <v>190388</v>
      </c>
      <c r="M738" s="1" t="s">
        <v>44</v>
      </c>
      <c r="N738" t="s">
        <v>3276</v>
      </c>
      <c r="O738" t="s">
        <v>46</v>
      </c>
      <c r="P738" t="s">
        <v>47</v>
      </c>
      <c r="Q738" t="s">
        <v>48</v>
      </c>
      <c r="R738">
        <v>98095.15</v>
      </c>
      <c r="S738" s="25" t="e">
        <f>IF(Table1[[#This Row],[Sales]]=MIN(Table1[Sales]), Table1[[#This Row],[Sales]], NA())</f>
        <v>#N/A</v>
      </c>
      <c r="T738" s="25">
        <f>IF(AND(Table1[[#This Row],[Sales]]&lt;&gt;MIN(Table1[Sales]),Table1[[#This Row],[Sales]]&lt;&gt;MAX(Table1[Sales])), Table1[[#This Row],[Sales]], NA())</f>
        <v>98095.15</v>
      </c>
      <c r="U738" s="25" t="e">
        <f>IF(Table1[[#This Row],[Sales]]=MAX(Table1[Sales]), Table1[[#This Row],[Sales]], NA())</f>
        <v>#N/A</v>
      </c>
      <c r="V738">
        <v>3</v>
      </c>
      <c r="W738">
        <v>0.1</v>
      </c>
      <c r="X738">
        <v>5395.23</v>
      </c>
      <c r="Y738" s="3">
        <f>YEAR(Table1[[#This Row],[Order Date]])</f>
        <v>2025</v>
      </c>
      <c r="Z738" s="3" t="str">
        <f>TEXT(Table1[[#This Row],[Order Date]],"MMM")</f>
        <v>Aug</v>
      </c>
      <c r="AA738" s="3">
        <f>DAY(Table1[[#This Row],[Order Date]])</f>
        <v>8</v>
      </c>
    </row>
    <row r="739" spans="1:27" x14ac:dyDescent="0.35">
      <c r="A739" s="1">
        <v>738</v>
      </c>
      <c r="B739" s="1" t="s">
        <v>3277</v>
      </c>
      <c r="C739" s="1" t="s">
        <v>3278</v>
      </c>
      <c r="D739" s="1" t="s">
        <v>3279</v>
      </c>
      <c r="E739" t="s">
        <v>62</v>
      </c>
      <c r="F739" t="s">
        <v>3280</v>
      </c>
      <c r="G739" t="s">
        <v>75</v>
      </c>
      <c r="H739" t="s">
        <v>41</v>
      </c>
      <c r="I739" s="1" t="s">
        <v>28</v>
      </c>
      <c r="J739" t="s">
        <v>29</v>
      </c>
      <c r="K739" t="s">
        <v>29</v>
      </c>
      <c r="L739" s="1">
        <v>772223</v>
      </c>
      <c r="M739" s="1" t="s">
        <v>30</v>
      </c>
      <c r="N739" t="s">
        <v>3281</v>
      </c>
      <c r="O739" t="s">
        <v>68</v>
      </c>
      <c r="P739" t="s">
        <v>69</v>
      </c>
      <c r="Q739" t="s">
        <v>70</v>
      </c>
      <c r="R739">
        <v>97656.62</v>
      </c>
      <c r="S739" s="25" t="e">
        <f>IF(Table1[[#This Row],[Sales]]=MIN(Table1[Sales]), Table1[[#This Row],[Sales]], NA())</f>
        <v>#N/A</v>
      </c>
      <c r="T739" s="25">
        <f>IF(AND(Table1[[#This Row],[Sales]]&lt;&gt;MIN(Table1[Sales]),Table1[[#This Row],[Sales]]&lt;&gt;MAX(Table1[Sales])), Table1[[#This Row],[Sales]], NA())</f>
        <v>97656.62</v>
      </c>
      <c r="U739" s="25" t="e">
        <f>IF(Table1[[#This Row],[Sales]]=MAX(Table1[Sales]), Table1[[#This Row],[Sales]], NA())</f>
        <v>#N/A</v>
      </c>
      <c r="V739">
        <v>6</v>
      </c>
      <c r="W739">
        <v>0.3</v>
      </c>
      <c r="X739">
        <v>488.28</v>
      </c>
      <c r="Y739" s="3">
        <f>YEAR(Table1[[#This Row],[Order Date]])</f>
        <v>2024</v>
      </c>
      <c r="Z739" s="3" t="str">
        <f>TEXT(Table1[[#This Row],[Order Date]],"MMM")</f>
        <v>Jan</v>
      </c>
      <c r="AA739" s="3">
        <f>DAY(Table1[[#This Row],[Order Date]])</f>
        <v>6</v>
      </c>
    </row>
    <row r="740" spans="1:27" x14ac:dyDescent="0.35">
      <c r="A740" s="1">
        <v>739</v>
      </c>
      <c r="B740" s="1" t="s">
        <v>3282</v>
      </c>
      <c r="C740" s="1" t="s">
        <v>3283</v>
      </c>
      <c r="D740" s="1" t="s">
        <v>78</v>
      </c>
      <c r="E740" t="s">
        <v>62</v>
      </c>
      <c r="F740" t="s">
        <v>3284</v>
      </c>
      <c r="G740" t="s">
        <v>140</v>
      </c>
      <c r="H740" t="s">
        <v>41</v>
      </c>
      <c r="I740" s="1" t="s">
        <v>28</v>
      </c>
      <c r="J740" t="s">
        <v>128</v>
      </c>
      <c r="K740" t="s">
        <v>129</v>
      </c>
      <c r="L740" s="1">
        <v>984602</v>
      </c>
      <c r="M740" s="1" t="s">
        <v>66</v>
      </c>
      <c r="N740" t="s">
        <v>3285</v>
      </c>
      <c r="O740" t="s">
        <v>32</v>
      </c>
      <c r="P740" t="s">
        <v>33</v>
      </c>
      <c r="Q740" t="s">
        <v>34</v>
      </c>
      <c r="R740">
        <v>87193.76</v>
      </c>
      <c r="S740" s="25" t="e">
        <f>IF(Table1[[#This Row],[Sales]]=MIN(Table1[Sales]), Table1[[#This Row],[Sales]], NA())</f>
        <v>#N/A</v>
      </c>
      <c r="T740" s="25">
        <f>IF(AND(Table1[[#This Row],[Sales]]&lt;&gt;MIN(Table1[Sales]),Table1[[#This Row],[Sales]]&lt;&gt;MAX(Table1[Sales])), Table1[[#This Row],[Sales]], NA())</f>
        <v>87193.76</v>
      </c>
      <c r="U740" s="25" t="e">
        <f>IF(Table1[[#This Row],[Sales]]=MAX(Table1[Sales]), Table1[[#This Row],[Sales]], NA())</f>
        <v>#N/A</v>
      </c>
      <c r="V740">
        <v>4</v>
      </c>
      <c r="W740">
        <v>0.3</v>
      </c>
      <c r="X740">
        <v>435.97</v>
      </c>
      <c r="Y740" s="3">
        <f>YEAR(Table1[[#This Row],[Order Date]])</f>
        <v>2022</v>
      </c>
      <c r="Z740" s="3" t="str">
        <f>TEXT(Table1[[#This Row],[Order Date]],"MMM")</f>
        <v>Jun</v>
      </c>
      <c r="AA740" s="3">
        <f>DAY(Table1[[#This Row],[Order Date]])</f>
        <v>9</v>
      </c>
    </row>
    <row r="741" spans="1:27" x14ac:dyDescent="0.35">
      <c r="A741" s="1">
        <v>740</v>
      </c>
      <c r="B741" s="1" t="s">
        <v>3286</v>
      </c>
      <c r="C741" s="1" t="s">
        <v>3287</v>
      </c>
      <c r="D741" s="1" t="s">
        <v>2663</v>
      </c>
      <c r="E741" t="s">
        <v>24</v>
      </c>
      <c r="F741" t="s">
        <v>3288</v>
      </c>
      <c r="G741" t="s">
        <v>188</v>
      </c>
      <c r="H741" t="s">
        <v>41</v>
      </c>
      <c r="I741" s="1" t="s">
        <v>28</v>
      </c>
      <c r="J741" t="s">
        <v>128</v>
      </c>
      <c r="K741" t="s">
        <v>129</v>
      </c>
      <c r="L741" s="1">
        <v>229568</v>
      </c>
      <c r="M741" s="1" t="s">
        <v>66</v>
      </c>
      <c r="N741" t="s">
        <v>3289</v>
      </c>
      <c r="O741" t="s">
        <v>46</v>
      </c>
      <c r="P741" t="s">
        <v>57</v>
      </c>
      <c r="Q741" t="s">
        <v>58</v>
      </c>
      <c r="R741">
        <v>86569.11</v>
      </c>
      <c r="S741" s="25" t="e">
        <f>IF(Table1[[#This Row],[Sales]]=MIN(Table1[Sales]), Table1[[#This Row],[Sales]], NA())</f>
        <v>#N/A</v>
      </c>
      <c r="T741" s="25">
        <f>IF(AND(Table1[[#This Row],[Sales]]&lt;&gt;MIN(Table1[Sales]),Table1[[#This Row],[Sales]]&lt;&gt;MAX(Table1[Sales])), Table1[[#This Row],[Sales]], NA())</f>
        <v>86569.11</v>
      </c>
      <c r="U741" s="25" t="e">
        <f>IF(Table1[[#This Row],[Sales]]=MAX(Table1[Sales]), Table1[[#This Row],[Sales]], NA())</f>
        <v>#N/A</v>
      </c>
      <c r="V741">
        <v>5</v>
      </c>
      <c r="W741">
        <v>0.1</v>
      </c>
      <c r="X741">
        <v>4761.3</v>
      </c>
      <c r="Y741" s="3">
        <f>YEAR(Table1[[#This Row],[Order Date]])</f>
        <v>2021</v>
      </c>
      <c r="Z741" s="3" t="str">
        <f>TEXT(Table1[[#This Row],[Order Date]],"MMM")</f>
        <v>Oct</v>
      </c>
      <c r="AA741" s="3">
        <f>DAY(Table1[[#This Row],[Order Date]])</f>
        <v>12</v>
      </c>
    </row>
    <row r="742" spans="1:27" x14ac:dyDescent="0.35">
      <c r="A742" s="1">
        <v>741</v>
      </c>
      <c r="B742" s="1" t="s">
        <v>3290</v>
      </c>
      <c r="C742" s="1" t="s">
        <v>3291</v>
      </c>
      <c r="D742" s="1" t="s">
        <v>466</v>
      </c>
      <c r="E742" t="s">
        <v>38</v>
      </c>
      <c r="F742" t="s">
        <v>3292</v>
      </c>
      <c r="G742" t="s">
        <v>140</v>
      </c>
      <c r="H742" t="s">
        <v>94</v>
      </c>
      <c r="I742" s="1" t="s">
        <v>28</v>
      </c>
      <c r="J742" t="s">
        <v>128</v>
      </c>
      <c r="K742" t="s">
        <v>129</v>
      </c>
      <c r="L742" s="1">
        <v>771634</v>
      </c>
      <c r="M742" s="1" t="s">
        <v>66</v>
      </c>
      <c r="N742" t="s">
        <v>3293</v>
      </c>
      <c r="O742" t="s">
        <v>68</v>
      </c>
      <c r="P742" t="s">
        <v>69</v>
      </c>
      <c r="Q742" t="s">
        <v>70</v>
      </c>
      <c r="R742">
        <v>83067.460000000006</v>
      </c>
      <c r="S742" s="25" t="e">
        <f>IF(Table1[[#This Row],[Sales]]=MIN(Table1[Sales]), Table1[[#This Row],[Sales]], NA())</f>
        <v>#N/A</v>
      </c>
      <c r="T742" s="25">
        <f>IF(AND(Table1[[#This Row],[Sales]]&lt;&gt;MIN(Table1[Sales]),Table1[[#This Row],[Sales]]&lt;&gt;MAX(Table1[Sales])), Table1[[#This Row],[Sales]], NA())</f>
        <v>83067.460000000006</v>
      </c>
      <c r="U742" s="25" t="e">
        <f>IF(Table1[[#This Row],[Sales]]=MAX(Table1[Sales]), Table1[[#This Row],[Sales]], NA())</f>
        <v>#N/A</v>
      </c>
      <c r="V742">
        <v>3</v>
      </c>
      <c r="W742">
        <v>0.3</v>
      </c>
      <c r="X742">
        <v>415.34</v>
      </c>
      <c r="Y742" s="3">
        <f>YEAR(Table1[[#This Row],[Order Date]])</f>
        <v>2025</v>
      </c>
      <c r="Z742" s="3" t="str">
        <f>TEXT(Table1[[#This Row],[Order Date]],"MMM")</f>
        <v>Aug</v>
      </c>
      <c r="AA742" s="3">
        <f>DAY(Table1[[#This Row],[Order Date]])</f>
        <v>11</v>
      </c>
    </row>
    <row r="743" spans="1:27" x14ac:dyDescent="0.35">
      <c r="A743" s="1">
        <v>742</v>
      </c>
      <c r="B743" s="1" t="s">
        <v>3294</v>
      </c>
      <c r="C743" s="1" t="s">
        <v>1175</v>
      </c>
      <c r="D743" s="1" t="s">
        <v>1176</v>
      </c>
      <c r="E743" t="s">
        <v>115</v>
      </c>
      <c r="F743" t="s">
        <v>3295</v>
      </c>
      <c r="G743" t="s">
        <v>81</v>
      </c>
      <c r="H743" t="s">
        <v>41</v>
      </c>
      <c r="I743" s="1" t="s">
        <v>28</v>
      </c>
      <c r="J743" t="s">
        <v>29</v>
      </c>
      <c r="K743" t="s">
        <v>29</v>
      </c>
      <c r="L743" s="1">
        <v>468161</v>
      </c>
      <c r="M743" s="1" t="s">
        <v>30</v>
      </c>
      <c r="N743" t="s">
        <v>3296</v>
      </c>
      <c r="O743" t="s">
        <v>46</v>
      </c>
      <c r="P743" t="s">
        <v>57</v>
      </c>
      <c r="Q743" t="s">
        <v>58</v>
      </c>
      <c r="R743">
        <v>63937.98</v>
      </c>
      <c r="S743" s="25" t="e">
        <f>IF(Table1[[#This Row],[Sales]]=MIN(Table1[Sales]), Table1[[#This Row],[Sales]], NA())</f>
        <v>#N/A</v>
      </c>
      <c r="T743" s="25">
        <f>IF(AND(Table1[[#This Row],[Sales]]&lt;&gt;MIN(Table1[Sales]),Table1[[#This Row],[Sales]]&lt;&gt;MAX(Table1[Sales])), Table1[[#This Row],[Sales]], NA())</f>
        <v>63937.98</v>
      </c>
      <c r="U743" s="25" t="e">
        <f>IF(Table1[[#This Row],[Sales]]=MAX(Table1[Sales]), Table1[[#This Row],[Sales]], NA())</f>
        <v>#N/A</v>
      </c>
      <c r="V743">
        <v>8</v>
      </c>
      <c r="W743">
        <v>0.1</v>
      </c>
      <c r="X743">
        <v>3516.59</v>
      </c>
      <c r="Y743" s="3">
        <f>YEAR(Table1[[#This Row],[Order Date]])</f>
        <v>2024</v>
      </c>
      <c r="Z743" s="3" t="str">
        <f>TEXT(Table1[[#This Row],[Order Date]],"MMM")</f>
        <v>Feb</v>
      </c>
      <c r="AA743" s="3">
        <f>DAY(Table1[[#This Row],[Order Date]])</f>
        <v>14</v>
      </c>
    </row>
    <row r="744" spans="1:27" x14ac:dyDescent="0.35">
      <c r="A744" s="1">
        <v>743</v>
      </c>
      <c r="B744" s="1" t="s">
        <v>3297</v>
      </c>
      <c r="C744" s="1" t="s">
        <v>3298</v>
      </c>
      <c r="D744" s="1" t="s">
        <v>3299</v>
      </c>
      <c r="E744" t="s">
        <v>115</v>
      </c>
      <c r="F744" t="s">
        <v>3300</v>
      </c>
      <c r="G744" t="s">
        <v>40</v>
      </c>
      <c r="H744" t="s">
        <v>27</v>
      </c>
      <c r="I744" s="1" t="s">
        <v>28</v>
      </c>
      <c r="J744" t="s">
        <v>128</v>
      </c>
      <c r="K744" t="s">
        <v>129</v>
      </c>
      <c r="L744" s="1">
        <v>623609</v>
      </c>
      <c r="M744" s="1" t="s">
        <v>66</v>
      </c>
      <c r="N744" t="s">
        <v>3301</v>
      </c>
      <c r="O744" t="s">
        <v>46</v>
      </c>
      <c r="P744" t="s">
        <v>47</v>
      </c>
      <c r="Q744" t="s">
        <v>48</v>
      </c>
      <c r="R744">
        <v>85982.21</v>
      </c>
      <c r="S744" s="25" t="e">
        <f>IF(Table1[[#This Row],[Sales]]=MIN(Table1[Sales]), Table1[[#This Row],[Sales]], NA())</f>
        <v>#N/A</v>
      </c>
      <c r="T744" s="25">
        <f>IF(AND(Table1[[#This Row],[Sales]]&lt;&gt;MIN(Table1[Sales]),Table1[[#This Row],[Sales]]&lt;&gt;MAX(Table1[Sales])), Table1[[#This Row],[Sales]], NA())</f>
        <v>85982.21</v>
      </c>
      <c r="U744" s="25" t="e">
        <f>IF(Table1[[#This Row],[Sales]]=MAX(Table1[Sales]), Table1[[#This Row],[Sales]], NA())</f>
        <v>#N/A</v>
      </c>
      <c r="V744">
        <v>1</v>
      </c>
      <c r="W744">
        <v>0.3</v>
      </c>
      <c r="X744">
        <v>429.91</v>
      </c>
      <c r="Y744" s="3">
        <f>YEAR(Table1[[#This Row],[Order Date]])</f>
        <v>2024</v>
      </c>
      <c r="Z744" s="3" t="str">
        <f>TEXT(Table1[[#This Row],[Order Date]],"MMM")</f>
        <v>May</v>
      </c>
      <c r="AA744" s="3">
        <f>DAY(Table1[[#This Row],[Order Date]])</f>
        <v>24</v>
      </c>
    </row>
    <row r="745" spans="1:27" x14ac:dyDescent="0.35">
      <c r="A745" s="1">
        <v>744</v>
      </c>
      <c r="B745" s="1" t="s">
        <v>3302</v>
      </c>
      <c r="C745" s="1" t="s">
        <v>3303</v>
      </c>
      <c r="D745" s="1" t="s">
        <v>3304</v>
      </c>
      <c r="E745" t="s">
        <v>115</v>
      </c>
      <c r="F745" t="s">
        <v>3305</v>
      </c>
      <c r="G745" t="s">
        <v>87</v>
      </c>
      <c r="H745" t="s">
        <v>94</v>
      </c>
      <c r="I745" s="1" t="s">
        <v>28</v>
      </c>
      <c r="J745" t="s">
        <v>29</v>
      </c>
      <c r="K745" t="s">
        <v>29</v>
      </c>
      <c r="L745" s="1">
        <v>536241</v>
      </c>
      <c r="M745" s="1" t="s">
        <v>30</v>
      </c>
      <c r="N745" t="s">
        <v>3306</v>
      </c>
      <c r="O745" t="s">
        <v>68</v>
      </c>
      <c r="P745" t="s">
        <v>69</v>
      </c>
      <c r="Q745" t="s">
        <v>70</v>
      </c>
      <c r="R745">
        <v>32054.93</v>
      </c>
      <c r="S745" s="25" t="e">
        <f>IF(Table1[[#This Row],[Sales]]=MIN(Table1[Sales]), Table1[[#This Row],[Sales]], NA())</f>
        <v>#N/A</v>
      </c>
      <c r="T745" s="25">
        <f>IF(AND(Table1[[#This Row],[Sales]]&lt;&gt;MIN(Table1[Sales]),Table1[[#This Row],[Sales]]&lt;&gt;MAX(Table1[Sales])), Table1[[#This Row],[Sales]], NA())</f>
        <v>32054.93</v>
      </c>
      <c r="U745" s="25" t="e">
        <f>IF(Table1[[#This Row],[Sales]]=MAX(Table1[Sales]), Table1[[#This Row],[Sales]], NA())</f>
        <v>#N/A</v>
      </c>
      <c r="V745">
        <v>3</v>
      </c>
      <c r="W745">
        <v>0.3</v>
      </c>
      <c r="X745">
        <v>160.27000000000001</v>
      </c>
      <c r="Y745" s="3">
        <f>YEAR(Table1[[#This Row],[Order Date]])</f>
        <v>2023</v>
      </c>
      <c r="Z745" s="3" t="str">
        <f>TEXT(Table1[[#This Row],[Order Date]],"MMM")</f>
        <v>Jun</v>
      </c>
      <c r="AA745" s="3">
        <f>DAY(Table1[[#This Row],[Order Date]])</f>
        <v>13</v>
      </c>
    </row>
    <row r="746" spans="1:27" x14ac:dyDescent="0.35">
      <c r="A746" s="1">
        <v>745</v>
      </c>
      <c r="B746" s="1" t="s">
        <v>3307</v>
      </c>
      <c r="C746" s="1" t="s">
        <v>1124</v>
      </c>
      <c r="D746" s="1" t="s">
        <v>3308</v>
      </c>
      <c r="E746" t="s">
        <v>38</v>
      </c>
      <c r="F746" t="s">
        <v>3309</v>
      </c>
      <c r="G746" t="s">
        <v>81</v>
      </c>
      <c r="H746" t="s">
        <v>94</v>
      </c>
      <c r="I746" s="1" t="s">
        <v>28</v>
      </c>
      <c r="J746" t="s">
        <v>29</v>
      </c>
      <c r="K746" t="s">
        <v>29</v>
      </c>
      <c r="L746" s="1">
        <v>585392</v>
      </c>
      <c r="M746" s="1" t="s">
        <v>30</v>
      </c>
      <c r="N746" t="s">
        <v>3310</v>
      </c>
      <c r="O746" t="s">
        <v>46</v>
      </c>
      <c r="P746" t="s">
        <v>57</v>
      </c>
      <c r="Q746" t="s">
        <v>58</v>
      </c>
      <c r="R746">
        <v>76768.490000000005</v>
      </c>
      <c r="S746" s="25" t="e">
        <f>IF(Table1[[#This Row],[Sales]]=MIN(Table1[Sales]), Table1[[#This Row],[Sales]], NA())</f>
        <v>#N/A</v>
      </c>
      <c r="T746" s="25">
        <f>IF(AND(Table1[[#This Row],[Sales]]&lt;&gt;MIN(Table1[Sales]),Table1[[#This Row],[Sales]]&lt;&gt;MAX(Table1[Sales])), Table1[[#This Row],[Sales]], NA())</f>
        <v>76768.490000000005</v>
      </c>
      <c r="U746" s="25" t="e">
        <f>IF(Table1[[#This Row],[Sales]]=MAX(Table1[Sales]), Table1[[#This Row],[Sales]], NA())</f>
        <v>#N/A</v>
      </c>
      <c r="V746">
        <v>3</v>
      </c>
      <c r="W746">
        <v>0.3</v>
      </c>
      <c r="X746">
        <v>383.84</v>
      </c>
      <c r="Y746" s="3">
        <f>YEAR(Table1[[#This Row],[Order Date]])</f>
        <v>2024</v>
      </c>
      <c r="Z746" s="3" t="str">
        <f>TEXT(Table1[[#This Row],[Order Date]],"MMM")</f>
        <v>May</v>
      </c>
      <c r="AA746" s="3">
        <f>DAY(Table1[[#This Row],[Order Date]])</f>
        <v>27</v>
      </c>
    </row>
    <row r="747" spans="1:27" x14ac:dyDescent="0.35">
      <c r="A747" s="1">
        <v>746</v>
      </c>
      <c r="B747" s="1" t="s">
        <v>3311</v>
      </c>
      <c r="C747" s="1" t="s">
        <v>3312</v>
      </c>
      <c r="D747" s="1" t="s">
        <v>2500</v>
      </c>
      <c r="E747" t="s">
        <v>62</v>
      </c>
      <c r="F747" t="s">
        <v>3313</v>
      </c>
      <c r="G747" t="s">
        <v>87</v>
      </c>
      <c r="H747" t="s">
        <v>27</v>
      </c>
      <c r="I747" s="1" t="s">
        <v>28</v>
      </c>
      <c r="J747" t="s">
        <v>128</v>
      </c>
      <c r="K747" t="s">
        <v>129</v>
      </c>
      <c r="L747" s="1">
        <v>816100</v>
      </c>
      <c r="M747" s="1" t="s">
        <v>66</v>
      </c>
      <c r="N747" t="s">
        <v>3314</v>
      </c>
      <c r="O747" t="s">
        <v>32</v>
      </c>
      <c r="P747" t="s">
        <v>33</v>
      </c>
      <c r="Q747" t="s">
        <v>34</v>
      </c>
      <c r="R747">
        <v>56512.35</v>
      </c>
      <c r="S747" s="25" t="e">
        <f>IF(Table1[[#This Row],[Sales]]=MIN(Table1[Sales]), Table1[[#This Row],[Sales]], NA())</f>
        <v>#N/A</v>
      </c>
      <c r="T747" s="25">
        <f>IF(AND(Table1[[#This Row],[Sales]]&lt;&gt;MIN(Table1[Sales]),Table1[[#This Row],[Sales]]&lt;&gt;MAX(Table1[Sales])), Table1[[#This Row],[Sales]], NA())</f>
        <v>56512.35</v>
      </c>
      <c r="U747" s="25" t="e">
        <f>IF(Table1[[#This Row],[Sales]]=MAX(Table1[Sales]), Table1[[#This Row],[Sales]], NA())</f>
        <v>#N/A</v>
      </c>
      <c r="V747">
        <v>5</v>
      </c>
      <c r="W747">
        <v>0.1</v>
      </c>
      <c r="X747">
        <v>3108.18</v>
      </c>
      <c r="Y747" s="3">
        <f>YEAR(Table1[[#This Row],[Order Date]])</f>
        <v>2025</v>
      </c>
      <c r="Z747" s="3" t="str">
        <f>TEXT(Table1[[#This Row],[Order Date]],"MMM")</f>
        <v>Nov</v>
      </c>
      <c r="AA747" s="3">
        <f>DAY(Table1[[#This Row],[Order Date]])</f>
        <v>1</v>
      </c>
    </row>
    <row r="748" spans="1:27" x14ac:dyDescent="0.35">
      <c r="A748" s="1">
        <v>747</v>
      </c>
      <c r="B748" s="1" t="s">
        <v>3315</v>
      </c>
      <c r="C748" s="1" t="s">
        <v>3316</v>
      </c>
      <c r="D748" s="1" t="s">
        <v>2912</v>
      </c>
      <c r="E748" t="s">
        <v>115</v>
      </c>
      <c r="F748" t="s">
        <v>3317</v>
      </c>
      <c r="G748" t="s">
        <v>87</v>
      </c>
      <c r="H748" t="s">
        <v>27</v>
      </c>
      <c r="I748" s="1" t="s">
        <v>28</v>
      </c>
      <c r="J748" t="s">
        <v>53</v>
      </c>
      <c r="K748" t="s">
        <v>54</v>
      </c>
      <c r="L748" s="1">
        <v>153632</v>
      </c>
      <c r="M748" s="1" t="s">
        <v>55</v>
      </c>
      <c r="N748" t="s">
        <v>3318</v>
      </c>
      <c r="O748" t="s">
        <v>46</v>
      </c>
      <c r="P748" t="s">
        <v>47</v>
      </c>
      <c r="Q748" t="s">
        <v>48</v>
      </c>
      <c r="R748">
        <v>96878.05</v>
      </c>
      <c r="S748" s="25" t="e">
        <f>IF(Table1[[#This Row],[Sales]]=MIN(Table1[Sales]), Table1[[#This Row],[Sales]], NA())</f>
        <v>#N/A</v>
      </c>
      <c r="T748" s="25">
        <f>IF(AND(Table1[[#This Row],[Sales]]&lt;&gt;MIN(Table1[Sales]),Table1[[#This Row],[Sales]]&lt;&gt;MAX(Table1[Sales])), Table1[[#This Row],[Sales]], NA())</f>
        <v>96878.05</v>
      </c>
      <c r="U748" s="25" t="e">
        <f>IF(Table1[[#This Row],[Sales]]=MAX(Table1[Sales]), Table1[[#This Row],[Sales]], NA())</f>
        <v>#N/A</v>
      </c>
      <c r="V748">
        <v>1</v>
      </c>
      <c r="W748">
        <v>0</v>
      </c>
      <c r="X748">
        <v>7750.24</v>
      </c>
      <c r="Y748" s="3">
        <f>YEAR(Table1[[#This Row],[Order Date]])</f>
        <v>2021</v>
      </c>
      <c r="Z748" s="3" t="str">
        <f>TEXT(Table1[[#This Row],[Order Date]],"MMM")</f>
        <v>Jun</v>
      </c>
      <c r="AA748" s="3">
        <f>DAY(Table1[[#This Row],[Order Date]])</f>
        <v>14</v>
      </c>
    </row>
    <row r="749" spans="1:27" x14ac:dyDescent="0.35">
      <c r="A749" s="1">
        <v>748</v>
      </c>
      <c r="B749" s="1" t="s">
        <v>3319</v>
      </c>
      <c r="C749" s="1" t="s">
        <v>3320</v>
      </c>
      <c r="D749" s="1" t="s">
        <v>3321</v>
      </c>
      <c r="E749" t="s">
        <v>62</v>
      </c>
      <c r="F749" t="s">
        <v>3322</v>
      </c>
      <c r="G749" t="s">
        <v>188</v>
      </c>
      <c r="H749" t="s">
        <v>27</v>
      </c>
      <c r="I749" s="1" t="s">
        <v>28</v>
      </c>
      <c r="J749" t="s">
        <v>53</v>
      </c>
      <c r="K749" t="s">
        <v>54</v>
      </c>
      <c r="L749" s="1">
        <v>421149</v>
      </c>
      <c r="M749" s="1" t="s">
        <v>55</v>
      </c>
      <c r="N749" t="s">
        <v>3323</v>
      </c>
      <c r="O749" t="s">
        <v>46</v>
      </c>
      <c r="P749" t="s">
        <v>47</v>
      </c>
      <c r="Q749" t="s">
        <v>48</v>
      </c>
      <c r="R749">
        <v>25366.68</v>
      </c>
      <c r="S749" s="25" t="e">
        <f>IF(Table1[[#This Row],[Sales]]=MIN(Table1[Sales]), Table1[[#This Row],[Sales]], NA())</f>
        <v>#N/A</v>
      </c>
      <c r="T749" s="25">
        <f>IF(AND(Table1[[#This Row],[Sales]]&lt;&gt;MIN(Table1[Sales]),Table1[[#This Row],[Sales]]&lt;&gt;MAX(Table1[Sales])), Table1[[#This Row],[Sales]], NA())</f>
        <v>25366.68</v>
      </c>
      <c r="U749" s="25" t="e">
        <f>IF(Table1[[#This Row],[Sales]]=MAX(Table1[Sales]), Table1[[#This Row],[Sales]], NA())</f>
        <v>#N/A</v>
      </c>
      <c r="V749">
        <v>5</v>
      </c>
      <c r="W749">
        <v>0.2</v>
      </c>
      <c r="X749">
        <v>761</v>
      </c>
      <c r="Y749" s="3">
        <f>YEAR(Table1[[#This Row],[Order Date]])</f>
        <v>2021</v>
      </c>
      <c r="Z749" s="3" t="str">
        <f>TEXT(Table1[[#This Row],[Order Date]],"MMM")</f>
        <v>Sep</v>
      </c>
      <c r="AA749" s="3">
        <f>DAY(Table1[[#This Row],[Order Date]])</f>
        <v>14</v>
      </c>
    </row>
    <row r="750" spans="1:27" x14ac:dyDescent="0.35">
      <c r="A750" s="1">
        <v>749</v>
      </c>
      <c r="B750" s="1" t="s">
        <v>3324</v>
      </c>
      <c r="C750" s="1" t="s">
        <v>982</v>
      </c>
      <c r="D750" s="1" t="s">
        <v>983</v>
      </c>
      <c r="E750" t="s">
        <v>62</v>
      </c>
      <c r="F750" t="s">
        <v>3325</v>
      </c>
      <c r="G750" t="s">
        <v>75</v>
      </c>
      <c r="H750" t="s">
        <v>27</v>
      </c>
      <c r="I750" s="1" t="s">
        <v>28</v>
      </c>
      <c r="J750" t="s">
        <v>53</v>
      </c>
      <c r="K750" t="s">
        <v>54</v>
      </c>
      <c r="L750" s="1">
        <v>287987</v>
      </c>
      <c r="M750" s="1" t="s">
        <v>55</v>
      </c>
      <c r="N750" t="s">
        <v>3326</v>
      </c>
      <c r="O750" t="s">
        <v>46</v>
      </c>
      <c r="P750" t="s">
        <v>47</v>
      </c>
      <c r="Q750" t="s">
        <v>48</v>
      </c>
      <c r="R750">
        <v>81659.7</v>
      </c>
      <c r="S750" s="25" t="e">
        <f>IF(Table1[[#This Row],[Sales]]=MIN(Table1[Sales]), Table1[[#This Row],[Sales]], NA())</f>
        <v>#N/A</v>
      </c>
      <c r="T750" s="25">
        <f>IF(AND(Table1[[#This Row],[Sales]]&lt;&gt;MIN(Table1[Sales]),Table1[[#This Row],[Sales]]&lt;&gt;MAX(Table1[Sales])), Table1[[#This Row],[Sales]], NA())</f>
        <v>81659.7</v>
      </c>
      <c r="U750" s="25" t="e">
        <f>IF(Table1[[#This Row],[Sales]]=MAX(Table1[Sales]), Table1[[#This Row],[Sales]], NA())</f>
        <v>#N/A</v>
      </c>
      <c r="V750">
        <v>6</v>
      </c>
      <c r="W750">
        <v>0.1</v>
      </c>
      <c r="X750">
        <v>4491.28</v>
      </c>
      <c r="Y750" s="3">
        <f>YEAR(Table1[[#This Row],[Order Date]])</f>
        <v>2025</v>
      </c>
      <c r="Z750" s="3" t="str">
        <f>TEXT(Table1[[#This Row],[Order Date]],"MMM")</f>
        <v>Aug</v>
      </c>
      <c r="AA750" s="3">
        <f>DAY(Table1[[#This Row],[Order Date]])</f>
        <v>17</v>
      </c>
    </row>
    <row r="751" spans="1:27" x14ac:dyDescent="0.35">
      <c r="A751" s="1">
        <v>750</v>
      </c>
      <c r="B751" s="1" t="s">
        <v>3327</v>
      </c>
      <c r="C751" s="1" t="s">
        <v>350</v>
      </c>
      <c r="D751" s="1" t="s">
        <v>1436</v>
      </c>
      <c r="E751" t="s">
        <v>62</v>
      </c>
      <c r="F751" t="s">
        <v>3328</v>
      </c>
      <c r="G751" t="s">
        <v>110</v>
      </c>
      <c r="H751" t="s">
        <v>41</v>
      </c>
      <c r="I751" s="1" t="s">
        <v>28</v>
      </c>
      <c r="J751" t="s">
        <v>53</v>
      </c>
      <c r="K751" t="s">
        <v>54</v>
      </c>
      <c r="L751" s="1">
        <v>770950</v>
      </c>
      <c r="M751" s="1" t="s">
        <v>55</v>
      </c>
      <c r="N751" t="s">
        <v>3329</v>
      </c>
      <c r="O751" t="s">
        <v>46</v>
      </c>
      <c r="P751" t="s">
        <v>57</v>
      </c>
      <c r="Q751" t="s">
        <v>58</v>
      </c>
      <c r="R751">
        <v>92640.26</v>
      </c>
      <c r="S751" s="25" t="e">
        <f>IF(Table1[[#This Row],[Sales]]=MIN(Table1[Sales]), Table1[[#This Row],[Sales]], NA())</f>
        <v>#N/A</v>
      </c>
      <c r="T751" s="25">
        <f>IF(AND(Table1[[#This Row],[Sales]]&lt;&gt;MIN(Table1[Sales]),Table1[[#This Row],[Sales]]&lt;&gt;MAX(Table1[Sales])), Table1[[#This Row],[Sales]], NA())</f>
        <v>92640.26</v>
      </c>
      <c r="U751" s="25" t="e">
        <f>IF(Table1[[#This Row],[Sales]]=MAX(Table1[Sales]), Table1[[#This Row],[Sales]], NA())</f>
        <v>#N/A</v>
      </c>
      <c r="V751">
        <v>2</v>
      </c>
      <c r="W751">
        <v>0.2</v>
      </c>
      <c r="X751">
        <v>2779.21</v>
      </c>
      <c r="Y751" s="3">
        <f>YEAR(Table1[[#This Row],[Order Date]])</f>
        <v>2021</v>
      </c>
      <c r="Z751" s="3" t="str">
        <f>TEXT(Table1[[#This Row],[Order Date]],"MMM")</f>
        <v>Aug</v>
      </c>
      <c r="AA751" s="3">
        <f>DAY(Table1[[#This Row],[Order Date]])</f>
        <v>6</v>
      </c>
    </row>
    <row r="752" spans="1:27" x14ac:dyDescent="0.35">
      <c r="A752" s="1">
        <v>751</v>
      </c>
      <c r="B752" s="1" t="s">
        <v>3330</v>
      </c>
      <c r="C752" s="1" t="s">
        <v>457</v>
      </c>
      <c r="D752" s="1" t="s">
        <v>3331</v>
      </c>
      <c r="E752" t="s">
        <v>24</v>
      </c>
      <c r="F752" t="s">
        <v>3332</v>
      </c>
      <c r="G752" t="s">
        <v>81</v>
      </c>
      <c r="H752" t="s">
        <v>94</v>
      </c>
      <c r="I752" s="1" t="s">
        <v>28</v>
      </c>
      <c r="J752" t="s">
        <v>128</v>
      </c>
      <c r="K752" t="s">
        <v>129</v>
      </c>
      <c r="L752" s="1">
        <v>704939</v>
      </c>
      <c r="M752" s="1" t="s">
        <v>66</v>
      </c>
      <c r="N752" t="s">
        <v>3333</v>
      </c>
      <c r="O752" t="s">
        <v>32</v>
      </c>
      <c r="P752" t="s">
        <v>33</v>
      </c>
      <c r="Q752" t="s">
        <v>34</v>
      </c>
      <c r="R752">
        <v>90378.07</v>
      </c>
      <c r="S752" s="25" t="e">
        <f>IF(Table1[[#This Row],[Sales]]=MIN(Table1[Sales]), Table1[[#This Row],[Sales]], NA())</f>
        <v>#N/A</v>
      </c>
      <c r="T752" s="25">
        <f>IF(AND(Table1[[#This Row],[Sales]]&lt;&gt;MIN(Table1[Sales]),Table1[[#This Row],[Sales]]&lt;&gt;MAX(Table1[Sales])), Table1[[#This Row],[Sales]], NA())</f>
        <v>90378.07</v>
      </c>
      <c r="U752" s="25" t="e">
        <f>IF(Table1[[#This Row],[Sales]]=MAX(Table1[Sales]), Table1[[#This Row],[Sales]], NA())</f>
        <v>#N/A</v>
      </c>
      <c r="V752">
        <v>10</v>
      </c>
      <c r="W752">
        <v>0.1</v>
      </c>
      <c r="X752">
        <v>4970.79</v>
      </c>
      <c r="Y752" s="3">
        <f>YEAR(Table1[[#This Row],[Order Date]])</f>
        <v>2024</v>
      </c>
      <c r="Z752" s="3" t="str">
        <f>TEXT(Table1[[#This Row],[Order Date]],"MMM")</f>
        <v>Nov</v>
      </c>
      <c r="AA752" s="3">
        <f>DAY(Table1[[#This Row],[Order Date]])</f>
        <v>20</v>
      </c>
    </row>
    <row r="753" spans="1:27" x14ac:dyDescent="0.35">
      <c r="A753" s="1">
        <v>752</v>
      </c>
      <c r="B753" s="1" t="s">
        <v>3334</v>
      </c>
      <c r="C753" s="1" t="s">
        <v>191</v>
      </c>
      <c r="D753" s="1" t="s">
        <v>192</v>
      </c>
      <c r="E753" t="s">
        <v>38</v>
      </c>
      <c r="F753" t="s">
        <v>3335</v>
      </c>
      <c r="G753" t="s">
        <v>75</v>
      </c>
      <c r="H753" t="s">
        <v>94</v>
      </c>
      <c r="I753" s="1" t="s">
        <v>28</v>
      </c>
      <c r="J753" t="s">
        <v>29</v>
      </c>
      <c r="K753" t="s">
        <v>29</v>
      </c>
      <c r="L753" s="1">
        <v>942348</v>
      </c>
      <c r="M753" s="1" t="s">
        <v>30</v>
      </c>
      <c r="N753" t="s">
        <v>3336</v>
      </c>
      <c r="O753" t="s">
        <v>32</v>
      </c>
      <c r="P753" t="s">
        <v>33</v>
      </c>
      <c r="Q753" t="s">
        <v>34</v>
      </c>
      <c r="R753">
        <v>76776.58</v>
      </c>
      <c r="S753" s="25" t="e">
        <f>IF(Table1[[#This Row],[Sales]]=MIN(Table1[Sales]), Table1[[#This Row],[Sales]], NA())</f>
        <v>#N/A</v>
      </c>
      <c r="T753" s="25">
        <f>IF(AND(Table1[[#This Row],[Sales]]&lt;&gt;MIN(Table1[Sales]),Table1[[#This Row],[Sales]]&lt;&gt;MAX(Table1[Sales])), Table1[[#This Row],[Sales]], NA())</f>
        <v>76776.58</v>
      </c>
      <c r="U753" s="25" t="e">
        <f>IF(Table1[[#This Row],[Sales]]=MAX(Table1[Sales]), Table1[[#This Row],[Sales]], NA())</f>
        <v>#N/A</v>
      </c>
      <c r="V753">
        <v>1</v>
      </c>
      <c r="W753">
        <v>0.1</v>
      </c>
      <c r="X753">
        <v>4222.71</v>
      </c>
      <c r="Y753" s="3">
        <f>YEAR(Table1[[#This Row],[Order Date]])</f>
        <v>2024</v>
      </c>
      <c r="Z753" s="3" t="str">
        <f>TEXT(Table1[[#This Row],[Order Date]],"MMM")</f>
        <v>Jun</v>
      </c>
      <c r="AA753" s="3">
        <f>DAY(Table1[[#This Row],[Order Date]])</f>
        <v>18</v>
      </c>
    </row>
    <row r="754" spans="1:27" x14ac:dyDescent="0.35">
      <c r="A754" s="1">
        <v>753</v>
      </c>
      <c r="B754" s="1" t="s">
        <v>3337</v>
      </c>
      <c r="C754" s="1" t="s">
        <v>1427</v>
      </c>
      <c r="D754" s="1" t="s">
        <v>2165</v>
      </c>
      <c r="E754" t="s">
        <v>24</v>
      </c>
      <c r="F754" t="s">
        <v>3338</v>
      </c>
      <c r="G754" t="s">
        <v>122</v>
      </c>
      <c r="H754" t="s">
        <v>27</v>
      </c>
      <c r="I754" s="1" t="s">
        <v>28</v>
      </c>
      <c r="J754" t="s">
        <v>29</v>
      </c>
      <c r="K754" t="s">
        <v>29</v>
      </c>
      <c r="L754" s="1">
        <v>938903</v>
      </c>
      <c r="M754" s="1" t="s">
        <v>30</v>
      </c>
      <c r="N754" t="s">
        <v>3339</v>
      </c>
      <c r="O754" t="s">
        <v>32</v>
      </c>
      <c r="P754" t="s">
        <v>33</v>
      </c>
      <c r="Q754" t="s">
        <v>34</v>
      </c>
      <c r="R754">
        <v>25594.82</v>
      </c>
      <c r="S754" s="25" t="e">
        <f>IF(Table1[[#This Row],[Sales]]=MIN(Table1[Sales]), Table1[[#This Row],[Sales]], NA())</f>
        <v>#N/A</v>
      </c>
      <c r="T754" s="25">
        <f>IF(AND(Table1[[#This Row],[Sales]]&lt;&gt;MIN(Table1[Sales]),Table1[[#This Row],[Sales]]&lt;&gt;MAX(Table1[Sales])), Table1[[#This Row],[Sales]], NA())</f>
        <v>25594.82</v>
      </c>
      <c r="U754" s="25" t="e">
        <f>IF(Table1[[#This Row],[Sales]]=MAX(Table1[Sales]), Table1[[#This Row],[Sales]], NA())</f>
        <v>#N/A</v>
      </c>
      <c r="V754">
        <v>10</v>
      </c>
      <c r="W754">
        <v>0.2</v>
      </c>
      <c r="X754">
        <v>767.84</v>
      </c>
      <c r="Y754" s="3">
        <f>YEAR(Table1[[#This Row],[Order Date]])</f>
        <v>2024</v>
      </c>
      <c r="Z754" s="3" t="str">
        <f>TEXT(Table1[[#This Row],[Order Date]],"MMM")</f>
        <v>Aug</v>
      </c>
      <c r="AA754" s="3">
        <f>DAY(Table1[[#This Row],[Order Date]])</f>
        <v>28</v>
      </c>
    </row>
    <row r="755" spans="1:27" x14ac:dyDescent="0.35">
      <c r="A755" s="1">
        <v>754</v>
      </c>
      <c r="B755" s="1" t="s">
        <v>3340</v>
      </c>
      <c r="C755" s="1" t="s">
        <v>3341</v>
      </c>
      <c r="D755" s="1" t="s">
        <v>2293</v>
      </c>
      <c r="E755" t="s">
        <v>115</v>
      </c>
      <c r="F755" t="s">
        <v>3342</v>
      </c>
      <c r="G755" t="s">
        <v>87</v>
      </c>
      <c r="H755" t="s">
        <v>94</v>
      </c>
      <c r="I755" s="1" t="s">
        <v>28</v>
      </c>
      <c r="J755" t="s">
        <v>64</v>
      </c>
      <c r="K755" t="s">
        <v>65</v>
      </c>
      <c r="L755" s="1">
        <v>456073</v>
      </c>
      <c r="M755" s="1" t="s">
        <v>66</v>
      </c>
      <c r="N755" t="s">
        <v>3343</v>
      </c>
      <c r="O755" t="s">
        <v>68</v>
      </c>
      <c r="P755" t="s">
        <v>69</v>
      </c>
      <c r="Q755" t="s">
        <v>70</v>
      </c>
      <c r="R755">
        <v>76022.259999999995</v>
      </c>
      <c r="S755" s="25" t="e">
        <f>IF(Table1[[#This Row],[Sales]]=MIN(Table1[Sales]), Table1[[#This Row],[Sales]], NA())</f>
        <v>#N/A</v>
      </c>
      <c r="T755" s="25">
        <f>IF(AND(Table1[[#This Row],[Sales]]&lt;&gt;MIN(Table1[Sales]),Table1[[#This Row],[Sales]]&lt;&gt;MAX(Table1[Sales])), Table1[[#This Row],[Sales]], NA())</f>
        <v>76022.259999999995</v>
      </c>
      <c r="U755" s="25" t="e">
        <f>IF(Table1[[#This Row],[Sales]]=MAX(Table1[Sales]), Table1[[#This Row],[Sales]], NA())</f>
        <v>#N/A</v>
      </c>
      <c r="V755">
        <v>9</v>
      </c>
      <c r="W755">
        <v>0.1</v>
      </c>
      <c r="X755">
        <v>4181.22</v>
      </c>
      <c r="Y755" s="3">
        <f>YEAR(Table1[[#This Row],[Order Date]])</f>
        <v>2021</v>
      </c>
      <c r="Z755" s="3" t="str">
        <f>TEXT(Table1[[#This Row],[Order Date]],"MMM")</f>
        <v>Jul</v>
      </c>
      <c r="AA755" s="3">
        <f>DAY(Table1[[#This Row],[Order Date]])</f>
        <v>30</v>
      </c>
    </row>
    <row r="756" spans="1:27" x14ac:dyDescent="0.35">
      <c r="A756" s="1">
        <v>755</v>
      </c>
      <c r="B756" s="1" t="s">
        <v>3344</v>
      </c>
      <c r="C756" s="1" t="s">
        <v>3345</v>
      </c>
      <c r="D756" s="1" t="s">
        <v>3346</v>
      </c>
      <c r="E756" t="s">
        <v>24</v>
      </c>
      <c r="F756" t="s">
        <v>3347</v>
      </c>
      <c r="G756" t="s">
        <v>87</v>
      </c>
      <c r="H756" t="s">
        <v>27</v>
      </c>
      <c r="I756" s="1" t="s">
        <v>28</v>
      </c>
      <c r="J756" t="s">
        <v>53</v>
      </c>
      <c r="K756" t="s">
        <v>54</v>
      </c>
      <c r="L756" s="1">
        <v>944371</v>
      </c>
      <c r="M756" s="1" t="s">
        <v>55</v>
      </c>
      <c r="N756" t="s">
        <v>3348</v>
      </c>
      <c r="O756" t="s">
        <v>32</v>
      </c>
      <c r="P756" t="s">
        <v>33</v>
      </c>
      <c r="Q756" t="s">
        <v>34</v>
      </c>
      <c r="R756">
        <v>31574.58</v>
      </c>
      <c r="S756" s="25" t="e">
        <f>IF(Table1[[#This Row],[Sales]]=MIN(Table1[Sales]), Table1[[#This Row],[Sales]], NA())</f>
        <v>#N/A</v>
      </c>
      <c r="T756" s="25">
        <f>IF(AND(Table1[[#This Row],[Sales]]&lt;&gt;MIN(Table1[Sales]),Table1[[#This Row],[Sales]]&lt;&gt;MAX(Table1[Sales])), Table1[[#This Row],[Sales]], NA())</f>
        <v>31574.58</v>
      </c>
      <c r="U756" s="25" t="e">
        <f>IF(Table1[[#This Row],[Sales]]=MAX(Table1[Sales]), Table1[[#This Row],[Sales]], NA())</f>
        <v>#N/A</v>
      </c>
      <c r="V756">
        <v>6</v>
      </c>
      <c r="W756">
        <v>0.1</v>
      </c>
      <c r="X756">
        <v>1736.6</v>
      </c>
      <c r="Y756" s="3">
        <f>YEAR(Table1[[#This Row],[Order Date]])</f>
        <v>2024</v>
      </c>
      <c r="Z756" s="3" t="str">
        <f>TEXT(Table1[[#This Row],[Order Date]],"MMM")</f>
        <v>Dec</v>
      </c>
      <c r="AA756" s="3">
        <f>DAY(Table1[[#This Row],[Order Date]])</f>
        <v>13</v>
      </c>
    </row>
    <row r="757" spans="1:27" x14ac:dyDescent="0.35">
      <c r="A757" s="1">
        <v>756</v>
      </c>
      <c r="B757" s="1" t="s">
        <v>3349</v>
      </c>
      <c r="C757" s="1" t="s">
        <v>3350</v>
      </c>
      <c r="D757" s="1" t="s">
        <v>3351</v>
      </c>
      <c r="E757" t="s">
        <v>24</v>
      </c>
      <c r="F757" t="s">
        <v>3352</v>
      </c>
      <c r="G757" t="s">
        <v>81</v>
      </c>
      <c r="H757" t="s">
        <v>94</v>
      </c>
      <c r="I757" s="1" t="s">
        <v>28</v>
      </c>
      <c r="J757" t="s">
        <v>29</v>
      </c>
      <c r="K757" t="s">
        <v>29</v>
      </c>
      <c r="L757" s="1">
        <v>180717</v>
      </c>
      <c r="M757" s="1" t="s">
        <v>30</v>
      </c>
      <c r="N757" t="s">
        <v>3353</v>
      </c>
      <c r="O757" t="s">
        <v>46</v>
      </c>
      <c r="P757" t="s">
        <v>57</v>
      </c>
      <c r="Q757" t="s">
        <v>58</v>
      </c>
      <c r="R757">
        <v>21171.51</v>
      </c>
      <c r="S757" s="25" t="e">
        <f>IF(Table1[[#This Row],[Sales]]=MIN(Table1[Sales]), Table1[[#This Row],[Sales]], NA())</f>
        <v>#N/A</v>
      </c>
      <c r="T757" s="25">
        <f>IF(AND(Table1[[#This Row],[Sales]]&lt;&gt;MIN(Table1[Sales]),Table1[[#This Row],[Sales]]&lt;&gt;MAX(Table1[Sales])), Table1[[#This Row],[Sales]], NA())</f>
        <v>21171.51</v>
      </c>
      <c r="U757" s="25" t="e">
        <f>IF(Table1[[#This Row],[Sales]]=MAX(Table1[Sales]), Table1[[#This Row],[Sales]], NA())</f>
        <v>#N/A</v>
      </c>
      <c r="V757">
        <v>1</v>
      </c>
      <c r="W757">
        <v>0</v>
      </c>
      <c r="X757">
        <v>1693.72</v>
      </c>
      <c r="Y757" s="3">
        <f>YEAR(Table1[[#This Row],[Order Date]])</f>
        <v>2025</v>
      </c>
      <c r="Z757" s="3" t="str">
        <f>TEXT(Table1[[#This Row],[Order Date]],"MMM")</f>
        <v>Nov</v>
      </c>
      <c r="AA757" s="3">
        <f>DAY(Table1[[#This Row],[Order Date]])</f>
        <v>25</v>
      </c>
    </row>
    <row r="758" spans="1:27" x14ac:dyDescent="0.35">
      <c r="A758" s="1">
        <v>757</v>
      </c>
      <c r="B758" s="1" t="s">
        <v>3354</v>
      </c>
      <c r="C758" s="1" t="s">
        <v>2676</v>
      </c>
      <c r="D758" s="1" t="s">
        <v>2107</v>
      </c>
      <c r="E758" t="s">
        <v>24</v>
      </c>
      <c r="F758" t="s">
        <v>3355</v>
      </c>
      <c r="G758" t="s">
        <v>122</v>
      </c>
      <c r="H758" t="s">
        <v>27</v>
      </c>
      <c r="I758" s="1" t="s">
        <v>28</v>
      </c>
      <c r="J758" t="s">
        <v>29</v>
      </c>
      <c r="K758" t="s">
        <v>29</v>
      </c>
      <c r="L758" s="1">
        <v>458569</v>
      </c>
      <c r="M758" s="1" t="s">
        <v>30</v>
      </c>
      <c r="N758" t="s">
        <v>3356</v>
      </c>
      <c r="O758" t="s">
        <v>46</v>
      </c>
      <c r="P758" t="s">
        <v>47</v>
      </c>
      <c r="Q758" t="s">
        <v>48</v>
      </c>
      <c r="R758">
        <v>68334.06</v>
      </c>
      <c r="S758" s="25" t="e">
        <f>IF(Table1[[#This Row],[Sales]]=MIN(Table1[Sales]), Table1[[#This Row],[Sales]], NA())</f>
        <v>#N/A</v>
      </c>
      <c r="T758" s="25">
        <f>IF(AND(Table1[[#This Row],[Sales]]&lt;&gt;MIN(Table1[Sales]),Table1[[#This Row],[Sales]]&lt;&gt;MAX(Table1[Sales])), Table1[[#This Row],[Sales]], NA())</f>
        <v>68334.06</v>
      </c>
      <c r="U758" s="25" t="e">
        <f>IF(Table1[[#This Row],[Sales]]=MAX(Table1[Sales]), Table1[[#This Row],[Sales]], NA())</f>
        <v>#N/A</v>
      </c>
      <c r="V758">
        <v>3</v>
      </c>
      <c r="W758">
        <v>0.1</v>
      </c>
      <c r="X758">
        <v>3758.37</v>
      </c>
      <c r="Y758" s="3">
        <f>YEAR(Table1[[#This Row],[Order Date]])</f>
        <v>2024</v>
      </c>
      <c r="Z758" s="3" t="str">
        <f>TEXT(Table1[[#This Row],[Order Date]],"MMM")</f>
        <v>Apr</v>
      </c>
      <c r="AA758" s="3">
        <f>DAY(Table1[[#This Row],[Order Date]])</f>
        <v>29</v>
      </c>
    </row>
    <row r="759" spans="1:27" x14ac:dyDescent="0.35">
      <c r="A759" s="1">
        <v>758</v>
      </c>
      <c r="B759" s="1" t="s">
        <v>3357</v>
      </c>
      <c r="C759" s="1" t="s">
        <v>2545</v>
      </c>
      <c r="D759" s="1" t="s">
        <v>501</v>
      </c>
      <c r="E759" t="s">
        <v>115</v>
      </c>
      <c r="F759" t="s">
        <v>3358</v>
      </c>
      <c r="G759" t="s">
        <v>26</v>
      </c>
      <c r="H759" t="s">
        <v>41</v>
      </c>
      <c r="I759" s="1" t="s">
        <v>28</v>
      </c>
      <c r="J759" t="s">
        <v>42</v>
      </c>
      <c r="K759" t="s">
        <v>43</v>
      </c>
      <c r="L759" s="1">
        <v>431757</v>
      </c>
      <c r="M759" s="1" t="s">
        <v>44</v>
      </c>
      <c r="N759" t="s">
        <v>3359</v>
      </c>
      <c r="O759" t="s">
        <v>46</v>
      </c>
      <c r="P759" t="s">
        <v>47</v>
      </c>
      <c r="Q759" t="s">
        <v>48</v>
      </c>
      <c r="R759">
        <v>69466.28</v>
      </c>
      <c r="S759" s="25" t="e">
        <f>IF(Table1[[#This Row],[Sales]]=MIN(Table1[Sales]), Table1[[#This Row],[Sales]], NA())</f>
        <v>#N/A</v>
      </c>
      <c r="T759" s="25">
        <f>IF(AND(Table1[[#This Row],[Sales]]&lt;&gt;MIN(Table1[Sales]),Table1[[#This Row],[Sales]]&lt;&gt;MAX(Table1[Sales])), Table1[[#This Row],[Sales]], NA())</f>
        <v>69466.28</v>
      </c>
      <c r="U759" s="25" t="e">
        <f>IF(Table1[[#This Row],[Sales]]=MAX(Table1[Sales]), Table1[[#This Row],[Sales]], NA())</f>
        <v>#N/A</v>
      </c>
      <c r="V759">
        <v>9</v>
      </c>
      <c r="W759">
        <v>0</v>
      </c>
      <c r="X759">
        <v>5557.3</v>
      </c>
      <c r="Y759" s="3">
        <f>YEAR(Table1[[#This Row],[Order Date]])</f>
        <v>2021</v>
      </c>
      <c r="Z759" s="3" t="str">
        <f>TEXT(Table1[[#This Row],[Order Date]],"MMM")</f>
        <v>Mar</v>
      </c>
      <c r="AA759" s="3">
        <f>DAY(Table1[[#This Row],[Order Date]])</f>
        <v>24</v>
      </c>
    </row>
    <row r="760" spans="1:27" x14ac:dyDescent="0.35">
      <c r="A760" s="1">
        <v>759</v>
      </c>
      <c r="B760" s="1" t="s">
        <v>3360</v>
      </c>
      <c r="C760" s="1" t="s">
        <v>1810</v>
      </c>
      <c r="D760" s="1" t="s">
        <v>1811</v>
      </c>
      <c r="E760" t="s">
        <v>62</v>
      </c>
      <c r="F760" t="s">
        <v>3361</v>
      </c>
      <c r="G760" t="s">
        <v>26</v>
      </c>
      <c r="H760" t="s">
        <v>41</v>
      </c>
      <c r="I760" s="1" t="s">
        <v>28</v>
      </c>
      <c r="J760" t="s">
        <v>128</v>
      </c>
      <c r="K760" t="s">
        <v>129</v>
      </c>
      <c r="L760" s="1">
        <v>608669</v>
      </c>
      <c r="M760" s="1" t="s">
        <v>66</v>
      </c>
      <c r="N760" t="s">
        <v>3362</v>
      </c>
      <c r="O760" t="s">
        <v>68</v>
      </c>
      <c r="P760" t="s">
        <v>69</v>
      </c>
      <c r="Q760" t="s">
        <v>70</v>
      </c>
      <c r="R760">
        <v>48076.07</v>
      </c>
      <c r="S760" s="25" t="e">
        <f>IF(Table1[[#This Row],[Sales]]=MIN(Table1[Sales]), Table1[[#This Row],[Sales]], NA())</f>
        <v>#N/A</v>
      </c>
      <c r="T760" s="25">
        <f>IF(AND(Table1[[#This Row],[Sales]]&lt;&gt;MIN(Table1[Sales]),Table1[[#This Row],[Sales]]&lt;&gt;MAX(Table1[Sales])), Table1[[#This Row],[Sales]], NA())</f>
        <v>48076.07</v>
      </c>
      <c r="U760" s="25" t="e">
        <f>IF(Table1[[#This Row],[Sales]]=MAX(Table1[Sales]), Table1[[#This Row],[Sales]], NA())</f>
        <v>#N/A</v>
      </c>
      <c r="V760">
        <v>4</v>
      </c>
      <c r="W760">
        <v>0</v>
      </c>
      <c r="X760">
        <v>3846.09</v>
      </c>
      <c r="Y760" s="3">
        <f>YEAR(Table1[[#This Row],[Order Date]])</f>
        <v>2022</v>
      </c>
      <c r="Z760" s="3" t="str">
        <f>TEXT(Table1[[#This Row],[Order Date]],"MMM")</f>
        <v>Oct</v>
      </c>
      <c r="AA760" s="3">
        <f>DAY(Table1[[#This Row],[Order Date]])</f>
        <v>10</v>
      </c>
    </row>
    <row r="761" spans="1:27" x14ac:dyDescent="0.35">
      <c r="A761" s="1">
        <v>760</v>
      </c>
      <c r="B761" s="1" t="s">
        <v>3363</v>
      </c>
      <c r="C761" s="1" t="s">
        <v>3364</v>
      </c>
      <c r="D761" s="1" t="s">
        <v>3365</v>
      </c>
      <c r="E761" t="s">
        <v>115</v>
      </c>
      <c r="F761" t="s">
        <v>3366</v>
      </c>
      <c r="G761" t="s">
        <v>26</v>
      </c>
      <c r="H761" t="s">
        <v>41</v>
      </c>
      <c r="I761" s="1" t="s">
        <v>28</v>
      </c>
      <c r="J761" t="s">
        <v>53</v>
      </c>
      <c r="K761" t="s">
        <v>54</v>
      </c>
      <c r="L761" s="1">
        <v>771655</v>
      </c>
      <c r="M761" s="1" t="s">
        <v>55</v>
      </c>
      <c r="N761" t="s">
        <v>3367</v>
      </c>
      <c r="O761" t="s">
        <v>68</v>
      </c>
      <c r="P761" t="s">
        <v>69</v>
      </c>
      <c r="Q761" t="s">
        <v>70</v>
      </c>
      <c r="R761">
        <v>40079.699999999997</v>
      </c>
      <c r="S761" s="25" t="e">
        <f>IF(Table1[[#This Row],[Sales]]=MIN(Table1[Sales]), Table1[[#This Row],[Sales]], NA())</f>
        <v>#N/A</v>
      </c>
      <c r="T761" s="25">
        <f>IF(AND(Table1[[#This Row],[Sales]]&lt;&gt;MIN(Table1[Sales]),Table1[[#This Row],[Sales]]&lt;&gt;MAX(Table1[Sales])), Table1[[#This Row],[Sales]], NA())</f>
        <v>40079.699999999997</v>
      </c>
      <c r="U761" s="25" t="e">
        <f>IF(Table1[[#This Row],[Sales]]=MAX(Table1[Sales]), Table1[[#This Row],[Sales]], NA())</f>
        <v>#N/A</v>
      </c>
      <c r="V761">
        <v>1</v>
      </c>
      <c r="W761">
        <v>0.2</v>
      </c>
      <c r="X761">
        <v>1202.3900000000001</v>
      </c>
      <c r="Y761" s="3">
        <f>YEAR(Table1[[#This Row],[Order Date]])</f>
        <v>2023</v>
      </c>
      <c r="Z761" s="3" t="str">
        <f>TEXT(Table1[[#This Row],[Order Date]],"MMM")</f>
        <v>Feb</v>
      </c>
      <c r="AA761" s="3">
        <f>DAY(Table1[[#This Row],[Order Date]])</f>
        <v>25</v>
      </c>
    </row>
    <row r="762" spans="1:27" x14ac:dyDescent="0.35">
      <c r="A762" s="1">
        <v>761</v>
      </c>
      <c r="B762" s="1" t="s">
        <v>3368</v>
      </c>
      <c r="C762" s="1" t="s">
        <v>2234</v>
      </c>
      <c r="D762" s="1" t="s">
        <v>938</v>
      </c>
      <c r="E762" t="s">
        <v>24</v>
      </c>
      <c r="F762" t="s">
        <v>3369</v>
      </c>
      <c r="G762" t="s">
        <v>81</v>
      </c>
      <c r="H762" t="s">
        <v>41</v>
      </c>
      <c r="I762" s="1" t="s">
        <v>28</v>
      </c>
      <c r="J762" t="s">
        <v>53</v>
      </c>
      <c r="K762" t="s">
        <v>54</v>
      </c>
      <c r="L762" s="1">
        <v>815539</v>
      </c>
      <c r="M762" s="1" t="s">
        <v>55</v>
      </c>
      <c r="N762" t="s">
        <v>3370</v>
      </c>
      <c r="O762" t="s">
        <v>68</v>
      </c>
      <c r="P762" t="s">
        <v>69</v>
      </c>
      <c r="Q762" t="s">
        <v>70</v>
      </c>
      <c r="R762">
        <v>66934.03</v>
      </c>
      <c r="S762" s="25" t="e">
        <f>IF(Table1[[#This Row],[Sales]]=MIN(Table1[Sales]), Table1[[#This Row],[Sales]], NA())</f>
        <v>#N/A</v>
      </c>
      <c r="T762" s="25">
        <f>IF(AND(Table1[[#This Row],[Sales]]&lt;&gt;MIN(Table1[Sales]),Table1[[#This Row],[Sales]]&lt;&gt;MAX(Table1[Sales])), Table1[[#This Row],[Sales]], NA())</f>
        <v>66934.03</v>
      </c>
      <c r="U762" s="25" t="e">
        <f>IF(Table1[[#This Row],[Sales]]=MAX(Table1[Sales]), Table1[[#This Row],[Sales]], NA())</f>
        <v>#N/A</v>
      </c>
      <c r="V762">
        <v>9</v>
      </c>
      <c r="W762">
        <v>0.3</v>
      </c>
      <c r="X762">
        <v>334.67</v>
      </c>
      <c r="Y762" s="3">
        <f>YEAR(Table1[[#This Row],[Order Date]])</f>
        <v>2024</v>
      </c>
      <c r="Z762" s="3" t="str">
        <f>TEXT(Table1[[#This Row],[Order Date]],"MMM")</f>
        <v>Sep</v>
      </c>
      <c r="AA762" s="3">
        <f>DAY(Table1[[#This Row],[Order Date]])</f>
        <v>3</v>
      </c>
    </row>
    <row r="763" spans="1:27" x14ac:dyDescent="0.35">
      <c r="A763" s="1">
        <v>762</v>
      </c>
      <c r="B763" s="1" t="s">
        <v>3371</v>
      </c>
      <c r="C763" s="1" t="s">
        <v>2348</v>
      </c>
      <c r="D763" s="1" t="s">
        <v>2349</v>
      </c>
      <c r="E763" t="s">
        <v>38</v>
      </c>
      <c r="F763" t="s">
        <v>3372</v>
      </c>
      <c r="G763" t="s">
        <v>40</v>
      </c>
      <c r="H763" t="s">
        <v>94</v>
      </c>
      <c r="I763" s="1" t="s">
        <v>28</v>
      </c>
      <c r="J763" t="s">
        <v>42</v>
      </c>
      <c r="K763" t="s">
        <v>43</v>
      </c>
      <c r="L763" s="1">
        <v>374386</v>
      </c>
      <c r="M763" s="1" t="s">
        <v>44</v>
      </c>
      <c r="N763" t="s">
        <v>3373</v>
      </c>
      <c r="O763" t="s">
        <v>68</v>
      </c>
      <c r="P763" t="s">
        <v>69</v>
      </c>
      <c r="Q763" t="s">
        <v>70</v>
      </c>
      <c r="R763">
        <v>6191.61</v>
      </c>
      <c r="S763" s="25" t="e">
        <f>IF(Table1[[#This Row],[Sales]]=MIN(Table1[Sales]), Table1[[#This Row],[Sales]], NA())</f>
        <v>#N/A</v>
      </c>
      <c r="T763" s="25">
        <f>IF(AND(Table1[[#This Row],[Sales]]&lt;&gt;MIN(Table1[Sales]),Table1[[#This Row],[Sales]]&lt;&gt;MAX(Table1[Sales])), Table1[[#This Row],[Sales]], NA())</f>
        <v>6191.61</v>
      </c>
      <c r="U763" s="25" t="e">
        <f>IF(Table1[[#This Row],[Sales]]=MAX(Table1[Sales]), Table1[[#This Row],[Sales]], NA())</f>
        <v>#N/A</v>
      </c>
      <c r="V763">
        <v>10</v>
      </c>
      <c r="W763">
        <v>0</v>
      </c>
      <c r="X763">
        <v>495.33</v>
      </c>
      <c r="Y763" s="3">
        <f>YEAR(Table1[[#This Row],[Order Date]])</f>
        <v>2021</v>
      </c>
      <c r="Z763" s="3" t="str">
        <f>TEXT(Table1[[#This Row],[Order Date]],"MMM")</f>
        <v>Aug</v>
      </c>
      <c r="AA763" s="3">
        <f>DAY(Table1[[#This Row],[Order Date]])</f>
        <v>10</v>
      </c>
    </row>
    <row r="764" spans="1:27" x14ac:dyDescent="0.35">
      <c r="A764" s="1">
        <v>763</v>
      </c>
      <c r="B764" s="1" t="s">
        <v>3374</v>
      </c>
      <c r="C764" s="1" t="s">
        <v>3212</v>
      </c>
      <c r="D764" s="1" t="s">
        <v>2450</v>
      </c>
      <c r="E764" t="s">
        <v>62</v>
      </c>
      <c r="F764" t="s">
        <v>3375</v>
      </c>
      <c r="G764" t="s">
        <v>93</v>
      </c>
      <c r="H764" t="s">
        <v>27</v>
      </c>
      <c r="I764" s="1" t="s">
        <v>28</v>
      </c>
      <c r="J764" t="s">
        <v>29</v>
      </c>
      <c r="K764" t="s">
        <v>29</v>
      </c>
      <c r="L764" s="1">
        <v>751584</v>
      </c>
      <c r="M764" s="1" t="s">
        <v>30</v>
      </c>
      <c r="N764" t="s">
        <v>3376</v>
      </c>
      <c r="O764" t="s">
        <v>68</v>
      </c>
      <c r="P764" t="s">
        <v>69</v>
      </c>
      <c r="Q764" t="s">
        <v>70</v>
      </c>
      <c r="R764">
        <v>91214.99</v>
      </c>
      <c r="S764" s="25" t="e">
        <f>IF(Table1[[#This Row],[Sales]]=MIN(Table1[Sales]), Table1[[#This Row],[Sales]], NA())</f>
        <v>#N/A</v>
      </c>
      <c r="T764" s="25">
        <f>IF(AND(Table1[[#This Row],[Sales]]&lt;&gt;MIN(Table1[Sales]),Table1[[#This Row],[Sales]]&lt;&gt;MAX(Table1[Sales])), Table1[[#This Row],[Sales]], NA())</f>
        <v>91214.99</v>
      </c>
      <c r="U764" s="25" t="e">
        <f>IF(Table1[[#This Row],[Sales]]=MAX(Table1[Sales]), Table1[[#This Row],[Sales]], NA())</f>
        <v>#N/A</v>
      </c>
      <c r="V764">
        <v>2</v>
      </c>
      <c r="W764">
        <v>0.2</v>
      </c>
      <c r="X764">
        <v>2736.45</v>
      </c>
      <c r="Y764" s="3">
        <f>YEAR(Table1[[#This Row],[Order Date]])</f>
        <v>2025</v>
      </c>
      <c r="Z764" s="3" t="str">
        <f>TEXT(Table1[[#This Row],[Order Date]],"MMM")</f>
        <v>Jul</v>
      </c>
      <c r="AA764" s="3">
        <f>DAY(Table1[[#This Row],[Order Date]])</f>
        <v>12</v>
      </c>
    </row>
    <row r="765" spans="1:27" x14ac:dyDescent="0.35">
      <c r="A765" s="1">
        <v>764</v>
      </c>
      <c r="B765" s="1" t="s">
        <v>3377</v>
      </c>
      <c r="C765" s="1" t="s">
        <v>930</v>
      </c>
      <c r="D765" s="1" t="s">
        <v>3378</v>
      </c>
      <c r="E765" t="s">
        <v>38</v>
      </c>
      <c r="F765" t="s">
        <v>3379</v>
      </c>
      <c r="G765" t="s">
        <v>93</v>
      </c>
      <c r="H765" t="s">
        <v>27</v>
      </c>
      <c r="I765" s="1" t="s">
        <v>28</v>
      </c>
      <c r="J765" t="s">
        <v>53</v>
      </c>
      <c r="K765" t="s">
        <v>54</v>
      </c>
      <c r="L765" s="1">
        <v>152506</v>
      </c>
      <c r="M765" s="1" t="s">
        <v>55</v>
      </c>
      <c r="N765" t="s">
        <v>3380</v>
      </c>
      <c r="O765" t="s">
        <v>46</v>
      </c>
      <c r="P765" t="s">
        <v>57</v>
      </c>
      <c r="Q765" t="s">
        <v>58</v>
      </c>
      <c r="R765">
        <v>89632.34</v>
      </c>
      <c r="S765" s="25" t="e">
        <f>IF(Table1[[#This Row],[Sales]]=MIN(Table1[Sales]), Table1[[#This Row],[Sales]], NA())</f>
        <v>#N/A</v>
      </c>
      <c r="T765" s="25">
        <f>IF(AND(Table1[[#This Row],[Sales]]&lt;&gt;MIN(Table1[Sales]),Table1[[#This Row],[Sales]]&lt;&gt;MAX(Table1[Sales])), Table1[[#This Row],[Sales]], NA())</f>
        <v>89632.34</v>
      </c>
      <c r="U765" s="25" t="e">
        <f>IF(Table1[[#This Row],[Sales]]=MAX(Table1[Sales]), Table1[[#This Row],[Sales]], NA())</f>
        <v>#N/A</v>
      </c>
      <c r="V765">
        <v>3</v>
      </c>
      <c r="W765">
        <v>0.3</v>
      </c>
      <c r="X765">
        <v>448.16</v>
      </c>
      <c r="Y765" s="3">
        <f>YEAR(Table1[[#This Row],[Order Date]])</f>
        <v>2025</v>
      </c>
      <c r="Z765" s="3" t="str">
        <f>TEXT(Table1[[#This Row],[Order Date]],"MMM")</f>
        <v>Sep</v>
      </c>
      <c r="AA765" s="3">
        <f>DAY(Table1[[#This Row],[Order Date]])</f>
        <v>1</v>
      </c>
    </row>
    <row r="766" spans="1:27" x14ac:dyDescent="0.35">
      <c r="A766" s="1">
        <v>765</v>
      </c>
      <c r="B766" s="1" t="s">
        <v>3381</v>
      </c>
      <c r="C766" s="1" t="s">
        <v>3382</v>
      </c>
      <c r="D766" s="1" t="s">
        <v>3069</v>
      </c>
      <c r="E766" t="s">
        <v>62</v>
      </c>
      <c r="F766" t="s">
        <v>3383</v>
      </c>
      <c r="G766" t="s">
        <v>140</v>
      </c>
      <c r="H766" t="s">
        <v>27</v>
      </c>
      <c r="I766" s="1" t="s">
        <v>28</v>
      </c>
      <c r="J766" t="s">
        <v>29</v>
      </c>
      <c r="K766" t="s">
        <v>29</v>
      </c>
      <c r="L766" s="1">
        <v>590847</v>
      </c>
      <c r="M766" s="1" t="s">
        <v>30</v>
      </c>
      <c r="N766" t="s">
        <v>3384</v>
      </c>
      <c r="O766" t="s">
        <v>46</v>
      </c>
      <c r="P766" t="s">
        <v>57</v>
      </c>
      <c r="Q766" t="s">
        <v>58</v>
      </c>
      <c r="R766">
        <v>44485.23</v>
      </c>
      <c r="S766" s="25" t="e">
        <f>IF(Table1[[#This Row],[Sales]]=MIN(Table1[Sales]), Table1[[#This Row],[Sales]], NA())</f>
        <v>#N/A</v>
      </c>
      <c r="T766" s="25">
        <f>IF(AND(Table1[[#This Row],[Sales]]&lt;&gt;MIN(Table1[Sales]),Table1[[#This Row],[Sales]]&lt;&gt;MAX(Table1[Sales])), Table1[[#This Row],[Sales]], NA())</f>
        <v>44485.23</v>
      </c>
      <c r="U766" s="25" t="e">
        <f>IF(Table1[[#This Row],[Sales]]=MAX(Table1[Sales]), Table1[[#This Row],[Sales]], NA())</f>
        <v>#N/A</v>
      </c>
      <c r="V766">
        <v>7</v>
      </c>
      <c r="W766">
        <v>0.3</v>
      </c>
      <c r="X766">
        <v>222.43</v>
      </c>
      <c r="Y766" s="3">
        <f>YEAR(Table1[[#This Row],[Order Date]])</f>
        <v>2023</v>
      </c>
      <c r="Z766" s="3" t="str">
        <f>TEXT(Table1[[#This Row],[Order Date]],"MMM")</f>
        <v>Sep</v>
      </c>
      <c r="AA766" s="3">
        <f>DAY(Table1[[#This Row],[Order Date]])</f>
        <v>16</v>
      </c>
    </row>
    <row r="767" spans="1:27" x14ac:dyDescent="0.35">
      <c r="A767" s="1">
        <v>766</v>
      </c>
      <c r="B767" s="1" t="s">
        <v>3385</v>
      </c>
      <c r="C767" s="1" t="s">
        <v>1431</v>
      </c>
      <c r="D767" s="1" t="s">
        <v>1294</v>
      </c>
      <c r="E767" t="s">
        <v>24</v>
      </c>
      <c r="F767" t="s">
        <v>3386</v>
      </c>
      <c r="G767" t="s">
        <v>140</v>
      </c>
      <c r="H767" t="s">
        <v>41</v>
      </c>
      <c r="I767" s="1" t="s">
        <v>28</v>
      </c>
      <c r="J767" t="s">
        <v>42</v>
      </c>
      <c r="K767" t="s">
        <v>43</v>
      </c>
      <c r="L767" s="1">
        <v>860266</v>
      </c>
      <c r="M767" s="1" t="s">
        <v>44</v>
      </c>
      <c r="N767" t="s">
        <v>3387</v>
      </c>
      <c r="O767" t="s">
        <v>32</v>
      </c>
      <c r="P767" t="s">
        <v>33</v>
      </c>
      <c r="Q767" t="s">
        <v>34</v>
      </c>
      <c r="R767">
        <v>22877.32</v>
      </c>
      <c r="S767" s="25" t="e">
        <f>IF(Table1[[#This Row],[Sales]]=MIN(Table1[Sales]), Table1[[#This Row],[Sales]], NA())</f>
        <v>#N/A</v>
      </c>
      <c r="T767" s="25">
        <f>IF(AND(Table1[[#This Row],[Sales]]&lt;&gt;MIN(Table1[Sales]),Table1[[#This Row],[Sales]]&lt;&gt;MAX(Table1[Sales])), Table1[[#This Row],[Sales]], NA())</f>
        <v>22877.32</v>
      </c>
      <c r="U767" s="25" t="e">
        <f>IF(Table1[[#This Row],[Sales]]=MAX(Table1[Sales]), Table1[[#This Row],[Sales]], NA())</f>
        <v>#N/A</v>
      </c>
      <c r="V767">
        <v>1</v>
      </c>
      <c r="W767">
        <v>0.1</v>
      </c>
      <c r="X767">
        <v>1258.25</v>
      </c>
      <c r="Y767" s="3">
        <f>YEAR(Table1[[#This Row],[Order Date]])</f>
        <v>2021</v>
      </c>
      <c r="Z767" s="3" t="str">
        <f>TEXT(Table1[[#This Row],[Order Date]],"MMM")</f>
        <v>Jun</v>
      </c>
      <c r="AA767" s="3">
        <f>DAY(Table1[[#This Row],[Order Date]])</f>
        <v>25</v>
      </c>
    </row>
    <row r="768" spans="1:27" x14ac:dyDescent="0.35">
      <c r="A768" s="1">
        <v>767</v>
      </c>
      <c r="B768" s="1" t="s">
        <v>3388</v>
      </c>
      <c r="C768" s="1" t="s">
        <v>2151</v>
      </c>
      <c r="D768" s="1" t="s">
        <v>3389</v>
      </c>
      <c r="E768" t="s">
        <v>62</v>
      </c>
      <c r="F768" t="s">
        <v>3390</v>
      </c>
      <c r="G768" t="s">
        <v>26</v>
      </c>
      <c r="H768" t="s">
        <v>27</v>
      </c>
      <c r="I768" s="1" t="s">
        <v>28</v>
      </c>
      <c r="J768" t="s">
        <v>64</v>
      </c>
      <c r="K768" t="s">
        <v>65</v>
      </c>
      <c r="L768" s="1">
        <v>466921</v>
      </c>
      <c r="M768" s="1" t="s">
        <v>66</v>
      </c>
      <c r="N768" t="s">
        <v>3391</v>
      </c>
      <c r="O768" t="s">
        <v>68</v>
      </c>
      <c r="P768" t="s">
        <v>69</v>
      </c>
      <c r="Q768" t="s">
        <v>70</v>
      </c>
      <c r="R768">
        <v>31459.45</v>
      </c>
      <c r="S768" s="25" t="e">
        <f>IF(Table1[[#This Row],[Sales]]=MIN(Table1[Sales]), Table1[[#This Row],[Sales]], NA())</f>
        <v>#N/A</v>
      </c>
      <c r="T768" s="25">
        <f>IF(AND(Table1[[#This Row],[Sales]]&lt;&gt;MIN(Table1[Sales]),Table1[[#This Row],[Sales]]&lt;&gt;MAX(Table1[Sales])), Table1[[#This Row],[Sales]], NA())</f>
        <v>31459.45</v>
      </c>
      <c r="U768" s="25" t="e">
        <f>IF(Table1[[#This Row],[Sales]]=MAX(Table1[Sales]), Table1[[#This Row],[Sales]], NA())</f>
        <v>#N/A</v>
      </c>
      <c r="V768">
        <v>1</v>
      </c>
      <c r="W768">
        <v>0</v>
      </c>
      <c r="X768">
        <v>2516.7600000000002</v>
      </c>
      <c r="Y768" s="3">
        <f>YEAR(Table1[[#This Row],[Order Date]])</f>
        <v>2024</v>
      </c>
      <c r="Z768" s="3" t="str">
        <f>TEXT(Table1[[#This Row],[Order Date]],"MMM")</f>
        <v>Jul</v>
      </c>
      <c r="AA768" s="3">
        <f>DAY(Table1[[#This Row],[Order Date]])</f>
        <v>9</v>
      </c>
    </row>
    <row r="769" spans="1:27" x14ac:dyDescent="0.35">
      <c r="A769" s="1">
        <v>768</v>
      </c>
      <c r="B769" s="1" t="s">
        <v>3392</v>
      </c>
      <c r="C769" s="1" t="s">
        <v>2151</v>
      </c>
      <c r="D769" s="1" t="s">
        <v>3393</v>
      </c>
      <c r="E769" t="s">
        <v>62</v>
      </c>
      <c r="F769" t="s">
        <v>3394</v>
      </c>
      <c r="G769" t="s">
        <v>81</v>
      </c>
      <c r="H769" t="s">
        <v>94</v>
      </c>
      <c r="I769" s="1" t="s">
        <v>28</v>
      </c>
      <c r="J769" t="s">
        <v>64</v>
      </c>
      <c r="K769" t="s">
        <v>65</v>
      </c>
      <c r="L769" s="1">
        <v>410451</v>
      </c>
      <c r="M769" s="1" t="s">
        <v>66</v>
      </c>
      <c r="N769" t="s">
        <v>3395</v>
      </c>
      <c r="O769" t="s">
        <v>46</v>
      </c>
      <c r="P769" t="s">
        <v>47</v>
      </c>
      <c r="Q769" t="s">
        <v>48</v>
      </c>
      <c r="R769">
        <v>71658.47</v>
      </c>
      <c r="S769" s="25" t="e">
        <f>IF(Table1[[#This Row],[Sales]]=MIN(Table1[Sales]), Table1[[#This Row],[Sales]], NA())</f>
        <v>#N/A</v>
      </c>
      <c r="T769" s="25">
        <f>IF(AND(Table1[[#This Row],[Sales]]&lt;&gt;MIN(Table1[Sales]),Table1[[#This Row],[Sales]]&lt;&gt;MAX(Table1[Sales])), Table1[[#This Row],[Sales]], NA())</f>
        <v>71658.47</v>
      </c>
      <c r="U769" s="25" t="e">
        <f>IF(Table1[[#This Row],[Sales]]=MAX(Table1[Sales]), Table1[[#This Row],[Sales]], NA())</f>
        <v>#N/A</v>
      </c>
      <c r="V769">
        <v>9</v>
      </c>
      <c r="W769">
        <v>0.3</v>
      </c>
      <c r="X769">
        <v>358.29</v>
      </c>
      <c r="Y769" s="3">
        <f>YEAR(Table1[[#This Row],[Order Date]])</f>
        <v>2024</v>
      </c>
      <c r="Z769" s="3" t="str">
        <f>TEXT(Table1[[#This Row],[Order Date]],"MMM")</f>
        <v>Jul</v>
      </c>
      <c r="AA769" s="3">
        <f>DAY(Table1[[#This Row],[Order Date]])</f>
        <v>9</v>
      </c>
    </row>
    <row r="770" spans="1:27" x14ac:dyDescent="0.35">
      <c r="A770" s="1">
        <v>769</v>
      </c>
      <c r="B770" s="1" t="s">
        <v>3396</v>
      </c>
      <c r="C770" s="1" t="s">
        <v>1210</v>
      </c>
      <c r="D770" s="1" t="s">
        <v>2766</v>
      </c>
      <c r="E770" t="s">
        <v>115</v>
      </c>
      <c r="F770" t="s">
        <v>3397</v>
      </c>
      <c r="G770" t="s">
        <v>140</v>
      </c>
      <c r="H770" t="s">
        <v>41</v>
      </c>
      <c r="I770" s="1" t="s">
        <v>28</v>
      </c>
      <c r="J770" t="s">
        <v>64</v>
      </c>
      <c r="K770" t="s">
        <v>65</v>
      </c>
      <c r="L770" s="1">
        <v>229133</v>
      </c>
      <c r="M770" s="1" t="s">
        <v>66</v>
      </c>
      <c r="N770" t="s">
        <v>3398</v>
      </c>
      <c r="O770" t="s">
        <v>68</v>
      </c>
      <c r="P770" t="s">
        <v>69</v>
      </c>
      <c r="Q770" t="s">
        <v>70</v>
      </c>
      <c r="R770">
        <v>43960.73</v>
      </c>
      <c r="S770" s="25" t="e">
        <f>IF(Table1[[#This Row],[Sales]]=MIN(Table1[Sales]), Table1[[#This Row],[Sales]], NA())</f>
        <v>#N/A</v>
      </c>
      <c r="T770" s="25">
        <f>IF(AND(Table1[[#This Row],[Sales]]&lt;&gt;MIN(Table1[Sales]),Table1[[#This Row],[Sales]]&lt;&gt;MAX(Table1[Sales])), Table1[[#This Row],[Sales]], NA())</f>
        <v>43960.73</v>
      </c>
      <c r="U770" s="25" t="e">
        <f>IF(Table1[[#This Row],[Sales]]=MAX(Table1[Sales]), Table1[[#This Row],[Sales]], NA())</f>
        <v>#N/A</v>
      </c>
      <c r="V770">
        <v>8</v>
      </c>
      <c r="W770">
        <v>0</v>
      </c>
      <c r="X770">
        <v>3516.86</v>
      </c>
      <c r="Y770" s="3">
        <f>YEAR(Table1[[#This Row],[Order Date]])</f>
        <v>2021</v>
      </c>
      <c r="Z770" s="3" t="str">
        <f>TEXT(Table1[[#This Row],[Order Date]],"MMM")</f>
        <v>Jan</v>
      </c>
      <c r="AA770" s="3">
        <f>DAY(Table1[[#This Row],[Order Date]])</f>
        <v>18</v>
      </c>
    </row>
    <row r="771" spans="1:27" x14ac:dyDescent="0.35">
      <c r="A771" s="1">
        <v>770</v>
      </c>
      <c r="B771" s="1" t="s">
        <v>3399</v>
      </c>
      <c r="C771" s="1" t="s">
        <v>90</v>
      </c>
      <c r="D771" s="1" t="s">
        <v>3144</v>
      </c>
      <c r="E771" t="s">
        <v>38</v>
      </c>
      <c r="F771" t="s">
        <v>3400</v>
      </c>
      <c r="G771" t="s">
        <v>87</v>
      </c>
      <c r="H771" t="s">
        <v>94</v>
      </c>
      <c r="I771" s="1" t="s">
        <v>28</v>
      </c>
      <c r="J771" t="s">
        <v>128</v>
      </c>
      <c r="K771" t="s">
        <v>129</v>
      </c>
      <c r="L771" s="1">
        <v>729675</v>
      </c>
      <c r="M771" s="1" t="s">
        <v>66</v>
      </c>
      <c r="N771" t="s">
        <v>3401</v>
      </c>
      <c r="O771" t="s">
        <v>46</v>
      </c>
      <c r="P771" t="s">
        <v>57</v>
      </c>
      <c r="Q771" t="s">
        <v>58</v>
      </c>
      <c r="R771">
        <v>38879.71</v>
      </c>
      <c r="S771" s="25" t="e">
        <f>IF(Table1[[#This Row],[Sales]]=MIN(Table1[Sales]), Table1[[#This Row],[Sales]], NA())</f>
        <v>#N/A</v>
      </c>
      <c r="T771" s="25">
        <f>IF(AND(Table1[[#This Row],[Sales]]&lt;&gt;MIN(Table1[Sales]),Table1[[#This Row],[Sales]]&lt;&gt;MAX(Table1[Sales])), Table1[[#This Row],[Sales]], NA())</f>
        <v>38879.71</v>
      </c>
      <c r="U771" s="25" t="e">
        <f>IF(Table1[[#This Row],[Sales]]=MAX(Table1[Sales]), Table1[[#This Row],[Sales]], NA())</f>
        <v>#N/A</v>
      </c>
      <c r="V771">
        <v>10</v>
      </c>
      <c r="W771">
        <v>0</v>
      </c>
      <c r="X771">
        <v>3110.38</v>
      </c>
      <c r="Y771" s="3">
        <f>YEAR(Table1[[#This Row],[Order Date]])</f>
        <v>2023</v>
      </c>
      <c r="Z771" s="3" t="str">
        <f>TEXT(Table1[[#This Row],[Order Date]],"MMM")</f>
        <v>Aug</v>
      </c>
      <c r="AA771" s="3">
        <f>DAY(Table1[[#This Row],[Order Date]])</f>
        <v>27</v>
      </c>
    </row>
    <row r="772" spans="1:27" x14ac:dyDescent="0.35">
      <c r="A772" s="1">
        <v>771</v>
      </c>
      <c r="B772" s="1" t="s">
        <v>3402</v>
      </c>
      <c r="C772" s="1" t="s">
        <v>3403</v>
      </c>
      <c r="D772" s="1" t="s">
        <v>2173</v>
      </c>
      <c r="E772" t="s">
        <v>115</v>
      </c>
      <c r="F772" t="s">
        <v>3404</v>
      </c>
      <c r="G772" t="s">
        <v>87</v>
      </c>
      <c r="H772" t="s">
        <v>94</v>
      </c>
      <c r="I772" s="1" t="s">
        <v>28</v>
      </c>
      <c r="J772" t="s">
        <v>42</v>
      </c>
      <c r="K772" t="s">
        <v>43</v>
      </c>
      <c r="L772" s="1">
        <v>725950</v>
      </c>
      <c r="M772" s="1" t="s">
        <v>44</v>
      </c>
      <c r="N772" t="s">
        <v>3405</v>
      </c>
      <c r="O772" t="s">
        <v>46</v>
      </c>
      <c r="P772" t="s">
        <v>57</v>
      </c>
      <c r="Q772" t="s">
        <v>58</v>
      </c>
      <c r="R772">
        <v>20941.39</v>
      </c>
      <c r="S772" s="25" t="e">
        <f>IF(Table1[[#This Row],[Sales]]=MIN(Table1[Sales]), Table1[[#This Row],[Sales]], NA())</f>
        <v>#N/A</v>
      </c>
      <c r="T772" s="25">
        <f>IF(AND(Table1[[#This Row],[Sales]]&lt;&gt;MIN(Table1[Sales]),Table1[[#This Row],[Sales]]&lt;&gt;MAX(Table1[Sales])), Table1[[#This Row],[Sales]], NA())</f>
        <v>20941.39</v>
      </c>
      <c r="U772" s="25" t="e">
        <f>IF(Table1[[#This Row],[Sales]]=MAX(Table1[Sales]), Table1[[#This Row],[Sales]], NA())</f>
        <v>#N/A</v>
      </c>
      <c r="V772">
        <v>3</v>
      </c>
      <c r="W772">
        <v>0.2</v>
      </c>
      <c r="X772">
        <v>628.24</v>
      </c>
      <c r="Y772" s="3">
        <f>YEAR(Table1[[#This Row],[Order Date]])</f>
        <v>2024</v>
      </c>
      <c r="Z772" s="3" t="str">
        <f>TEXT(Table1[[#This Row],[Order Date]],"MMM")</f>
        <v>Feb</v>
      </c>
      <c r="AA772" s="3">
        <f>DAY(Table1[[#This Row],[Order Date]])</f>
        <v>3</v>
      </c>
    </row>
    <row r="773" spans="1:27" x14ac:dyDescent="0.35">
      <c r="A773" s="1">
        <v>772</v>
      </c>
      <c r="B773" s="1" t="s">
        <v>3406</v>
      </c>
      <c r="C773" s="1" t="s">
        <v>3407</v>
      </c>
      <c r="D773" s="1" t="s">
        <v>3408</v>
      </c>
      <c r="E773" t="s">
        <v>115</v>
      </c>
      <c r="F773" t="s">
        <v>3409</v>
      </c>
      <c r="G773" t="s">
        <v>75</v>
      </c>
      <c r="H773" t="s">
        <v>41</v>
      </c>
      <c r="I773" s="1" t="s">
        <v>28</v>
      </c>
      <c r="J773" t="s">
        <v>53</v>
      </c>
      <c r="K773" t="s">
        <v>54</v>
      </c>
      <c r="L773" s="1">
        <v>820593</v>
      </c>
      <c r="M773" s="1" t="s">
        <v>55</v>
      </c>
      <c r="N773" t="s">
        <v>3410</v>
      </c>
      <c r="O773" t="s">
        <v>68</v>
      </c>
      <c r="P773" t="s">
        <v>69</v>
      </c>
      <c r="Q773" t="s">
        <v>70</v>
      </c>
      <c r="R773">
        <v>99680.34</v>
      </c>
      <c r="S773" s="25" t="e">
        <f>IF(Table1[[#This Row],[Sales]]=MIN(Table1[Sales]), Table1[[#This Row],[Sales]], NA())</f>
        <v>#N/A</v>
      </c>
      <c r="T773" s="25">
        <f>IF(AND(Table1[[#This Row],[Sales]]&lt;&gt;MIN(Table1[Sales]),Table1[[#This Row],[Sales]]&lt;&gt;MAX(Table1[Sales])), Table1[[#This Row],[Sales]], NA())</f>
        <v>99680.34</v>
      </c>
      <c r="U773" s="25" t="e">
        <f>IF(Table1[[#This Row],[Sales]]=MAX(Table1[Sales]), Table1[[#This Row],[Sales]], NA())</f>
        <v>#N/A</v>
      </c>
      <c r="V773">
        <v>2</v>
      </c>
      <c r="W773">
        <v>0.2</v>
      </c>
      <c r="X773">
        <v>2990.41</v>
      </c>
      <c r="Y773" s="3">
        <f>YEAR(Table1[[#This Row],[Order Date]])</f>
        <v>2021</v>
      </c>
      <c r="Z773" s="3" t="str">
        <f>TEXT(Table1[[#This Row],[Order Date]],"MMM")</f>
        <v>Jun</v>
      </c>
      <c r="AA773" s="3">
        <f>DAY(Table1[[#This Row],[Order Date]])</f>
        <v>20</v>
      </c>
    </row>
    <row r="774" spans="1:27" x14ac:dyDescent="0.35">
      <c r="A774" s="1">
        <v>773</v>
      </c>
      <c r="B774" s="1" t="s">
        <v>3411</v>
      </c>
      <c r="C774" s="1" t="s">
        <v>3412</v>
      </c>
      <c r="D774" s="1" t="s">
        <v>1520</v>
      </c>
      <c r="E774" t="s">
        <v>62</v>
      </c>
      <c r="F774" t="s">
        <v>3413</v>
      </c>
      <c r="G774" t="s">
        <v>188</v>
      </c>
      <c r="H774" t="s">
        <v>41</v>
      </c>
      <c r="I774" s="1" t="s">
        <v>28</v>
      </c>
      <c r="J774" t="s">
        <v>42</v>
      </c>
      <c r="K774" t="s">
        <v>43</v>
      </c>
      <c r="L774" s="1">
        <v>721834</v>
      </c>
      <c r="M774" s="1" t="s">
        <v>44</v>
      </c>
      <c r="N774" t="s">
        <v>3414</v>
      </c>
      <c r="O774" t="s">
        <v>68</v>
      </c>
      <c r="P774" t="s">
        <v>69</v>
      </c>
      <c r="Q774" t="s">
        <v>70</v>
      </c>
      <c r="R774">
        <v>46225.51</v>
      </c>
      <c r="S774" s="25" t="e">
        <f>IF(Table1[[#This Row],[Sales]]=MIN(Table1[Sales]), Table1[[#This Row],[Sales]], NA())</f>
        <v>#N/A</v>
      </c>
      <c r="T774" s="25">
        <f>IF(AND(Table1[[#This Row],[Sales]]&lt;&gt;MIN(Table1[Sales]),Table1[[#This Row],[Sales]]&lt;&gt;MAX(Table1[Sales])), Table1[[#This Row],[Sales]], NA())</f>
        <v>46225.51</v>
      </c>
      <c r="U774" s="25" t="e">
        <f>IF(Table1[[#This Row],[Sales]]=MAX(Table1[Sales]), Table1[[#This Row],[Sales]], NA())</f>
        <v>#N/A</v>
      </c>
      <c r="V774">
        <v>6</v>
      </c>
      <c r="W774">
        <v>0.2</v>
      </c>
      <c r="X774">
        <v>1386.77</v>
      </c>
      <c r="Y774" s="3">
        <f>YEAR(Table1[[#This Row],[Order Date]])</f>
        <v>2023</v>
      </c>
      <c r="Z774" s="3" t="str">
        <f>TEXT(Table1[[#This Row],[Order Date]],"MMM")</f>
        <v>Aug</v>
      </c>
      <c r="AA774" s="3">
        <f>DAY(Table1[[#This Row],[Order Date]])</f>
        <v>1</v>
      </c>
    </row>
    <row r="775" spans="1:27" x14ac:dyDescent="0.35">
      <c r="A775" s="1">
        <v>774</v>
      </c>
      <c r="B775" s="1" t="s">
        <v>3415</v>
      </c>
      <c r="C775" s="1" t="s">
        <v>3416</v>
      </c>
      <c r="D775" s="1" t="s">
        <v>505</v>
      </c>
      <c r="E775" t="s">
        <v>62</v>
      </c>
      <c r="F775" t="s">
        <v>3417</v>
      </c>
      <c r="G775" t="s">
        <v>93</v>
      </c>
      <c r="H775" t="s">
        <v>41</v>
      </c>
      <c r="I775" s="1" t="s">
        <v>28</v>
      </c>
      <c r="J775" t="s">
        <v>42</v>
      </c>
      <c r="K775" t="s">
        <v>43</v>
      </c>
      <c r="L775" s="1">
        <v>653736</v>
      </c>
      <c r="M775" s="1" t="s">
        <v>44</v>
      </c>
      <c r="N775" t="s">
        <v>3418</v>
      </c>
      <c r="O775" t="s">
        <v>32</v>
      </c>
      <c r="P775" t="s">
        <v>33</v>
      </c>
      <c r="Q775" t="s">
        <v>34</v>
      </c>
      <c r="R775">
        <v>9603.8700000000008</v>
      </c>
      <c r="S775" s="25" t="e">
        <f>IF(Table1[[#This Row],[Sales]]=MIN(Table1[Sales]), Table1[[#This Row],[Sales]], NA())</f>
        <v>#N/A</v>
      </c>
      <c r="T775" s="25">
        <f>IF(AND(Table1[[#This Row],[Sales]]&lt;&gt;MIN(Table1[Sales]),Table1[[#This Row],[Sales]]&lt;&gt;MAX(Table1[Sales])), Table1[[#This Row],[Sales]], NA())</f>
        <v>9603.8700000000008</v>
      </c>
      <c r="U775" s="25" t="e">
        <f>IF(Table1[[#This Row],[Sales]]=MAX(Table1[Sales]), Table1[[#This Row],[Sales]], NA())</f>
        <v>#N/A</v>
      </c>
      <c r="V775">
        <v>1</v>
      </c>
      <c r="W775">
        <v>0.3</v>
      </c>
      <c r="X775">
        <v>48.02</v>
      </c>
      <c r="Y775" s="3">
        <f>YEAR(Table1[[#This Row],[Order Date]])</f>
        <v>2023</v>
      </c>
      <c r="Z775" s="3" t="str">
        <f>TEXT(Table1[[#This Row],[Order Date]],"MMM")</f>
        <v>Jul</v>
      </c>
      <c r="AA775" s="3">
        <f>DAY(Table1[[#This Row],[Order Date]])</f>
        <v>24</v>
      </c>
    </row>
    <row r="776" spans="1:27" x14ac:dyDescent="0.35">
      <c r="A776" s="1">
        <v>775</v>
      </c>
      <c r="B776" s="1" t="s">
        <v>3419</v>
      </c>
      <c r="C776" s="1" t="s">
        <v>368</v>
      </c>
      <c r="D776" s="1" t="s">
        <v>295</v>
      </c>
      <c r="E776" t="s">
        <v>38</v>
      </c>
      <c r="F776" t="s">
        <v>3420</v>
      </c>
      <c r="G776" t="s">
        <v>110</v>
      </c>
      <c r="H776" t="s">
        <v>41</v>
      </c>
      <c r="I776" s="1" t="s">
        <v>28</v>
      </c>
      <c r="J776" t="s">
        <v>64</v>
      </c>
      <c r="K776" t="s">
        <v>65</v>
      </c>
      <c r="L776" s="1">
        <v>228142</v>
      </c>
      <c r="M776" s="1" t="s">
        <v>66</v>
      </c>
      <c r="N776" t="s">
        <v>3421</v>
      </c>
      <c r="O776" t="s">
        <v>68</v>
      </c>
      <c r="P776" t="s">
        <v>69</v>
      </c>
      <c r="Q776" t="s">
        <v>70</v>
      </c>
      <c r="R776">
        <v>27564.09</v>
      </c>
      <c r="S776" s="25" t="e">
        <f>IF(Table1[[#This Row],[Sales]]=MIN(Table1[Sales]), Table1[[#This Row],[Sales]], NA())</f>
        <v>#N/A</v>
      </c>
      <c r="T776" s="25">
        <f>IF(AND(Table1[[#This Row],[Sales]]&lt;&gt;MIN(Table1[Sales]),Table1[[#This Row],[Sales]]&lt;&gt;MAX(Table1[Sales])), Table1[[#This Row],[Sales]], NA())</f>
        <v>27564.09</v>
      </c>
      <c r="U776" s="25" t="e">
        <f>IF(Table1[[#This Row],[Sales]]=MAX(Table1[Sales]), Table1[[#This Row],[Sales]], NA())</f>
        <v>#N/A</v>
      </c>
      <c r="V776">
        <v>2</v>
      </c>
      <c r="W776">
        <v>0</v>
      </c>
      <c r="X776">
        <v>2205.13</v>
      </c>
      <c r="Y776" s="3">
        <f>YEAR(Table1[[#This Row],[Order Date]])</f>
        <v>2024</v>
      </c>
      <c r="Z776" s="3" t="str">
        <f>TEXT(Table1[[#This Row],[Order Date]],"MMM")</f>
        <v>Jan</v>
      </c>
      <c r="AA776" s="3">
        <f>DAY(Table1[[#This Row],[Order Date]])</f>
        <v>9</v>
      </c>
    </row>
    <row r="777" spans="1:27" x14ac:dyDescent="0.35">
      <c r="A777" s="1">
        <v>776</v>
      </c>
      <c r="B777" s="1" t="s">
        <v>3422</v>
      </c>
      <c r="C777" s="1" t="s">
        <v>3423</v>
      </c>
      <c r="D777" s="1" t="s">
        <v>667</v>
      </c>
      <c r="E777" t="s">
        <v>38</v>
      </c>
      <c r="F777" t="s">
        <v>3424</v>
      </c>
      <c r="G777" t="s">
        <v>75</v>
      </c>
      <c r="H777" t="s">
        <v>41</v>
      </c>
      <c r="I777" s="1" t="s">
        <v>28</v>
      </c>
      <c r="J777" t="s">
        <v>64</v>
      </c>
      <c r="K777" t="s">
        <v>65</v>
      </c>
      <c r="L777" s="1">
        <v>390982</v>
      </c>
      <c r="M777" s="1" t="s">
        <v>66</v>
      </c>
      <c r="N777" t="s">
        <v>3425</v>
      </c>
      <c r="O777" t="s">
        <v>46</v>
      </c>
      <c r="P777" t="s">
        <v>47</v>
      </c>
      <c r="Q777" t="s">
        <v>48</v>
      </c>
      <c r="R777">
        <v>12597.51</v>
      </c>
      <c r="S777" s="25" t="e">
        <f>IF(Table1[[#This Row],[Sales]]=MIN(Table1[Sales]), Table1[[#This Row],[Sales]], NA())</f>
        <v>#N/A</v>
      </c>
      <c r="T777" s="25">
        <f>IF(AND(Table1[[#This Row],[Sales]]&lt;&gt;MIN(Table1[Sales]),Table1[[#This Row],[Sales]]&lt;&gt;MAX(Table1[Sales])), Table1[[#This Row],[Sales]], NA())</f>
        <v>12597.51</v>
      </c>
      <c r="U777" s="25" t="e">
        <f>IF(Table1[[#This Row],[Sales]]=MAX(Table1[Sales]), Table1[[#This Row],[Sales]], NA())</f>
        <v>#N/A</v>
      </c>
      <c r="V777">
        <v>3</v>
      </c>
      <c r="W777">
        <v>0</v>
      </c>
      <c r="X777">
        <v>1007.8</v>
      </c>
      <c r="Y777" s="3">
        <f>YEAR(Table1[[#This Row],[Order Date]])</f>
        <v>2025</v>
      </c>
      <c r="Z777" s="3" t="str">
        <f>TEXT(Table1[[#This Row],[Order Date]],"MMM")</f>
        <v>Feb</v>
      </c>
      <c r="AA777" s="3">
        <f>DAY(Table1[[#This Row],[Order Date]])</f>
        <v>11</v>
      </c>
    </row>
    <row r="778" spans="1:27" x14ac:dyDescent="0.35">
      <c r="A778" s="1">
        <v>777</v>
      </c>
      <c r="B778" s="1" t="s">
        <v>3426</v>
      </c>
      <c r="C778" s="1" t="s">
        <v>3427</v>
      </c>
      <c r="D778" s="1" t="s">
        <v>3428</v>
      </c>
      <c r="E778" t="s">
        <v>24</v>
      </c>
      <c r="F778" t="s">
        <v>3429</v>
      </c>
      <c r="G778" t="s">
        <v>188</v>
      </c>
      <c r="H778" t="s">
        <v>27</v>
      </c>
      <c r="I778" s="1" t="s">
        <v>28</v>
      </c>
      <c r="J778" t="s">
        <v>53</v>
      </c>
      <c r="K778" t="s">
        <v>54</v>
      </c>
      <c r="L778" s="1">
        <v>420405</v>
      </c>
      <c r="M778" s="1" t="s">
        <v>55</v>
      </c>
      <c r="N778" t="s">
        <v>3430</v>
      </c>
      <c r="O778" t="s">
        <v>46</v>
      </c>
      <c r="P778" t="s">
        <v>47</v>
      </c>
      <c r="Q778" t="s">
        <v>48</v>
      </c>
      <c r="R778">
        <v>57045.06</v>
      </c>
      <c r="S778" s="25" t="e">
        <f>IF(Table1[[#This Row],[Sales]]=MIN(Table1[Sales]), Table1[[#This Row],[Sales]], NA())</f>
        <v>#N/A</v>
      </c>
      <c r="T778" s="25">
        <f>IF(AND(Table1[[#This Row],[Sales]]&lt;&gt;MIN(Table1[Sales]),Table1[[#This Row],[Sales]]&lt;&gt;MAX(Table1[Sales])), Table1[[#This Row],[Sales]], NA())</f>
        <v>57045.06</v>
      </c>
      <c r="U778" s="25" t="e">
        <f>IF(Table1[[#This Row],[Sales]]=MAX(Table1[Sales]), Table1[[#This Row],[Sales]], NA())</f>
        <v>#N/A</v>
      </c>
      <c r="V778">
        <v>8</v>
      </c>
      <c r="W778">
        <v>0</v>
      </c>
      <c r="X778">
        <v>4563.6000000000004</v>
      </c>
      <c r="Y778" s="3">
        <f>YEAR(Table1[[#This Row],[Order Date]])</f>
        <v>2025</v>
      </c>
      <c r="Z778" s="3" t="str">
        <f>TEXT(Table1[[#This Row],[Order Date]],"MMM")</f>
        <v>Sep</v>
      </c>
      <c r="AA778" s="3">
        <f>DAY(Table1[[#This Row],[Order Date]])</f>
        <v>15</v>
      </c>
    </row>
    <row r="779" spans="1:27" x14ac:dyDescent="0.35">
      <c r="A779" s="1">
        <v>778</v>
      </c>
      <c r="B779" s="1" t="s">
        <v>3431</v>
      </c>
      <c r="C779" s="1" t="s">
        <v>1435</v>
      </c>
      <c r="D779" s="1" t="s">
        <v>350</v>
      </c>
      <c r="E779" t="s">
        <v>24</v>
      </c>
      <c r="F779" t="s">
        <v>3432</v>
      </c>
      <c r="G779" t="s">
        <v>26</v>
      </c>
      <c r="H779" t="s">
        <v>41</v>
      </c>
      <c r="I779" s="1" t="s">
        <v>28</v>
      </c>
      <c r="J779" t="s">
        <v>29</v>
      </c>
      <c r="K779" t="s">
        <v>29</v>
      </c>
      <c r="L779" s="1">
        <v>393223</v>
      </c>
      <c r="M779" s="1" t="s">
        <v>30</v>
      </c>
      <c r="N779" t="s">
        <v>3433</v>
      </c>
      <c r="O779" t="s">
        <v>46</v>
      </c>
      <c r="P779" t="s">
        <v>57</v>
      </c>
      <c r="Q779" t="s">
        <v>58</v>
      </c>
      <c r="R779">
        <v>71711.31</v>
      </c>
      <c r="S779" s="25" t="e">
        <f>IF(Table1[[#This Row],[Sales]]=MIN(Table1[Sales]), Table1[[#This Row],[Sales]], NA())</f>
        <v>#N/A</v>
      </c>
      <c r="T779" s="25">
        <f>IF(AND(Table1[[#This Row],[Sales]]&lt;&gt;MIN(Table1[Sales]),Table1[[#This Row],[Sales]]&lt;&gt;MAX(Table1[Sales])), Table1[[#This Row],[Sales]], NA())</f>
        <v>71711.31</v>
      </c>
      <c r="U779" s="25" t="e">
        <f>IF(Table1[[#This Row],[Sales]]=MAX(Table1[Sales]), Table1[[#This Row],[Sales]], NA())</f>
        <v>#N/A</v>
      </c>
      <c r="V779">
        <v>7</v>
      </c>
      <c r="W779">
        <v>0.3</v>
      </c>
      <c r="X779">
        <v>358.56</v>
      </c>
      <c r="Y779" s="3">
        <f>YEAR(Table1[[#This Row],[Order Date]])</f>
        <v>2021</v>
      </c>
      <c r="Z779" s="3" t="str">
        <f>TEXT(Table1[[#This Row],[Order Date]],"MMM")</f>
        <v>Aug</v>
      </c>
      <c r="AA779" s="3">
        <f>DAY(Table1[[#This Row],[Order Date]])</f>
        <v>2</v>
      </c>
    </row>
    <row r="780" spans="1:27" x14ac:dyDescent="0.35">
      <c r="A780" s="1">
        <v>779</v>
      </c>
      <c r="B780" s="1" t="s">
        <v>3434</v>
      </c>
      <c r="C780" s="1" t="s">
        <v>638</v>
      </c>
      <c r="D780" s="1" t="s">
        <v>3435</v>
      </c>
      <c r="E780" t="s">
        <v>115</v>
      </c>
      <c r="F780" t="s">
        <v>3436</v>
      </c>
      <c r="G780" t="s">
        <v>140</v>
      </c>
      <c r="H780" t="s">
        <v>41</v>
      </c>
      <c r="I780" s="1" t="s">
        <v>28</v>
      </c>
      <c r="J780" t="s">
        <v>128</v>
      </c>
      <c r="K780" t="s">
        <v>129</v>
      </c>
      <c r="L780" s="1">
        <v>402605</v>
      </c>
      <c r="M780" s="1" t="s">
        <v>66</v>
      </c>
      <c r="N780" t="s">
        <v>3437</v>
      </c>
      <c r="O780" t="s">
        <v>68</v>
      </c>
      <c r="P780" t="s">
        <v>69</v>
      </c>
      <c r="Q780" t="s">
        <v>70</v>
      </c>
      <c r="R780">
        <v>19584.64</v>
      </c>
      <c r="S780" s="25" t="e">
        <f>IF(Table1[[#This Row],[Sales]]=MIN(Table1[Sales]), Table1[[#This Row],[Sales]], NA())</f>
        <v>#N/A</v>
      </c>
      <c r="T780" s="25">
        <f>IF(AND(Table1[[#This Row],[Sales]]&lt;&gt;MIN(Table1[Sales]),Table1[[#This Row],[Sales]]&lt;&gt;MAX(Table1[Sales])), Table1[[#This Row],[Sales]], NA())</f>
        <v>19584.64</v>
      </c>
      <c r="U780" s="25" t="e">
        <f>IF(Table1[[#This Row],[Sales]]=MAX(Table1[Sales]), Table1[[#This Row],[Sales]], NA())</f>
        <v>#N/A</v>
      </c>
      <c r="V780">
        <v>8</v>
      </c>
      <c r="W780">
        <v>0</v>
      </c>
      <c r="X780">
        <v>1566.77</v>
      </c>
      <c r="Y780" s="3">
        <f>YEAR(Table1[[#This Row],[Order Date]])</f>
        <v>2021</v>
      </c>
      <c r="Z780" s="3" t="str">
        <f>TEXT(Table1[[#This Row],[Order Date]],"MMM")</f>
        <v>Oct</v>
      </c>
      <c r="AA780" s="3">
        <f>DAY(Table1[[#This Row],[Order Date]])</f>
        <v>25</v>
      </c>
    </row>
    <row r="781" spans="1:27" x14ac:dyDescent="0.35">
      <c r="A781" s="1">
        <v>780</v>
      </c>
      <c r="B781" s="1" t="s">
        <v>3438</v>
      </c>
      <c r="C781" s="1" t="s">
        <v>1451</v>
      </c>
      <c r="D781" s="1" t="s">
        <v>3439</v>
      </c>
      <c r="E781" t="s">
        <v>115</v>
      </c>
      <c r="F781" t="s">
        <v>3440</v>
      </c>
      <c r="G781" t="s">
        <v>81</v>
      </c>
      <c r="H781" t="s">
        <v>41</v>
      </c>
      <c r="I781" s="1" t="s">
        <v>28</v>
      </c>
      <c r="J781" t="s">
        <v>42</v>
      </c>
      <c r="K781" t="s">
        <v>43</v>
      </c>
      <c r="L781" s="1">
        <v>913001</v>
      </c>
      <c r="M781" s="1" t="s">
        <v>44</v>
      </c>
      <c r="N781" t="s">
        <v>3441</v>
      </c>
      <c r="O781" t="s">
        <v>46</v>
      </c>
      <c r="P781" t="s">
        <v>47</v>
      </c>
      <c r="Q781" t="s">
        <v>48</v>
      </c>
      <c r="R781">
        <v>78288.39</v>
      </c>
      <c r="S781" s="25" t="e">
        <f>IF(Table1[[#This Row],[Sales]]=MIN(Table1[Sales]), Table1[[#This Row],[Sales]], NA())</f>
        <v>#N/A</v>
      </c>
      <c r="T781" s="25">
        <f>IF(AND(Table1[[#This Row],[Sales]]&lt;&gt;MIN(Table1[Sales]),Table1[[#This Row],[Sales]]&lt;&gt;MAX(Table1[Sales])), Table1[[#This Row],[Sales]], NA())</f>
        <v>78288.39</v>
      </c>
      <c r="U781" s="25" t="e">
        <f>IF(Table1[[#This Row],[Sales]]=MAX(Table1[Sales]), Table1[[#This Row],[Sales]], NA())</f>
        <v>#N/A</v>
      </c>
      <c r="V781">
        <v>3</v>
      </c>
      <c r="W781">
        <v>0</v>
      </c>
      <c r="X781">
        <v>6263.07</v>
      </c>
      <c r="Y781" s="3">
        <f>YEAR(Table1[[#This Row],[Order Date]])</f>
        <v>2025</v>
      </c>
      <c r="Z781" s="3" t="str">
        <f>TEXT(Table1[[#This Row],[Order Date]],"MMM")</f>
        <v>Jul</v>
      </c>
      <c r="AA781" s="3">
        <f>DAY(Table1[[#This Row],[Order Date]])</f>
        <v>30</v>
      </c>
    </row>
    <row r="782" spans="1:27" x14ac:dyDescent="0.35">
      <c r="A782" s="1">
        <v>781</v>
      </c>
      <c r="B782" s="1" t="s">
        <v>3442</v>
      </c>
      <c r="C782" s="1" t="s">
        <v>2809</v>
      </c>
      <c r="D782" s="1" t="s">
        <v>3182</v>
      </c>
      <c r="E782" t="s">
        <v>62</v>
      </c>
      <c r="F782" t="s">
        <v>3443</v>
      </c>
      <c r="G782" t="s">
        <v>81</v>
      </c>
      <c r="H782" t="s">
        <v>41</v>
      </c>
      <c r="I782" s="1" t="s">
        <v>28</v>
      </c>
      <c r="J782" t="s">
        <v>128</v>
      </c>
      <c r="K782" t="s">
        <v>129</v>
      </c>
      <c r="L782" s="1">
        <v>685372</v>
      </c>
      <c r="M782" s="1" t="s">
        <v>66</v>
      </c>
      <c r="N782" t="s">
        <v>3444</v>
      </c>
      <c r="O782" t="s">
        <v>46</v>
      </c>
      <c r="P782" t="s">
        <v>47</v>
      </c>
      <c r="Q782" t="s">
        <v>48</v>
      </c>
      <c r="R782">
        <v>10017.040000000001</v>
      </c>
      <c r="S782" s="25" t="e">
        <f>IF(Table1[[#This Row],[Sales]]=MIN(Table1[Sales]), Table1[[#This Row],[Sales]], NA())</f>
        <v>#N/A</v>
      </c>
      <c r="T782" s="25">
        <f>IF(AND(Table1[[#This Row],[Sales]]&lt;&gt;MIN(Table1[Sales]),Table1[[#This Row],[Sales]]&lt;&gt;MAX(Table1[Sales])), Table1[[#This Row],[Sales]], NA())</f>
        <v>10017.040000000001</v>
      </c>
      <c r="U782" s="25" t="e">
        <f>IF(Table1[[#This Row],[Sales]]=MAX(Table1[Sales]), Table1[[#This Row],[Sales]], NA())</f>
        <v>#N/A</v>
      </c>
      <c r="V782">
        <v>10</v>
      </c>
      <c r="W782">
        <v>0.2</v>
      </c>
      <c r="X782">
        <v>300.51</v>
      </c>
      <c r="Y782" s="3">
        <f>YEAR(Table1[[#This Row],[Order Date]])</f>
        <v>2023</v>
      </c>
      <c r="Z782" s="3" t="str">
        <f>TEXT(Table1[[#This Row],[Order Date]],"MMM")</f>
        <v>Oct</v>
      </c>
      <c r="AA782" s="3">
        <f>DAY(Table1[[#This Row],[Order Date]])</f>
        <v>24</v>
      </c>
    </row>
    <row r="783" spans="1:27" x14ac:dyDescent="0.35">
      <c r="A783" s="1">
        <v>782</v>
      </c>
      <c r="B783" s="1" t="s">
        <v>3445</v>
      </c>
      <c r="C783" s="1" t="s">
        <v>3446</v>
      </c>
      <c r="D783" s="1" t="s">
        <v>3447</v>
      </c>
      <c r="E783" t="s">
        <v>38</v>
      </c>
      <c r="F783" t="s">
        <v>3448</v>
      </c>
      <c r="G783" t="s">
        <v>93</v>
      </c>
      <c r="H783" t="s">
        <v>27</v>
      </c>
      <c r="I783" s="1" t="s">
        <v>28</v>
      </c>
      <c r="J783" t="s">
        <v>53</v>
      </c>
      <c r="K783" t="s">
        <v>54</v>
      </c>
      <c r="L783" s="1">
        <v>963985</v>
      </c>
      <c r="M783" s="1" t="s">
        <v>55</v>
      </c>
      <c r="N783" t="s">
        <v>3449</v>
      </c>
      <c r="O783" t="s">
        <v>68</v>
      </c>
      <c r="P783" t="s">
        <v>69</v>
      </c>
      <c r="Q783" t="s">
        <v>70</v>
      </c>
      <c r="R783">
        <v>21333.73</v>
      </c>
      <c r="S783" s="25" t="e">
        <f>IF(Table1[[#This Row],[Sales]]=MIN(Table1[Sales]), Table1[[#This Row],[Sales]], NA())</f>
        <v>#N/A</v>
      </c>
      <c r="T783" s="25">
        <f>IF(AND(Table1[[#This Row],[Sales]]&lt;&gt;MIN(Table1[Sales]),Table1[[#This Row],[Sales]]&lt;&gt;MAX(Table1[Sales])), Table1[[#This Row],[Sales]], NA())</f>
        <v>21333.73</v>
      </c>
      <c r="U783" s="25" t="e">
        <f>IF(Table1[[#This Row],[Sales]]=MAX(Table1[Sales]), Table1[[#This Row],[Sales]], NA())</f>
        <v>#N/A</v>
      </c>
      <c r="V783">
        <v>5</v>
      </c>
      <c r="W783">
        <v>0.2</v>
      </c>
      <c r="X783">
        <v>640.01</v>
      </c>
      <c r="Y783" s="3">
        <f>YEAR(Table1[[#This Row],[Order Date]])</f>
        <v>2024</v>
      </c>
      <c r="Z783" s="3" t="str">
        <f>TEXT(Table1[[#This Row],[Order Date]],"MMM")</f>
        <v>Apr</v>
      </c>
      <c r="AA783" s="3">
        <f>DAY(Table1[[#This Row],[Order Date]])</f>
        <v>10</v>
      </c>
    </row>
    <row r="784" spans="1:27" x14ac:dyDescent="0.35">
      <c r="A784" s="1">
        <v>783</v>
      </c>
      <c r="B784" s="1" t="s">
        <v>3450</v>
      </c>
      <c r="C784" s="1" t="s">
        <v>3451</v>
      </c>
      <c r="D784" s="1" t="s">
        <v>3452</v>
      </c>
      <c r="E784" t="s">
        <v>38</v>
      </c>
      <c r="F784" t="s">
        <v>3453</v>
      </c>
      <c r="G784" t="s">
        <v>87</v>
      </c>
      <c r="H784" t="s">
        <v>41</v>
      </c>
      <c r="I784" s="1" t="s">
        <v>28</v>
      </c>
      <c r="J784" t="s">
        <v>42</v>
      </c>
      <c r="K784" t="s">
        <v>43</v>
      </c>
      <c r="L784" s="1">
        <v>785192</v>
      </c>
      <c r="M784" s="1" t="s">
        <v>44</v>
      </c>
      <c r="N784" t="s">
        <v>3454</v>
      </c>
      <c r="O784" t="s">
        <v>32</v>
      </c>
      <c r="P784" t="s">
        <v>33</v>
      </c>
      <c r="Q784" t="s">
        <v>34</v>
      </c>
      <c r="R784">
        <v>95866.69</v>
      </c>
      <c r="S784" s="25" t="e">
        <f>IF(Table1[[#This Row],[Sales]]=MIN(Table1[Sales]), Table1[[#This Row],[Sales]], NA())</f>
        <v>#N/A</v>
      </c>
      <c r="T784" s="25">
        <f>IF(AND(Table1[[#This Row],[Sales]]&lt;&gt;MIN(Table1[Sales]),Table1[[#This Row],[Sales]]&lt;&gt;MAX(Table1[Sales])), Table1[[#This Row],[Sales]], NA())</f>
        <v>95866.69</v>
      </c>
      <c r="U784" s="25" t="e">
        <f>IF(Table1[[#This Row],[Sales]]=MAX(Table1[Sales]), Table1[[#This Row],[Sales]], NA())</f>
        <v>#N/A</v>
      </c>
      <c r="V784">
        <v>1</v>
      </c>
      <c r="W784">
        <v>0.3</v>
      </c>
      <c r="X784">
        <v>479.33</v>
      </c>
      <c r="Y784" s="3">
        <f>YEAR(Table1[[#This Row],[Order Date]])</f>
        <v>2022</v>
      </c>
      <c r="Z784" s="3" t="str">
        <f>TEXT(Table1[[#This Row],[Order Date]],"MMM")</f>
        <v>May</v>
      </c>
      <c r="AA784" s="3">
        <f>DAY(Table1[[#This Row],[Order Date]])</f>
        <v>24</v>
      </c>
    </row>
    <row r="785" spans="1:27" x14ac:dyDescent="0.35">
      <c r="A785" s="1">
        <v>784</v>
      </c>
      <c r="B785" s="1" t="s">
        <v>3455</v>
      </c>
      <c r="C785" s="1" t="s">
        <v>804</v>
      </c>
      <c r="D785" s="1" t="s">
        <v>3057</v>
      </c>
      <c r="E785" t="s">
        <v>24</v>
      </c>
      <c r="F785" t="s">
        <v>3456</v>
      </c>
      <c r="G785" t="s">
        <v>87</v>
      </c>
      <c r="H785" t="s">
        <v>41</v>
      </c>
      <c r="I785" s="1" t="s">
        <v>28</v>
      </c>
      <c r="J785" t="s">
        <v>53</v>
      </c>
      <c r="K785" t="s">
        <v>54</v>
      </c>
      <c r="L785" s="1">
        <v>828040</v>
      </c>
      <c r="M785" s="1" t="s">
        <v>55</v>
      </c>
      <c r="N785" t="s">
        <v>3457</v>
      </c>
      <c r="O785" t="s">
        <v>46</v>
      </c>
      <c r="P785" t="s">
        <v>57</v>
      </c>
      <c r="Q785" t="s">
        <v>58</v>
      </c>
      <c r="R785">
        <v>63744.57</v>
      </c>
      <c r="S785" s="25" t="e">
        <f>IF(Table1[[#This Row],[Sales]]=MIN(Table1[Sales]), Table1[[#This Row],[Sales]], NA())</f>
        <v>#N/A</v>
      </c>
      <c r="T785" s="25">
        <f>IF(AND(Table1[[#This Row],[Sales]]&lt;&gt;MIN(Table1[Sales]),Table1[[#This Row],[Sales]]&lt;&gt;MAX(Table1[Sales])), Table1[[#This Row],[Sales]], NA())</f>
        <v>63744.57</v>
      </c>
      <c r="U785" s="25" t="e">
        <f>IF(Table1[[#This Row],[Sales]]=MAX(Table1[Sales]), Table1[[#This Row],[Sales]], NA())</f>
        <v>#N/A</v>
      </c>
      <c r="V785">
        <v>4</v>
      </c>
      <c r="W785">
        <v>0.1</v>
      </c>
      <c r="X785">
        <v>3505.95</v>
      </c>
      <c r="Y785" s="3">
        <f>YEAR(Table1[[#This Row],[Order Date]])</f>
        <v>2023</v>
      </c>
      <c r="Z785" s="3" t="str">
        <f>TEXT(Table1[[#This Row],[Order Date]],"MMM")</f>
        <v>Dec</v>
      </c>
      <c r="AA785" s="3">
        <f>DAY(Table1[[#This Row],[Order Date]])</f>
        <v>1</v>
      </c>
    </row>
    <row r="786" spans="1:27" x14ac:dyDescent="0.35">
      <c r="A786" s="1">
        <v>785</v>
      </c>
      <c r="B786" s="1" t="s">
        <v>3458</v>
      </c>
      <c r="C786" s="1" t="s">
        <v>496</v>
      </c>
      <c r="D786" s="1" t="s">
        <v>1295</v>
      </c>
      <c r="E786" t="s">
        <v>38</v>
      </c>
      <c r="F786" t="s">
        <v>3459</v>
      </c>
      <c r="G786" t="s">
        <v>188</v>
      </c>
      <c r="H786" t="s">
        <v>27</v>
      </c>
      <c r="I786" s="1" t="s">
        <v>28</v>
      </c>
      <c r="J786" t="s">
        <v>53</v>
      </c>
      <c r="K786" t="s">
        <v>54</v>
      </c>
      <c r="L786" s="1">
        <v>477395</v>
      </c>
      <c r="M786" s="1" t="s">
        <v>55</v>
      </c>
      <c r="N786" t="s">
        <v>3460</v>
      </c>
      <c r="O786" t="s">
        <v>68</v>
      </c>
      <c r="P786" t="s">
        <v>69</v>
      </c>
      <c r="Q786" t="s">
        <v>70</v>
      </c>
      <c r="R786">
        <v>84495.14</v>
      </c>
      <c r="S786" s="25" t="e">
        <f>IF(Table1[[#This Row],[Sales]]=MIN(Table1[Sales]), Table1[[#This Row],[Sales]], NA())</f>
        <v>#N/A</v>
      </c>
      <c r="T786" s="25">
        <f>IF(AND(Table1[[#This Row],[Sales]]&lt;&gt;MIN(Table1[Sales]),Table1[[#This Row],[Sales]]&lt;&gt;MAX(Table1[Sales])), Table1[[#This Row],[Sales]], NA())</f>
        <v>84495.14</v>
      </c>
      <c r="U786" s="25" t="e">
        <f>IF(Table1[[#This Row],[Sales]]=MAX(Table1[Sales]), Table1[[#This Row],[Sales]], NA())</f>
        <v>#N/A</v>
      </c>
      <c r="V786">
        <v>9</v>
      </c>
      <c r="W786">
        <v>0</v>
      </c>
      <c r="X786">
        <v>6759.61</v>
      </c>
      <c r="Y786" s="3">
        <f>YEAR(Table1[[#This Row],[Order Date]])</f>
        <v>2021</v>
      </c>
      <c r="Z786" s="3" t="str">
        <f>TEXT(Table1[[#This Row],[Order Date]],"MMM")</f>
        <v>Jul</v>
      </c>
      <c r="AA786" s="3">
        <f>DAY(Table1[[#This Row],[Order Date]])</f>
        <v>5</v>
      </c>
    </row>
    <row r="787" spans="1:27" x14ac:dyDescent="0.35">
      <c r="A787" s="1">
        <v>786</v>
      </c>
      <c r="B787" s="1" t="s">
        <v>3461</v>
      </c>
      <c r="C787" s="1" t="s">
        <v>875</v>
      </c>
      <c r="D787" s="1" t="s">
        <v>1688</v>
      </c>
      <c r="E787" t="s">
        <v>62</v>
      </c>
      <c r="F787" t="s">
        <v>3462</v>
      </c>
      <c r="G787" t="s">
        <v>87</v>
      </c>
      <c r="H787" t="s">
        <v>41</v>
      </c>
      <c r="I787" s="1" t="s">
        <v>28</v>
      </c>
      <c r="J787" t="s">
        <v>53</v>
      </c>
      <c r="K787" t="s">
        <v>54</v>
      </c>
      <c r="L787" s="1">
        <v>407365</v>
      </c>
      <c r="M787" s="1" t="s">
        <v>55</v>
      </c>
      <c r="N787" t="s">
        <v>3463</v>
      </c>
      <c r="O787" t="s">
        <v>68</v>
      </c>
      <c r="P787" t="s">
        <v>69</v>
      </c>
      <c r="Q787" t="s">
        <v>70</v>
      </c>
      <c r="R787">
        <v>47368.21</v>
      </c>
      <c r="S787" s="25" t="e">
        <f>IF(Table1[[#This Row],[Sales]]=MIN(Table1[Sales]), Table1[[#This Row],[Sales]], NA())</f>
        <v>#N/A</v>
      </c>
      <c r="T787" s="25">
        <f>IF(AND(Table1[[#This Row],[Sales]]&lt;&gt;MIN(Table1[Sales]),Table1[[#This Row],[Sales]]&lt;&gt;MAX(Table1[Sales])), Table1[[#This Row],[Sales]], NA())</f>
        <v>47368.21</v>
      </c>
      <c r="U787" s="25" t="e">
        <f>IF(Table1[[#This Row],[Sales]]=MAX(Table1[Sales]), Table1[[#This Row],[Sales]], NA())</f>
        <v>#N/A</v>
      </c>
      <c r="V787">
        <v>2</v>
      </c>
      <c r="W787">
        <v>0.2</v>
      </c>
      <c r="X787">
        <v>1421.05</v>
      </c>
      <c r="Y787" s="3">
        <f>YEAR(Table1[[#This Row],[Order Date]])</f>
        <v>2022</v>
      </c>
      <c r="Z787" s="3" t="str">
        <f>TEXT(Table1[[#This Row],[Order Date]],"MMM")</f>
        <v>Jul</v>
      </c>
      <c r="AA787" s="3">
        <f>DAY(Table1[[#This Row],[Order Date]])</f>
        <v>17</v>
      </c>
    </row>
    <row r="788" spans="1:27" x14ac:dyDescent="0.35">
      <c r="A788" s="1">
        <v>787</v>
      </c>
      <c r="B788" s="1" t="s">
        <v>3464</v>
      </c>
      <c r="C788" s="1" t="s">
        <v>1238</v>
      </c>
      <c r="D788" s="1" t="s">
        <v>1964</v>
      </c>
      <c r="E788" t="s">
        <v>24</v>
      </c>
      <c r="F788" t="s">
        <v>3465</v>
      </c>
      <c r="G788" t="s">
        <v>40</v>
      </c>
      <c r="H788" t="s">
        <v>41</v>
      </c>
      <c r="I788" s="1" t="s">
        <v>28</v>
      </c>
      <c r="J788" t="s">
        <v>64</v>
      </c>
      <c r="K788" t="s">
        <v>65</v>
      </c>
      <c r="L788" s="1">
        <v>879664</v>
      </c>
      <c r="M788" s="1" t="s">
        <v>66</v>
      </c>
      <c r="N788" t="s">
        <v>3466</v>
      </c>
      <c r="O788" t="s">
        <v>46</v>
      </c>
      <c r="P788" t="s">
        <v>57</v>
      </c>
      <c r="Q788" t="s">
        <v>58</v>
      </c>
      <c r="R788">
        <v>2976.51</v>
      </c>
      <c r="S788" s="25" t="e">
        <f>IF(Table1[[#This Row],[Sales]]=MIN(Table1[Sales]), Table1[[#This Row],[Sales]], NA())</f>
        <v>#N/A</v>
      </c>
      <c r="T788" s="25">
        <f>IF(AND(Table1[[#This Row],[Sales]]&lt;&gt;MIN(Table1[Sales]),Table1[[#This Row],[Sales]]&lt;&gt;MAX(Table1[Sales])), Table1[[#This Row],[Sales]], NA())</f>
        <v>2976.51</v>
      </c>
      <c r="U788" s="25" t="e">
        <f>IF(Table1[[#This Row],[Sales]]=MAX(Table1[Sales]), Table1[[#This Row],[Sales]], NA())</f>
        <v>#N/A</v>
      </c>
      <c r="V788">
        <v>5</v>
      </c>
      <c r="W788">
        <v>0</v>
      </c>
      <c r="X788">
        <v>238.12</v>
      </c>
      <c r="Y788" s="3">
        <f>YEAR(Table1[[#This Row],[Order Date]])</f>
        <v>2025</v>
      </c>
      <c r="Z788" s="3" t="str">
        <f>TEXT(Table1[[#This Row],[Order Date]],"MMM")</f>
        <v>Aug</v>
      </c>
      <c r="AA788" s="3">
        <f>DAY(Table1[[#This Row],[Order Date]])</f>
        <v>8</v>
      </c>
    </row>
    <row r="789" spans="1:27" x14ac:dyDescent="0.35">
      <c r="A789" s="1">
        <v>788</v>
      </c>
      <c r="B789" s="1" t="s">
        <v>3467</v>
      </c>
      <c r="C789" s="1" t="s">
        <v>3468</v>
      </c>
      <c r="D789" s="1" t="s">
        <v>3469</v>
      </c>
      <c r="E789" t="s">
        <v>24</v>
      </c>
      <c r="F789" t="s">
        <v>3470</v>
      </c>
      <c r="G789" t="s">
        <v>81</v>
      </c>
      <c r="H789" t="s">
        <v>94</v>
      </c>
      <c r="I789" s="1" t="s">
        <v>28</v>
      </c>
      <c r="J789" t="s">
        <v>53</v>
      </c>
      <c r="K789" t="s">
        <v>54</v>
      </c>
      <c r="L789" s="1">
        <v>177537</v>
      </c>
      <c r="M789" s="1" t="s">
        <v>55</v>
      </c>
      <c r="N789" t="s">
        <v>3471</v>
      </c>
      <c r="O789" t="s">
        <v>68</v>
      </c>
      <c r="P789" t="s">
        <v>69</v>
      </c>
      <c r="Q789" t="s">
        <v>70</v>
      </c>
      <c r="R789">
        <v>52566.74</v>
      </c>
      <c r="S789" s="25" t="e">
        <f>IF(Table1[[#This Row],[Sales]]=MIN(Table1[Sales]), Table1[[#This Row],[Sales]], NA())</f>
        <v>#N/A</v>
      </c>
      <c r="T789" s="25">
        <f>IF(AND(Table1[[#This Row],[Sales]]&lt;&gt;MIN(Table1[Sales]),Table1[[#This Row],[Sales]]&lt;&gt;MAX(Table1[Sales])), Table1[[#This Row],[Sales]], NA())</f>
        <v>52566.74</v>
      </c>
      <c r="U789" s="25" t="e">
        <f>IF(Table1[[#This Row],[Sales]]=MAX(Table1[Sales]), Table1[[#This Row],[Sales]], NA())</f>
        <v>#N/A</v>
      </c>
      <c r="V789">
        <v>3</v>
      </c>
      <c r="W789">
        <v>0.3</v>
      </c>
      <c r="X789">
        <v>262.83</v>
      </c>
      <c r="Y789" s="3">
        <f>YEAR(Table1[[#This Row],[Order Date]])</f>
        <v>2024</v>
      </c>
      <c r="Z789" s="3" t="str">
        <f>TEXT(Table1[[#This Row],[Order Date]],"MMM")</f>
        <v>Nov</v>
      </c>
      <c r="AA789" s="3">
        <f>DAY(Table1[[#This Row],[Order Date]])</f>
        <v>23</v>
      </c>
    </row>
    <row r="790" spans="1:27" x14ac:dyDescent="0.35">
      <c r="A790" s="1">
        <v>789</v>
      </c>
      <c r="B790" s="1" t="s">
        <v>3472</v>
      </c>
      <c r="C790" s="1" t="s">
        <v>2270</v>
      </c>
      <c r="D790" s="1" t="s">
        <v>3473</v>
      </c>
      <c r="E790" t="s">
        <v>62</v>
      </c>
      <c r="F790" t="s">
        <v>3474</v>
      </c>
      <c r="G790" t="s">
        <v>140</v>
      </c>
      <c r="H790" t="s">
        <v>94</v>
      </c>
      <c r="I790" s="1" t="s">
        <v>28</v>
      </c>
      <c r="J790" t="s">
        <v>64</v>
      </c>
      <c r="K790" t="s">
        <v>65</v>
      </c>
      <c r="L790" s="1">
        <v>759879</v>
      </c>
      <c r="M790" s="1" t="s">
        <v>66</v>
      </c>
      <c r="N790" t="s">
        <v>3475</v>
      </c>
      <c r="O790" t="s">
        <v>46</v>
      </c>
      <c r="P790" t="s">
        <v>47</v>
      </c>
      <c r="Q790" t="s">
        <v>48</v>
      </c>
      <c r="R790">
        <v>53488.59</v>
      </c>
      <c r="S790" s="25" t="e">
        <f>IF(Table1[[#This Row],[Sales]]=MIN(Table1[Sales]), Table1[[#This Row],[Sales]], NA())</f>
        <v>#N/A</v>
      </c>
      <c r="T790" s="25">
        <f>IF(AND(Table1[[#This Row],[Sales]]&lt;&gt;MIN(Table1[Sales]),Table1[[#This Row],[Sales]]&lt;&gt;MAX(Table1[Sales])), Table1[[#This Row],[Sales]], NA())</f>
        <v>53488.59</v>
      </c>
      <c r="U790" s="25" t="e">
        <f>IF(Table1[[#This Row],[Sales]]=MAX(Table1[Sales]), Table1[[#This Row],[Sales]], NA())</f>
        <v>#N/A</v>
      </c>
      <c r="V790">
        <v>10</v>
      </c>
      <c r="W790">
        <v>0.1</v>
      </c>
      <c r="X790">
        <v>2941.87</v>
      </c>
      <c r="Y790" s="3">
        <f>YEAR(Table1[[#This Row],[Order Date]])</f>
        <v>2022</v>
      </c>
      <c r="Z790" s="3" t="str">
        <f>TEXT(Table1[[#This Row],[Order Date]],"MMM")</f>
        <v>Sep</v>
      </c>
      <c r="AA790" s="3">
        <f>DAY(Table1[[#This Row],[Order Date]])</f>
        <v>12</v>
      </c>
    </row>
    <row r="791" spans="1:27" x14ac:dyDescent="0.35">
      <c r="A791" s="1">
        <v>790</v>
      </c>
      <c r="B791" s="1" t="s">
        <v>3476</v>
      </c>
      <c r="C791" s="1" t="s">
        <v>3477</v>
      </c>
      <c r="D791" s="1" t="s">
        <v>3345</v>
      </c>
      <c r="E791" t="s">
        <v>62</v>
      </c>
      <c r="F791" t="s">
        <v>3478</v>
      </c>
      <c r="G791" t="s">
        <v>40</v>
      </c>
      <c r="H791" t="s">
        <v>41</v>
      </c>
      <c r="I791" s="1" t="s">
        <v>28</v>
      </c>
      <c r="J791" t="s">
        <v>64</v>
      </c>
      <c r="K791" t="s">
        <v>65</v>
      </c>
      <c r="L791" s="1">
        <v>938559</v>
      </c>
      <c r="M791" s="1" t="s">
        <v>66</v>
      </c>
      <c r="N791" t="s">
        <v>3479</v>
      </c>
      <c r="O791" t="s">
        <v>46</v>
      </c>
      <c r="P791" t="s">
        <v>57</v>
      </c>
      <c r="Q791" t="s">
        <v>58</v>
      </c>
      <c r="R791">
        <v>19187.73</v>
      </c>
      <c r="S791" s="25" t="e">
        <f>IF(Table1[[#This Row],[Sales]]=MIN(Table1[Sales]), Table1[[#This Row],[Sales]], NA())</f>
        <v>#N/A</v>
      </c>
      <c r="T791" s="25">
        <f>IF(AND(Table1[[#This Row],[Sales]]&lt;&gt;MIN(Table1[Sales]),Table1[[#This Row],[Sales]]&lt;&gt;MAX(Table1[Sales])), Table1[[#This Row],[Sales]], NA())</f>
        <v>19187.73</v>
      </c>
      <c r="U791" s="25" t="e">
        <f>IF(Table1[[#This Row],[Sales]]=MAX(Table1[Sales]), Table1[[#This Row],[Sales]], NA())</f>
        <v>#N/A</v>
      </c>
      <c r="V791">
        <v>7</v>
      </c>
      <c r="W791">
        <v>0.1</v>
      </c>
      <c r="X791">
        <v>1055.33</v>
      </c>
      <c r="Y791" s="3">
        <f>YEAR(Table1[[#This Row],[Order Date]])</f>
        <v>2024</v>
      </c>
      <c r="Z791" s="3" t="str">
        <f>TEXT(Table1[[#This Row],[Order Date]],"MMM")</f>
        <v>Dec</v>
      </c>
      <c r="AA791" s="3">
        <f>DAY(Table1[[#This Row],[Order Date]])</f>
        <v>9</v>
      </c>
    </row>
    <row r="792" spans="1:27" x14ac:dyDescent="0.35">
      <c r="A792" s="1">
        <v>791</v>
      </c>
      <c r="B792" s="1" t="s">
        <v>3480</v>
      </c>
      <c r="C792" s="1" t="s">
        <v>2025</v>
      </c>
      <c r="D792" s="1" t="s">
        <v>885</v>
      </c>
      <c r="E792" t="s">
        <v>62</v>
      </c>
      <c r="F792" t="s">
        <v>3481</v>
      </c>
      <c r="G792" t="s">
        <v>26</v>
      </c>
      <c r="H792" t="s">
        <v>27</v>
      </c>
      <c r="I792" s="1" t="s">
        <v>28</v>
      </c>
      <c r="J792" t="s">
        <v>29</v>
      </c>
      <c r="K792" t="s">
        <v>29</v>
      </c>
      <c r="L792" s="1">
        <v>685450</v>
      </c>
      <c r="M792" s="1" t="s">
        <v>30</v>
      </c>
      <c r="N792" t="s">
        <v>3482</v>
      </c>
      <c r="O792" t="s">
        <v>68</v>
      </c>
      <c r="P792" t="s">
        <v>69</v>
      </c>
      <c r="Q792" t="s">
        <v>70</v>
      </c>
      <c r="R792">
        <v>18983.099999999999</v>
      </c>
      <c r="S792" s="25" t="e">
        <f>IF(Table1[[#This Row],[Sales]]=MIN(Table1[Sales]), Table1[[#This Row],[Sales]], NA())</f>
        <v>#N/A</v>
      </c>
      <c r="T792" s="25">
        <f>IF(AND(Table1[[#This Row],[Sales]]&lt;&gt;MIN(Table1[Sales]),Table1[[#This Row],[Sales]]&lt;&gt;MAX(Table1[Sales])), Table1[[#This Row],[Sales]], NA())</f>
        <v>18983.099999999999</v>
      </c>
      <c r="U792" s="25" t="e">
        <f>IF(Table1[[#This Row],[Sales]]=MAX(Table1[Sales]), Table1[[#This Row],[Sales]], NA())</f>
        <v>#N/A</v>
      </c>
      <c r="V792">
        <v>4</v>
      </c>
      <c r="W792">
        <v>0.2</v>
      </c>
      <c r="X792">
        <v>569.49</v>
      </c>
      <c r="Y792" s="3">
        <f>YEAR(Table1[[#This Row],[Order Date]])</f>
        <v>2023</v>
      </c>
      <c r="Z792" s="3" t="str">
        <f>TEXT(Table1[[#This Row],[Order Date]],"MMM")</f>
        <v>Oct</v>
      </c>
      <c r="AA792" s="3">
        <f>DAY(Table1[[#This Row],[Order Date]])</f>
        <v>12</v>
      </c>
    </row>
    <row r="793" spans="1:27" x14ac:dyDescent="0.35">
      <c r="A793" s="1">
        <v>792</v>
      </c>
      <c r="B793" s="1" t="s">
        <v>3483</v>
      </c>
      <c r="C793" s="1" t="s">
        <v>2857</v>
      </c>
      <c r="D793" s="1" t="s">
        <v>1987</v>
      </c>
      <c r="E793" t="s">
        <v>115</v>
      </c>
      <c r="F793" t="s">
        <v>3484</v>
      </c>
      <c r="G793" t="s">
        <v>140</v>
      </c>
      <c r="H793" t="s">
        <v>41</v>
      </c>
      <c r="I793" s="1" t="s">
        <v>28</v>
      </c>
      <c r="J793" t="s">
        <v>42</v>
      </c>
      <c r="K793" t="s">
        <v>43</v>
      </c>
      <c r="L793" s="1">
        <v>579720</v>
      </c>
      <c r="M793" s="1" t="s">
        <v>44</v>
      </c>
      <c r="N793" t="s">
        <v>3485</v>
      </c>
      <c r="O793" t="s">
        <v>46</v>
      </c>
      <c r="P793" t="s">
        <v>47</v>
      </c>
      <c r="Q793" t="s">
        <v>48</v>
      </c>
      <c r="R793">
        <v>9333.4699999999993</v>
      </c>
      <c r="S793" s="25" t="e">
        <f>IF(Table1[[#This Row],[Sales]]=MIN(Table1[Sales]), Table1[[#This Row],[Sales]], NA())</f>
        <v>#N/A</v>
      </c>
      <c r="T793" s="25">
        <f>IF(AND(Table1[[#This Row],[Sales]]&lt;&gt;MIN(Table1[Sales]),Table1[[#This Row],[Sales]]&lt;&gt;MAX(Table1[Sales])), Table1[[#This Row],[Sales]], NA())</f>
        <v>9333.4699999999993</v>
      </c>
      <c r="U793" s="25" t="e">
        <f>IF(Table1[[#This Row],[Sales]]=MAX(Table1[Sales]), Table1[[#This Row],[Sales]], NA())</f>
        <v>#N/A</v>
      </c>
      <c r="V793">
        <v>6</v>
      </c>
      <c r="W793">
        <v>0.2</v>
      </c>
      <c r="X793">
        <v>280</v>
      </c>
      <c r="Y793" s="3">
        <f>YEAR(Table1[[#This Row],[Order Date]])</f>
        <v>2024</v>
      </c>
      <c r="Z793" s="3" t="str">
        <f>TEXT(Table1[[#This Row],[Order Date]],"MMM")</f>
        <v>Nov</v>
      </c>
      <c r="AA793" s="3">
        <f>DAY(Table1[[#This Row],[Order Date]])</f>
        <v>8</v>
      </c>
    </row>
    <row r="794" spans="1:27" x14ac:dyDescent="0.35">
      <c r="A794" s="1">
        <v>793</v>
      </c>
      <c r="B794" s="1" t="s">
        <v>3486</v>
      </c>
      <c r="C794" s="1" t="s">
        <v>1193</v>
      </c>
      <c r="D794" s="1" t="s">
        <v>2676</v>
      </c>
      <c r="E794" t="s">
        <v>62</v>
      </c>
      <c r="F794" t="s">
        <v>3487</v>
      </c>
      <c r="G794" t="s">
        <v>87</v>
      </c>
      <c r="H794" t="s">
        <v>94</v>
      </c>
      <c r="I794" s="1" t="s">
        <v>28</v>
      </c>
      <c r="J794" t="s">
        <v>42</v>
      </c>
      <c r="K794" t="s">
        <v>43</v>
      </c>
      <c r="L794" s="1">
        <v>773672</v>
      </c>
      <c r="M794" s="1" t="s">
        <v>44</v>
      </c>
      <c r="N794" t="s">
        <v>3488</v>
      </c>
      <c r="O794" t="s">
        <v>46</v>
      </c>
      <c r="P794" t="s">
        <v>47</v>
      </c>
      <c r="Q794" t="s">
        <v>48</v>
      </c>
      <c r="R794">
        <v>26923.65</v>
      </c>
      <c r="S794" s="25" t="e">
        <f>IF(Table1[[#This Row],[Sales]]=MIN(Table1[Sales]), Table1[[#This Row],[Sales]], NA())</f>
        <v>#N/A</v>
      </c>
      <c r="T794" s="25">
        <f>IF(AND(Table1[[#This Row],[Sales]]&lt;&gt;MIN(Table1[Sales]),Table1[[#This Row],[Sales]]&lt;&gt;MAX(Table1[Sales])), Table1[[#This Row],[Sales]], NA())</f>
        <v>26923.65</v>
      </c>
      <c r="U794" s="25" t="e">
        <f>IF(Table1[[#This Row],[Sales]]=MAX(Table1[Sales]), Table1[[#This Row],[Sales]], NA())</f>
        <v>#N/A</v>
      </c>
      <c r="V794">
        <v>2</v>
      </c>
      <c r="W794">
        <v>0.2</v>
      </c>
      <c r="X794">
        <v>807.71</v>
      </c>
      <c r="Y794" s="3">
        <f>YEAR(Table1[[#This Row],[Order Date]])</f>
        <v>2024</v>
      </c>
      <c r="Z794" s="3" t="str">
        <f>TEXT(Table1[[#This Row],[Order Date]],"MMM")</f>
        <v>Apr</v>
      </c>
      <c r="AA794" s="3">
        <f>DAY(Table1[[#This Row],[Order Date]])</f>
        <v>25</v>
      </c>
    </row>
    <row r="795" spans="1:27" x14ac:dyDescent="0.35">
      <c r="A795" s="1">
        <v>794</v>
      </c>
      <c r="B795" s="1" t="s">
        <v>3489</v>
      </c>
      <c r="C795" s="1" t="s">
        <v>1765</v>
      </c>
      <c r="D795" s="1" t="s">
        <v>1699</v>
      </c>
      <c r="E795" t="s">
        <v>62</v>
      </c>
      <c r="F795" t="s">
        <v>3490</v>
      </c>
      <c r="G795" t="s">
        <v>93</v>
      </c>
      <c r="H795" t="s">
        <v>94</v>
      </c>
      <c r="I795" s="1" t="s">
        <v>28</v>
      </c>
      <c r="J795" t="s">
        <v>53</v>
      </c>
      <c r="K795" t="s">
        <v>54</v>
      </c>
      <c r="L795" s="1">
        <v>626867</v>
      </c>
      <c r="M795" s="1" t="s">
        <v>55</v>
      </c>
      <c r="N795" t="s">
        <v>3491</v>
      </c>
      <c r="O795" t="s">
        <v>46</v>
      </c>
      <c r="P795" t="s">
        <v>57</v>
      </c>
      <c r="Q795" t="s">
        <v>58</v>
      </c>
      <c r="R795">
        <v>42067.46</v>
      </c>
      <c r="S795" s="25" t="e">
        <f>IF(Table1[[#This Row],[Sales]]=MIN(Table1[Sales]), Table1[[#This Row],[Sales]], NA())</f>
        <v>#N/A</v>
      </c>
      <c r="T795" s="25">
        <f>IF(AND(Table1[[#This Row],[Sales]]&lt;&gt;MIN(Table1[Sales]),Table1[[#This Row],[Sales]]&lt;&gt;MAX(Table1[Sales])), Table1[[#This Row],[Sales]], NA())</f>
        <v>42067.46</v>
      </c>
      <c r="U795" s="25" t="e">
        <f>IF(Table1[[#This Row],[Sales]]=MAX(Table1[Sales]), Table1[[#This Row],[Sales]], NA())</f>
        <v>#N/A</v>
      </c>
      <c r="V795">
        <v>1</v>
      </c>
      <c r="W795">
        <v>0.2</v>
      </c>
      <c r="X795">
        <v>1262.02</v>
      </c>
      <c r="Y795" s="3">
        <f>YEAR(Table1[[#This Row],[Order Date]])</f>
        <v>2023</v>
      </c>
      <c r="Z795" s="3" t="str">
        <f>TEXT(Table1[[#This Row],[Order Date]],"MMM")</f>
        <v>Jan</v>
      </c>
      <c r="AA795" s="3">
        <f>DAY(Table1[[#This Row],[Order Date]])</f>
        <v>27</v>
      </c>
    </row>
    <row r="796" spans="1:27" x14ac:dyDescent="0.35">
      <c r="A796" s="1">
        <v>795</v>
      </c>
      <c r="B796" s="1" t="s">
        <v>3492</v>
      </c>
      <c r="C796" s="1" t="s">
        <v>3493</v>
      </c>
      <c r="D796" s="1" t="s">
        <v>3494</v>
      </c>
      <c r="E796" t="s">
        <v>115</v>
      </c>
      <c r="F796" t="s">
        <v>3495</v>
      </c>
      <c r="G796" t="s">
        <v>140</v>
      </c>
      <c r="H796" t="s">
        <v>41</v>
      </c>
      <c r="I796" s="1" t="s">
        <v>28</v>
      </c>
      <c r="J796" t="s">
        <v>53</v>
      </c>
      <c r="K796" t="s">
        <v>54</v>
      </c>
      <c r="L796" s="1">
        <v>295872</v>
      </c>
      <c r="M796" s="1" t="s">
        <v>55</v>
      </c>
      <c r="N796" t="s">
        <v>3496</v>
      </c>
      <c r="O796" t="s">
        <v>46</v>
      </c>
      <c r="P796" t="s">
        <v>47</v>
      </c>
      <c r="Q796" t="s">
        <v>48</v>
      </c>
      <c r="R796">
        <v>9262.2900000000009</v>
      </c>
      <c r="S796" s="25" t="e">
        <f>IF(Table1[[#This Row],[Sales]]=MIN(Table1[Sales]), Table1[[#This Row],[Sales]], NA())</f>
        <v>#N/A</v>
      </c>
      <c r="T796" s="25">
        <f>IF(AND(Table1[[#This Row],[Sales]]&lt;&gt;MIN(Table1[Sales]),Table1[[#This Row],[Sales]]&lt;&gt;MAX(Table1[Sales])), Table1[[#This Row],[Sales]], NA())</f>
        <v>9262.2900000000009</v>
      </c>
      <c r="U796" s="25" t="e">
        <f>IF(Table1[[#This Row],[Sales]]=MAX(Table1[Sales]), Table1[[#This Row],[Sales]], NA())</f>
        <v>#N/A</v>
      </c>
      <c r="V796">
        <v>9</v>
      </c>
      <c r="W796">
        <v>0.1</v>
      </c>
      <c r="X796">
        <v>509.43</v>
      </c>
      <c r="Y796" s="3">
        <f>YEAR(Table1[[#This Row],[Order Date]])</f>
        <v>2022</v>
      </c>
      <c r="Z796" s="3" t="str">
        <f>TEXT(Table1[[#This Row],[Order Date]],"MMM")</f>
        <v>Jun</v>
      </c>
      <c r="AA796" s="3">
        <f>DAY(Table1[[#This Row],[Order Date]])</f>
        <v>21</v>
      </c>
    </row>
    <row r="797" spans="1:27" x14ac:dyDescent="0.35">
      <c r="A797" s="1">
        <v>796</v>
      </c>
      <c r="B797" s="1" t="s">
        <v>3497</v>
      </c>
      <c r="C797" s="1" t="s">
        <v>1736</v>
      </c>
      <c r="D797" s="1" t="s">
        <v>3498</v>
      </c>
      <c r="E797" t="s">
        <v>62</v>
      </c>
      <c r="F797" t="s">
        <v>3499</v>
      </c>
      <c r="G797" t="s">
        <v>87</v>
      </c>
      <c r="H797" t="s">
        <v>94</v>
      </c>
      <c r="I797" s="1" t="s">
        <v>28</v>
      </c>
      <c r="J797" t="s">
        <v>42</v>
      </c>
      <c r="K797" t="s">
        <v>43</v>
      </c>
      <c r="L797" s="1">
        <v>697842</v>
      </c>
      <c r="M797" s="1" t="s">
        <v>44</v>
      </c>
      <c r="N797" t="s">
        <v>3500</v>
      </c>
      <c r="O797" t="s">
        <v>46</v>
      </c>
      <c r="P797" t="s">
        <v>57</v>
      </c>
      <c r="Q797" t="s">
        <v>58</v>
      </c>
      <c r="R797">
        <v>18090.75</v>
      </c>
      <c r="S797" s="25" t="e">
        <f>IF(Table1[[#This Row],[Sales]]=MIN(Table1[Sales]), Table1[[#This Row],[Sales]], NA())</f>
        <v>#N/A</v>
      </c>
      <c r="T797" s="25">
        <f>IF(AND(Table1[[#This Row],[Sales]]&lt;&gt;MIN(Table1[Sales]),Table1[[#This Row],[Sales]]&lt;&gt;MAX(Table1[Sales])), Table1[[#This Row],[Sales]], NA())</f>
        <v>18090.75</v>
      </c>
      <c r="U797" s="25" t="e">
        <f>IF(Table1[[#This Row],[Sales]]=MAX(Table1[Sales]), Table1[[#This Row],[Sales]], NA())</f>
        <v>#N/A</v>
      </c>
      <c r="V797">
        <v>8</v>
      </c>
      <c r="W797">
        <v>0</v>
      </c>
      <c r="X797">
        <v>1447.26</v>
      </c>
      <c r="Y797" s="3">
        <f>YEAR(Table1[[#This Row],[Order Date]])</f>
        <v>2025</v>
      </c>
      <c r="Z797" s="3" t="str">
        <f>TEXT(Table1[[#This Row],[Order Date]],"MMM")</f>
        <v>Dec</v>
      </c>
      <c r="AA797" s="3">
        <f>DAY(Table1[[#This Row],[Order Date]])</f>
        <v>29</v>
      </c>
    </row>
    <row r="798" spans="1:27" x14ac:dyDescent="0.35">
      <c r="A798" s="1">
        <v>797</v>
      </c>
      <c r="B798" s="1" t="s">
        <v>3501</v>
      </c>
      <c r="C798" s="1" t="s">
        <v>1816</v>
      </c>
      <c r="D798" s="1" t="s">
        <v>1489</v>
      </c>
      <c r="E798" t="s">
        <v>24</v>
      </c>
      <c r="F798" t="s">
        <v>3502</v>
      </c>
      <c r="G798" t="s">
        <v>87</v>
      </c>
      <c r="H798" t="s">
        <v>27</v>
      </c>
      <c r="I798" s="1" t="s">
        <v>28</v>
      </c>
      <c r="J798" t="s">
        <v>29</v>
      </c>
      <c r="K798" t="s">
        <v>29</v>
      </c>
      <c r="L798" s="1">
        <v>856605</v>
      </c>
      <c r="M798" s="1" t="s">
        <v>30</v>
      </c>
      <c r="N798" t="s">
        <v>3503</v>
      </c>
      <c r="O798" t="s">
        <v>68</v>
      </c>
      <c r="P798" t="s">
        <v>69</v>
      </c>
      <c r="Q798" t="s">
        <v>70</v>
      </c>
      <c r="R798">
        <v>22513.05</v>
      </c>
      <c r="S798" s="25" t="e">
        <f>IF(Table1[[#This Row],[Sales]]=MIN(Table1[Sales]), Table1[[#This Row],[Sales]], NA())</f>
        <v>#N/A</v>
      </c>
      <c r="T798" s="25">
        <f>IF(AND(Table1[[#This Row],[Sales]]&lt;&gt;MIN(Table1[Sales]),Table1[[#This Row],[Sales]]&lt;&gt;MAX(Table1[Sales])), Table1[[#This Row],[Sales]], NA())</f>
        <v>22513.05</v>
      </c>
      <c r="U798" s="25" t="e">
        <f>IF(Table1[[#This Row],[Sales]]=MAX(Table1[Sales]), Table1[[#This Row],[Sales]], NA())</f>
        <v>#N/A</v>
      </c>
      <c r="V798">
        <v>6</v>
      </c>
      <c r="W798">
        <v>0.1</v>
      </c>
      <c r="X798">
        <v>1238.22</v>
      </c>
      <c r="Y798" s="3">
        <f>YEAR(Table1[[#This Row],[Order Date]])</f>
        <v>2024</v>
      </c>
      <c r="Z798" s="3" t="str">
        <f>TEXT(Table1[[#This Row],[Order Date]],"MMM")</f>
        <v>Sep</v>
      </c>
      <c r="AA798" s="3">
        <f>DAY(Table1[[#This Row],[Order Date]])</f>
        <v>21</v>
      </c>
    </row>
    <row r="799" spans="1:27" x14ac:dyDescent="0.35">
      <c r="A799" s="1">
        <v>798</v>
      </c>
      <c r="B799" s="1" t="s">
        <v>3504</v>
      </c>
      <c r="C799" s="1" t="s">
        <v>3505</v>
      </c>
      <c r="D799" s="1" t="s">
        <v>2048</v>
      </c>
      <c r="E799" t="s">
        <v>24</v>
      </c>
      <c r="F799" t="s">
        <v>3506</v>
      </c>
      <c r="G799" t="s">
        <v>188</v>
      </c>
      <c r="H799" t="s">
        <v>94</v>
      </c>
      <c r="I799" s="1" t="s">
        <v>28</v>
      </c>
      <c r="J799" t="s">
        <v>42</v>
      </c>
      <c r="K799" t="s">
        <v>43</v>
      </c>
      <c r="L799" s="1">
        <v>449241</v>
      </c>
      <c r="M799" s="1" t="s">
        <v>44</v>
      </c>
      <c r="N799" t="s">
        <v>3507</v>
      </c>
      <c r="O799" t="s">
        <v>32</v>
      </c>
      <c r="P799" t="s">
        <v>33</v>
      </c>
      <c r="Q799" t="s">
        <v>34</v>
      </c>
      <c r="R799">
        <v>39650</v>
      </c>
      <c r="S799" s="25" t="e">
        <f>IF(Table1[[#This Row],[Sales]]=MIN(Table1[Sales]), Table1[[#This Row],[Sales]], NA())</f>
        <v>#N/A</v>
      </c>
      <c r="T799" s="25">
        <f>IF(AND(Table1[[#This Row],[Sales]]&lt;&gt;MIN(Table1[Sales]),Table1[[#This Row],[Sales]]&lt;&gt;MAX(Table1[Sales])), Table1[[#This Row],[Sales]], NA())</f>
        <v>39650</v>
      </c>
      <c r="U799" s="25" t="e">
        <f>IF(Table1[[#This Row],[Sales]]=MAX(Table1[Sales]), Table1[[#This Row],[Sales]], NA())</f>
        <v>#N/A</v>
      </c>
      <c r="V799">
        <v>2</v>
      </c>
      <c r="W799">
        <v>0</v>
      </c>
      <c r="X799">
        <v>3172</v>
      </c>
      <c r="Y799" s="3">
        <f>YEAR(Table1[[#This Row],[Order Date]])</f>
        <v>2025</v>
      </c>
      <c r="Z799" s="3" t="str">
        <f>TEXT(Table1[[#This Row],[Order Date]],"MMM")</f>
        <v>Oct</v>
      </c>
      <c r="AA799" s="3">
        <f>DAY(Table1[[#This Row],[Order Date]])</f>
        <v>9</v>
      </c>
    </row>
    <row r="800" spans="1:27" x14ac:dyDescent="0.35">
      <c r="A800" s="1">
        <v>799</v>
      </c>
      <c r="B800" s="1" t="s">
        <v>3508</v>
      </c>
      <c r="C800" s="1" t="s">
        <v>3509</v>
      </c>
      <c r="D800" s="1" t="s">
        <v>2759</v>
      </c>
      <c r="E800" t="s">
        <v>38</v>
      </c>
      <c r="F800" t="s">
        <v>3510</v>
      </c>
      <c r="G800" t="s">
        <v>110</v>
      </c>
      <c r="H800" t="s">
        <v>94</v>
      </c>
      <c r="I800" s="1" t="s">
        <v>28</v>
      </c>
      <c r="J800" t="s">
        <v>42</v>
      </c>
      <c r="K800" t="s">
        <v>43</v>
      </c>
      <c r="L800" s="1">
        <v>568225</v>
      </c>
      <c r="M800" s="1" t="s">
        <v>44</v>
      </c>
      <c r="N800" t="s">
        <v>3511</v>
      </c>
      <c r="O800" t="s">
        <v>32</v>
      </c>
      <c r="P800" t="s">
        <v>33</v>
      </c>
      <c r="Q800" t="s">
        <v>34</v>
      </c>
      <c r="R800">
        <v>8213.66</v>
      </c>
      <c r="S800" s="25" t="e">
        <f>IF(Table1[[#This Row],[Sales]]=MIN(Table1[Sales]), Table1[[#This Row],[Sales]], NA())</f>
        <v>#N/A</v>
      </c>
      <c r="T800" s="25">
        <f>IF(AND(Table1[[#This Row],[Sales]]&lt;&gt;MIN(Table1[Sales]),Table1[[#This Row],[Sales]]&lt;&gt;MAX(Table1[Sales])), Table1[[#This Row],[Sales]], NA())</f>
        <v>8213.66</v>
      </c>
      <c r="U800" s="25" t="e">
        <f>IF(Table1[[#This Row],[Sales]]=MAX(Table1[Sales]), Table1[[#This Row],[Sales]], NA())</f>
        <v>#N/A</v>
      </c>
      <c r="V800">
        <v>1</v>
      </c>
      <c r="W800">
        <v>0.3</v>
      </c>
      <c r="X800">
        <v>41.07</v>
      </c>
      <c r="Y800" s="3">
        <f>YEAR(Table1[[#This Row],[Order Date]])</f>
        <v>2025</v>
      </c>
      <c r="Z800" s="3" t="str">
        <f>TEXT(Table1[[#This Row],[Order Date]],"MMM")</f>
        <v>Dec</v>
      </c>
      <c r="AA800" s="3">
        <f>DAY(Table1[[#This Row],[Order Date]])</f>
        <v>14</v>
      </c>
    </row>
    <row r="801" spans="1:27" x14ac:dyDescent="0.35">
      <c r="A801" s="1">
        <v>800</v>
      </c>
      <c r="B801" s="1" t="s">
        <v>3512</v>
      </c>
      <c r="C801" s="1" t="s">
        <v>785</v>
      </c>
      <c r="D801" s="1" t="s">
        <v>3513</v>
      </c>
      <c r="E801" t="s">
        <v>62</v>
      </c>
      <c r="F801" t="s">
        <v>3514</v>
      </c>
      <c r="G801" t="s">
        <v>188</v>
      </c>
      <c r="H801" t="s">
        <v>27</v>
      </c>
      <c r="I801" s="1" t="s">
        <v>28</v>
      </c>
      <c r="J801" t="s">
        <v>29</v>
      </c>
      <c r="K801" t="s">
        <v>29</v>
      </c>
      <c r="L801" s="1">
        <v>490349</v>
      </c>
      <c r="M801" s="1" t="s">
        <v>30</v>
      </c>
      <c r="N801" t="s">
        <v>3515</v>
      </c>
      <c r="O801" t="s">
        <v>68</v>
      </c>
      <c r="P801" t="s">
        <v>69</v>
      </c>
      <c r="Q801" t="s">
        <v>70</v>
      </c>
      <c r="R801">
        <v>4697.68</v>
      </c>
      <c r="S801" s="25" t="e">
        <f>IF(Table1[[#This Row],[Sales]]=MIN(Table1[Sales]), Table1[[#This Row],[Sales]], NA())</f>
        <v>#N/A</v>
      </c>
      <c r="T801" s="25">
        <f>IF(AND(Table1[[#This Row],[Sales]]&lt;&gt;MIN(Table1[Sales]),Table1[[#This Row],[Sales]]&lt;&gt;MAX(Table1[Sales])), Table1[[#This Row],[Sales]], NA())</f>
        <v>4697.68</v>
      </c>
      <c r="U801" s="25" t="e">
        <f>IF(Table1[[#This Row],[Sales]]=MAX(Table1[Sales]), Table1[[#This Row],[Sales]], NA())</f>
        <v>#N/A</v>
      </c>
      <c r="V801">
        <v>7</v>
      </c>
      <c r="W801">
        <v>0</v>
      </c>
      <c r="X801">
        <v>375.81</v>
      </c>
      <c r="Y801" s="3">
        <f>YEAR(Table1[[#This Row],[Order Date]])</f>
        <v>2021</v>
      </c>
      <c r="Z801" s="3" t="str">
        <f>TEXT(Table1[[#This Row],[Order Date]],"MMM")</f>
        <v>Nov</v>
      </c>
      <c r="AA801" s="3">
        <f>DAY(Table1[[#This Row],[Order Date]])</f>
        <v>9</v>
      </c>
    </row>
    <row r="802" spans="1:27" x14ac:dyDescent="0.35">
      <c r="A802" s="1">
        <v>801</v>
      </c>
      <c r="B802" s="1" t="s">
        <v>3516</v>
      </c>
      <c r="C802" s="1" t="s">
        <v>3428</v>
      </c>
      <c r="D802" s="1" t="s">
        <v>953</v>
      </c>
      <c r="E802" t="s">
        <v>24</v>
      </c>
      <c r="F802" t="s">
        <v>3517</v>
      </c>
      <c r="G802" t="s">
        <v>75</v>
      </c>
      <c r="H802" t="s">
        <v>27</v>
      </c>
      <c r="I802" s="1" t="s">
        <v>28</v>
      </c>
      <c r="J802" t="s">
        <v>64</v>
      </c>
      <c r="K802" t="s">
        <v>65</v>
      </c>
      <c r="L802" s="1">
        <v>436455</v>
      </c>
      <c r="M802" s="1" t="s">
        <v>66</v>
      </c>
      <c r="N802" t="s">
        <v>3518</v>
      </c>
      <c r="O802" t="s">
        <v>68</v>
      </c>
      <c r="P802" t="s">
        <v>69</v>
      </c>
      <c r="Q802" t="s">
        <v>70</v>
      </c>
      <c r="R802">
        <v>66319.03</v>
      </c>
      <c r="S802" s="25" t="e">
        <f>IF(Table1[[#This Row],[Sales]]=MIN(Table1[Sales]), Table1[[#This Row],[Sales]], NA())</f>
        <v>#N/A</v>
      </c>
      <c r="T802" s="25">
        <f>IF(AND(Table1[[#This Row],[Sales]]&lt;&gt;MIN(Table1[Sales]),Table1[[#This Row],[Sales]]&lt;&gt;MAX(Table1[Sales])), Table1[[#This Row],[Sales]], NA())</f>
        <v>66319.03</v>
      </c>
      <c r="U802" s="25" t="e">
        <f>IF(Table1[[#This Row],[Sales]]=MAX(Table1[Sales]), Table1[[#This Row],[Sales]], NA())</f>
        <v>#N/A</v>
      </c>
      <c r="V802">
        <v>1</v>
      </c>
      <c r="W802">
        <v>0.2</v>
      </c>
      <c r="X802">
        <v>1989.57</v>
      </c>
      <c r="Y802" s="3">
        <f>YEAR(Table1[[#This Row],[Order Date]])</f>
        <v>2025</v>
      </c>
      <c r="Z802" s="3" t="str">
        <f>TEXT(Table1[[#This Row],[Order Date]],"MMM")</f>
        <v>Sep</v>
      </c>
      <c r="AA802" s="3">
        <f>DAY(Table1[[#This Row],[Order Date]])</f>
        <v>16</v>
      </c>
    </row>
    <row r="803" spans="1:27" x14ac:dyDescent="0.35">
      <c r="A803" s="1">
        <v>802</v>
      </c>
      <c r="B803" s="1" t="s">
        <v>3519</v>
      </c>
      <c r="C803" s="1" t="s">
        <v>3520</v>
      </c>
      <c r="D803" s="1" t="s">
        <v>2473</v>
      </c>
      <c r="E803" t="s">
        <v>115</v>
      </c>
      <c r="F803" t="s">
        <v>3521</v>
      </c>
      <c r="G803" t="s">
        <v>40</v>
      </c>
      <c r="H803" t="s">
        <v>41</v>
      </c>
      <c r="I803" s="1" t="s">
        <v>28</v>
      </c>
      <c r="J803" t="s">
        <v>29</v>
      </c>
      <c r="K803" t="s">
        <v>29</v>
      </c>
      <c r="L803" s="1">
        <v>141638</v>
      </c>
      <c r="M803" s="1" t="s">
        <v>30</v>
      </c>
      <c r="N803" t="s">
        <v>3522</v>
      </c>
      <c r="O803" t="s">
        <v>46</v>
      </c>
      <c r="P803" t="s">
        <v>57</v>
      </c>
      <c r="Q803" t="s">
        <v>58</v>
      </c>
      <c r="R803">
        <v>6182.15</v>
      </c>
      <c r="S803" s="25" t="e">
        <f>IF(Table1[[#This Row],[Sales]]=MIN(Table1[Sales]), Table1[[#This Row],[Sales]], NA())</f>
        <v>#N/A</v>
      </c>
      <c r="T803" s="25">
        <f>IF(AND(Table1[[#This Row],[Sales]]&lt;&gt;MIN(Table1[Sales]),Table1[[#This Row],[Sales]]&lt;&gt;MAX(Table1[Sales])), Table1[[#This Row],[Sales]], NA())</f>
        <v>6182.15</v>
      </c>
      <c r="U803" s="25" t="e">
        <f>IF(Table1[[#This Row],[Sales]]=MAX(Table1[Sales]), Table1[[#This Row],[Sales]], NA())</f>
        <v>#N/A</v>
      </c>
      <c r="V803">
        <v>3</v>
      </c>
      <c r="W803">
        <v>0.2</v>
      </c>
      <c r="X803">
        <v>185.46</v>
      </c>
      <c r="Y803" s="3">
        <f>YEAR(Table1[[#This Row],[Order Date]])</f>
        <v>2021</v>
      </c>
      <c r="Z803" s="3" t="str">
        <f>TEXT(Table1[[#This Row],[Order Date]],"MMM")</f>
        <v>Aug</v>
      </c>
      <c r="AA803" s="3">
        <f>DAY(Table1[[#This Row],[Order Date]])</f>
        <v>21</v>
      </c>
    </row>
    <row r="804" spans="1:27" x14ac:dyDescent="0.35">
      <c r="A804" s="1">
        <v>803</v>
      </c>
      <c r="B804" s="1" t="s">
        <v>3523</v>
      </c>
      <c r="C804" s="1" t="s">
        <v>3524</v>
      </c>
      <c r="D804" s="1" t="s">
        <v>2730</v>
      </c>
      <c r="E804" t="s">
        <v>38</v>
      </c>
      <c r="F804" t="s">
        <v>3525</v>
      </c>
      <c r="G804" t="s">
        <v>140</v>
      </c>
      <c r="H804" t="s">
        <v>27</v>
      </c>
      <c r="I804" s="1" t="s">
        <v>28</v>
      </c>
      <c r="J804" t="s">
        <v>128</v>
      </c>
      <c r="K804" t="s">
        <v>129</v>
      </c>
      <c r="L804" s="1">
        <v>915993</v>
      </c>
      <c r="M804" s="1" t="s">
        <v>66</v>
      </c>
      <c r="N804" t="s">
        <v>3526</v>
      </c>
      <c r="O804" t="s">
        <v>32</v>
      </c>
      <c r="P804" t="s">
        <v>33</v>
      </c>
      <c r="Q804" t="s">
        <v>34</v>
      </c>
      <c r="R804">
        <v>32871.67</v>
      </c>
      <c r="S804" s="25" t="e">
        <f>IF(Table1[[#This Row],[Sales]]=MIN(Table1[Sales]), Table1[[#This Row],[Sales]], NA())</f>
        <v>#N/A</v>
      </c>
      <c r="T804" s="25">
        <f>IF(AND(Table1[[#This Row],[Sales]]&lt;&gt;MIN(Table1[Sales]),Table1[[#This Row],[Sales]]&lt;&gt;MAX(Table1[Sales])), Table1[[#This Row],[Sales]], NA())</f>
        <v>32871.67</v>
      </c>
      <c r="U804" s="25" t="e">
        <f>IF(Table1[[#This Row],[Sales]]=MAX(Table1[Sales]), Table1[[#This Row],[Sales]], NA())</f>
        <v>#N/A</v>
      </c>
      <c r="V804">
        <v>10</v>
      </c>
      <c r="W804">
        <v>0.3</v>
      </c>
      <c r="X804">
        <v>164.36</v>
      </c>
      <c r="Y804" s="3">
        <f>YEAR(Table1[[#This Row],[Order Date]])</f>
        <v>2024</v>
      </c>
      <c r="Z804" s="3" t="str">
        <f>TEXT(Table1[[#This Row],[Order Date]],"MMM")</f>
        <v>Jun</v>
      </c>
      <c r="AA804" s="3">
        <f>DAY(Table1[[#This Row],[Order Date]])</f>
        <v>27</v>
      </c>
    </row>
    <row r="805" spans="1:27" x14ac:dyDescent="0.35">
      <c r="A805" s="1">
        <v>804</v>
      </c>
      <c r="B805" s="1" t="s">
        <v>3527</v>
      </c>
      <c r="C805" s="1" t="s">
        <v>2997</v>
      </c>
      <c r="D805" s="1" t="s">
        <v>2043</v>
      </c>
      <c r="E805" t="s">
        <v>62</v>
      </c>
      <c r="F805" t="s">
        <v>3528</v>
      </c>
      <c r="G805" t="s">
        <v>110</v>
      </c>
      <c r="H805" t="s">
        <v>41</v>
      </c>
      <c r="I805" s="1" t="s">
        <v>28</v>
      </c>
      <c r="J805" t="s">
        <v>128</v>
      </c>
      <c r="K805" t="s">
        <v>129</v>
      </c>
      <c r="L805" s="1">
        <v>996760</v>
      </c>
      <c r="M805" s="1" t="s">
        <v>66</v>
      </c>
      <c r="N805" t="s">
        <v>3529</v>
      </c>
      <c r="O805" t="s">
        <v>32</v>
      </c>
      <c r="P805" t="s">
        <v>33</v>
      </c>
      <c r="Q805" t="s">
        <v>34</v>
      </c>
      <c r="R805">
        <v>6678.6</v>
      </c>
      <c r="S805" s="25" t="e">
        <f>IF(Table1[[#This Row],[Sales]]=MIN(Table1[Sales]), Table1[[#This Row],[Sales]], NA())</f>
        <v>#N/A</v>
      </c>
      <c r="T805" s="25">
        <f>IF(AND(Table1[[#This Row],[Sales]]&lt;&gt;MIN(Table1[Sales]),Table1[[#This Row],[Sales]]&lt;&gt;MAX(Table1[Sales])), Table1[[#This Row],[Sales]], NA())</f>
        <v>6678.6</v>
      </c>
      <c r="U805" s="25" t="e">
        <f>IF(Table1[[#This Row],[Sales]]=MAX(Table1[Sales]), Table1[[#This Row],[Sales]], NA())</f>
        <v>#N/A</v>
      </c>
      <c r="V805">
        <v>1</v>
      </c>
      <c r="W805">
        <v>0.3</v>
      </c>
      <c r="X805">
        <v>33.39</v>
      </c>
      <c r="Y805" s="3">
        <f>YEAR(Table1[[#This Row],[Order Date]])</f>
        <v>2021</v>
      </c>
      <c r="Z805" s="3" t="str">
        <f>TEXT(Table1[[#This Row],[Order Date]],"MMM")</f>
        <v>Feb</v>
      </c>
      <c r="AA805" s="3">
        <f>DAY(Table1[[#This Row],[Order Date]])</f>
        <v>19</v>
      </c>
    </row>
    <row r="806" spans="1:27" x14ac:dyDescent="0.35">
      <c r="A806" s="1">
        <v>805</v>
      </c>
      <c r="B806" s="1" t="s">
        <v>3530</v>
      </c>
      <c r="C806" s="1" t="s">
        <v>3531</v>
      </c>
      <c r="D806" s="1" t="s">
        <v>3532</v>
      </c>
      <c r="E806" t="s">
        <v>115</v>
      </c>
      <c r="F806" t="s">
        <v>3533</v>
      </c>
      <c r="G806" t="s">
        <v>140</v>
      </c>
      <c r="H806" t="s">
        <v>41</v>
      </c>
      <c r="I806" s="1" t="s">
        <v>28</v>
      </c>
      <c r="J806" t="s">
        <v>128</v>
      </c>
      <c r="K806" t="s">
        <v>129</v>
      </c>
      <c r="L806" s="1">
        <v>895593</v>
      </c>
      <c r="M806" s="1" t="s">
        <v>66</v>
      </c>
      <c r="N806" t="s">
        <v>3534</v>
      </c>
      <c r="O806" t="s">
        <v>68</v>
      </c>
      <c r="P806" t="s">
        <v>69</v>
      </c>
      <c r="Q806" t="s">
        <v>70</v>
      </c>
      <c r="R806">
        <v>80998.740000000005</v>
      </c>
      <c r="S806" s="25" t="e">
        <f>IF(Table1[[#This Row],[Sales]]=MIN(Table1[Sales]), Table1[[#This Row],[Sales]], NA())</f>
        <v>#N/A</v>
      </c>
      <c r="T806" s="25">
        <f>IF(AND(Table1[[#This Row],[Sales]]&lt;&gt;MIN(Table1[Sales]),Table1[[#This Row],[Sales]]&lt;&gt;MAX(Table1[Sales])), Table1[[#This Row],[Sales]], NA())</f>
        <v>80998.740000000005</v>
      </c>
      <c r="U806" s="25" t="e">
        <f>IF(Table1[[#This Row],[Sales]]=MAX(Table1[Sales]), Table1[[#This Row],[Sales]], NA())</f>
        <v>#N/A</v>
      </c>
      <c r="V806">
        <v>3</v>
      </c>
      <c r="W806">
        <v>0</v>
      </c>
      <c r="X806">
        <v>6479.9</v>
      </c>
      <c r="Y806" s="3">
        <f>YEAR(Table1[[#This Row],[Order Date]])</f>
        <v>2023</v>
      </c>
      <c r="Z806" s="3" t="str">
        <f>TEXT(Table1[[#This Row],[Order Date]],"MMM")</f>
        <v>May</v>
      </c>
      <c r="AA806" s="3">
        <f>DAY(Table1[[#This Row],[Order Date]])</f>
        <v>29</v>
      </c>
    </row>
    <row r="807" spans="1:27" x14ac:dyDescent="0.35">
      <c r="A807" s="1">
        <v>806</v>
      </c>
      <c r="B807" s="1" t="s">
        <v>3535</v>
      </c>
      <c r="C807" s="1" t="s">
        <v>3536</v>
      </c>
      <c r="D807" s="1" t="s">
        <v>1658</v>
      </c>
      <c r="E807" t="s">
        <v>38</v>
      </c>
      <c r="F807" t="s">
        <v>3537</v>
      </c>
      <c r="G807" t="s">
        <v>140</v>
      </c>
      <c r="H807" t="s">
        <v>27</v>
      </c>
      <c r="I807" s="1" t="s">
        <v>28</v>
      </c>
      <c r="J807" t="s">
        <v>29</v>
      </c>
      <c r="K807" t="s">
        <v>29</v>
      </c>
      <c r="L807" s="1">
        <v>733360</v>
      </c>
      <c r="M807" s="1" t="s">
        <v>30</v>
      </c>
      <c r="N807" t="s">
        <v>3538</v>
      </c>
      <c r="O807" t="s">
        <v>32</v>
      </c>
      <c r="P807" t="s">
        <v>33</v>
      </c>
      <c r="Q807" t="s">
        <v>34</v>
      </c>
      <c r="R807">
        <v>21900.05</v>
      </c>
      <c r="S807" s="25" t="e">
        <f>IF(Table1[[#This Row],[Sales]]=MIN(Table1[Sales]), Table1[[#This Row],[Sales]], NA())</f>
        <v>#N/A</v>
      </c>
      <c r="T807" s="25">
        <f>IF(AND(Table1[[#This Row],[Sales]]&lt;&gt;MIN(Table1[Sales]),Table1[[#This Row],[Sales]]&lt;&gt;MAX(Table1[Sales])), Table1[[#This Row],[Sales]], NA())</f>
        <v>21900.05</v>
      </c>
      <c r="U807" s="25" t="e">
        <f>IF(Table1[[#This Row],[Sales]]=MAX(Table1[Sales]), Table1[[#This Row],[Sales]], NA())</f>
        <v>#N/A</v>
      </c>
      <c r="V807">
        <v>7</v>
      </c>
      <c r="W807">
        <v>0</v>
      </c>
      <c r="X807">
        <v>1752</v>
      </c>
      <c r="Y807" s="3">
        <f>YEAR(Table1[[#This Row],[Order Date]])</f>
        <v>2022</v>
      </c>
      <c r="Z807" s="3" t="str">
        <f>TEXT(Table1[[#This Row],[Order Date]],"MMM")</f>
        <v>Jan</v>
      </c>
      <c r="AA807" s="3">
        <f>DAY(Table1[[#This Row],[Order Date]])</f>
        <v>29</v>
      </c>
    </row>
    <row r="808" spans="1:27" x14ac:dyDescent="0.35">
      <c r="A808" s="1">
        <v>807</v>
      </c>
      <c r="B808" s="1" t="s">
        <v>3539</v>
      </c>
      <c r="C808" s="1" t="s">
        <v>3540</v>
      </c>
      <c r="D808" s="1" t="s">
        <v>2372</v>
      </c>
      <c r="E808" t="s">
        <v>62</v>
      </c>
      <c r="F808" t="s">
        <v>3541</v>
      </c>
      <c r="G808" t="s">
        <v>188</v>
      </c>
      <c r="H808" t="s">
        <v>41</v>
      </c>
      <c r="I808" s="1" t="s">
        <v>28</v>
      </c>
      <c r="J808" t="s">
        <v>42</v>
      </c>
      <c r="K808" t="s">
        <v>43</v>
      </c>
      <c r="L808" s="1">
        <v>265820</v>
      </c>
      <c r="M808" s="1" t="s">
        <v>44</v>
      </c>
      <c r="N808" t="s">
        <v>3542</v>
      </c>
      <c r="O808" t="s">
        <v>46</v>
      </c>
      <c r="P808" t="s">
        <v>47</v>
      </c>
      <c r="Q808" t="s">
        <v>48</v>
      </c>
      <c r="R808">
        <v>52622.99</v>
      </c>
      <c r="S808" s="25" t="e">
        <f>IF(Table1[[#This Row],[Sales]]=MIN(Table1[Sales]), Table1[[#This Row],[Sales]], NA())</f>
        <v>#N/A</v>
      </c>
      <c r="T808" s="25">
        <f>IF(AND(Table1[[#This Row],[Sales]]&lt;&gt;MIN(Table1[Sales]),Table1[[#This Row],[Sales]]&lt;&gt;MAX(Table1[Sales])), Table1[[#This Row],[Sales]], NA())</f>
        <v>52622.99</v>
      </c>
      <c r="U808" s="25" t="e">
        <f>IF(Table1[[#This Row],[Sales]]=MAX(Table1[Sales]), Table1[[#This Row],[Sales]], NA())</f>
        <v>#N/A</v>
      </c>
      <c r="V808">
        <v>9</v>
      </c>
      <c r="W808">
        <v>0.2</v>
      </c>
      <c r="X808">
        <v>1578.69</v>
      </c>
      <c r="Y808" s="3">
        <f>YEAR(Table1[[#This Row],[Order Date]])</f>
        <v>2023</v>
      </c>
      <c r="Z808" s="3" t="str">
        <f>TEXT(Table1[[#This Row],[Order Date]],"MMM")</f>
        <v>Apr</v>
      </c>
      <c r="AA808" s="3">
        <f>DAY(Table1[[#This Row],[Order Date]])</f>
        <v>18</v>
      </c>
    </row>
    <row r="809" spans="1:27" x14ac:dyDescent="0.35">
      <c r="A809" s="1">
        <v>808</v>
      </c>
      <c r="B809" s="1" t="s">
        <v>3543</v>
      </c>
      <c r="C809" s="1" t="s">
        <v>3544</v>
      </c>
      <c r="D809" s="1" t="s">
        <v>628</v>
      </c>
      <c r="E809" t="s">
        <v>115</v>
      </c>
      <c r="F809" t="s">
        <v>3545</v>
      </c>
      <c r="G809" t="s">
        <v>110</v>
      </c>
      <c r="H809" t="s">
        <v>27</v>
      </c>
      <c r="I809" s="1" t="s">
        <v>28</v>
      </c>
      <c r="J809" t="s">
        <v>42</v>
      </c>
      <c r="K809" t="s">
        <v>43</v>
      </c>
      <c r="L809" s="1">
        <v>901664</v>
      </c>
      <c r="M809" s="1" t="s">
        <v>44</v>
      </c>
      <c r="N809" t="s">
        <v>3546</v>
      </c>
      <c r="O809" t="s">
        <v>68</v>
      </c>
      <c r="P809" t="s">
        <v>69</v>
      </c>
      <c r="Q809" t="s">
        <v>70</v>
      </c>
      <c r="R809">
        <v>82598.87</v>
      </c>
      <c r="S809" s="25" t="e">
        <f>IF(Table1[[#This Row],[Sales]]=MIN(Table1[Sales]), Table1[[#This Row],[Sales]], NA())</f>
        <v>#N/A</v>
      </c>
      <c r="T809" s="25">
        <f>IF(AND(Table1[[#This Row],[Sales]]&lt;&gt;MIN(Table1[Sales]),Table1[[#This Row],[Sales]]&lt;&gt;MAX(Table1[Sales])), Table1[[#This Row],[Sales]], NA())</f>
        <v>82598.87</v>
      </c>
      <c r="U809" s="25" t="e">
        <f>IF(Table1[[#This Row],[Sales]]=MAX(Table1[Sales]), Table1[[#This Row],[Sales]], NA())</f>
        <v>#N/A</v>
      </c>
      <c r="V809">
        <v>7</v>
      </c>
      <c r="W809">
        <v>0</v>
      </c>
      <c r="X809">
        <v>6607.91</v>
      </c>
      <c r="Y809" s="3">
        <f>YEAR(Table1[[#This Row],[Order Date]])</f>
        <v>2023</v>
      </c>
      <c r="Z809" s="3" t="str">
        <f>TEXT(Table1[[#This Row],[Order Date]],"MMM")</f>
        <v>Dec</v>
      </c>
      <c r="AA809" s="3">
        <f>DAY(Table1[[#This Row],[Order Date]])</f>
        <v>27</v>
      </c>
    </row>
    <row r="810" spans="1:27" x14ac:dyDescent="0.35">
      <c r="A810" s="1">
        <v>809</v>
      </c>
      <c r="B810" s="1" t="s">
        <v>3547</v>
      </c>
      <c r="C810" s="1" t="s">
        <v>925</v>
      </c>
      <c r="D810" s="1" t="s">
        <v>692</v>
      </c>
      <c r="E810" t="s">
        <v>115</v>
      </c>
      <c r="F810" t="s">
        <v>3548</v>
      </c>
      <c r="G810" t="s">
        <v>110</v>
      </c>
      <c r="H810" t="s">
        <v>27</v>
      </c>
      <c r="I810" s="1" t="s">
        <v>28</v>
      </c>
      <c r="J810" t="s">
        <v>42</v>
      </c>
      <c r="K810" t="s">
        <v>43</v>
      </c>
      <c r="L810" s="1">
        <v>658583</v>
      </c>
      <c r="M810" s="1" t="s">
        <v>44</v>
      </c>
      <c r="N810" t="s">
        <v>3549</v>
      </c>
      <c r="O810" t="s">
        <v>46</v>
      </c>
      <c r="P810" t="s">
        <v>47</v>
      </c>
      <c r="Q810" t="s">
        <v>48</v>
      </c>
      <c r="R810">
        <v>95525.05</v>
      </c>
      <c r="S810" s="25" t="e">
        <f>IF(Table1[[#This Row],[Sales]]=MIN(Table1[Sales]), Table1[[#This Row],[Sales]], NA())</f>
        <v>#N/A</v>
      </c>
      <c r="T810" s="25">
        <f>IF(AND(Table1[[#This Row],[Sales]]&lt;&gt;MIN(Table1[Sales]),Table1[[#This Row],[Sales]]&lt;&gt;MAX(Table1[Sales])), Table1[[#This Row],[Sales]], NA())</f>
        <v>95525.05</v>
      </c>
      <c r="U810" s="25" t="e">
        <f>IF(Table1[[#This Row],[Sales]]=MAX(Table1[Sales]), Table1[[#This Row],[Sales]], NA())</f>
        <v>#N/A</v>
      </c>
      <c r="V810">
        <v>8</v>
      </c>
      <c r="W810">
        <v>0.1</v>
      </c>
      <c r="X810">
        <v>5253.88</v>
      </c>
      <c r="Y810" s="3">
        <f>YEAR(Table1[[#This Row],[Order Date]])</f>
        <v>2025</v>
      </c>
      <c r="Z810" s="3" t="str">
        <f>TEXT(Table1[[#This Row],[Order Date]],"MMM")</f>
        <v>Jan</v>
      </c>
      <c r="AA810" s="3">
        <f>DAY(Table1[[#This Row],[Order Date]])</f>
        <v>26</v>
      </c>
    </row>
    <row r="811" spans="1:27" x14ac:dyDescent="0.35">
      <c r="A811" s="1">
        <v>810</v>
      </c>
      <c r="B811" s="1" t="s">
        <v>3550</v>
      </c>
      <c r="C811" s="1" t="s">
        <v>1371</v>
      </c>
      <c r="D811" s="1" t="s">
        <v>1857</v>
      </c>
      <c r="E811" t="s">
        <v>115</v>
      </c>
      <c r="F811" t="s">
        <v>3551</v>
      </c>
      <c r="G811" t="s">
        <v>110</v>
      </c>
      <c r="H811" t="s">
        <v>41</v>
      </c>
      <c r="I811" s="1" t="s">
        <v>28</v>
      </c>
      <c r="J811" t="s">
        <v>42</v>
      </c>
      <c r="K811" t="s">
        <v>43</v>
      </c>
      <c r="L811" s="1">
        <v>494493</v>
      </c>
      <c r="M811" s="1" t="s">
        <v>44</v>
      </c>
      <c r="N811" t="s">
        <v>3552</v>
      </c>
      <c r="O811" t="s">
        <v>46</v>
      </c>
      <c r="P811" t="s">
        <v>57</v>
      </c>
      <c r="Q811" t="s">
        <v>58</v>
      </c>
      <c r="R811">
        <v>5778.99</v>
      </c>
      <c r="S811" s="25" t="e">
        <f>IF(Table1[[#This Row],[Sales]]=MIN(Table1[Sales]), Table1[[#This Row],[Sales]], NA())</f>
        <v>#N/A</v>
      </c>
      <c r="T811" s="25">
        <f>IF(AND(Table1[[#This Row],[Sales]]&lt;&gt;MIN(Table1[Sales]),Table1[[#This Row],[Sales]]&lt;&gt;MAX(Table1[Sales])), Table1[[#This Row],[Sales]], NA())</f>
        <v>5778.99</v>
      </c>
      <c r="U811" s="25" t="e">
        <f>IF(Table1[[#This Row],[Sales]]=MAX(Table1[Sales]), Table1[[#This Row],[Sales]], NA())</f>
        <v>#N/A</v>
      </c>
      <c r="V811">
        <v>9</v>
      </c>
      <c r="W811">
        <v>0.2</v>
      </c>
      <c r="X811">
        <v>173.37</v>
      </c>
      <c r="Y811" s="3">
        <f>YEAR(Table1[[#This Row],[Order Date]])</f>
        <v>2024</v>
      </c>
      <c r="Z811" s="3" t="str">
        <f>TEXT(Table1[[#This Row],[Order Date]],"MMM")</f>
        <v>Jun</v>
      </c>
      <c r="AA811" s="3">
        <f>DAY(Table1[[#This Row],[Order Date]])</f>
        <v>7</v>
      </c>
    </row>
    <row r="812" spans="1:27" x14ac:dyDescent="0.35">
      <c r="A812" s="1">
        <v>811</v>
      </c>
      <c r="B812" s="1" t="s">
        <v>3553</v>
      </c>
      <c r="C812" s="1" t="s">
        <v>3554</v>
      </c>
      <c r="D812" s="1" t="s">
        <v>3555</v>
      </c>
      <c r="E812" t="s">
        <v>38</v>
      </c>
      <c r="F812" t="s">
        <v>3556</v>
      </c>
      <c r="G812" t="s">
        <v>87</v>
      </c>
      <c r="H812" t="s">
        <v>94</v>
      </c>
      <c r="I812" s="1" t="s">
        <v>28</v>
      </c>
      <c r="J812" t="s">
        <v>29</v>
      </c>
      <c r="K812" t="s">
        <v>29</v>
      </c>
      <c r="L812" s="1">
        <v>985151</v>
      </c>
      <c r="M812" s="1" t="s">
        <v>30</v>
      </c>
      <c r="N812" t="s">
        <v>3557</v>
      </c>
      <c r="O812" t="s">
        <v>46</v>
      </c>
      <c r="P812" t="s">
        <v>47</v>
      </c>
      <c r="Q812" t="s">
        <v>48</v>
      </c>
      <c r="R812">
        <v>59985.440000000002</v>
      </c>
      <c r="S812" s="25" t="e">
        <f>IF(Table1[[#This Row],[Sales]]=MIN(Table1[Sales]), Table1[[#This Row],[Sales]], NA())</f>
        <v>#N/A</v>
      </c>
      <c r="T812" s="25">
        <f>IF(AND(Table1[[#This Row],[Sales]]&lt;&gt;MIN(Table1[Sales]),Table1[[#This Row],[Sales]]&lt;&gt;MAX(Table1[Sales])), Table1[[#This Row],[Sales]], NA())</f>
        <v>59985.440000000002</v>
      </c>
      <c r="U812" s="25" t="e">
        <f>IF(Table1[[#This Row],[Sales]]=MAX(Table1[Sales]), Table1[[#This Row],[Sales]], NA())</f>
        <v>#N/A</v>
      </c>
      <c r="V812">
        <v>6</v>
      </c>
      <c r="W812">
        <v>0</v>
      </c>
      <c r="X812">
        <v>4798.84</v>
      </c>
      <c r="Y812" s="3">
        <f>YEAR(Table1[[#This Row],[Order Date]])</f>
        <v>2025</v>
      </c>
      <c r="Z812" s="3" t="str">
        <f>TEXT(Table1[[#This Row],[Order Date]],"MMM")</f>
        <v>Jul</v>
      </c>
      <c r="AA812" s="3">
        <f>DAY(Table1[[#This Row],[Order Date]])</f>
        <v>15</v>
      </c>
    </row>
    <row r="813" spans="1:27" x14ac:dyDescent="0.35">
      <c r="A813" s="1">
        <v>812</v>
      </c>
      <c r="B813" s="1" t="s">
        <v>3558</v>
      </c>
      <c r="C813" s="1" t="s">
        <v>202</v>
      </c>
      <c r="D813" s="1" t="s">
        <v>3559</v>
      </c>
      <c r="E813" t="s">
        <v>38</v>
      </c>
      <c r="F813" t="s">
        <v>3560</v>
      </c>
      <c r="G813" t="s">
        <v>188</v>
      </c>
      <c r="H813" t="s">
        <v>94</v>
      </c>
      <c r="I813" s="1" t="s">
        <v>28</v>
      </c>
      <c r="J813" t="s">
        <v>29</v>
      </c>
      <c r="K813" t="s">
        <v>29</v>
      </c>
      <c r="L813" s="1">
        <v>569381</v>
      </c>
      <c r="M813" s="1" t="s">
        <v>30</v>
      </c>
      <c r="N813" t="s">
        <v>3561</v>
      </c>
      <c r="O813" t="s">
        <v>46</v>
      </c>
      <c r="P813" t="s">
        <v>47</v>
      </c>
      <c r="Q813" t="s">
        <v>48</v>
      </c>
      <c r="R813">
        <v>21079.31</v>
      </c>
      <c r="S813" s="25" t="e">
        <f>IF(Table1[[#This Row],[Sales]]=MIN(Table1[Sales]), Table1[[#This Row],[Sales]], NA())</f>
        <v>#N/A</v>
      </c>
      <c r="T813" s="25">
        <f>IF(AND(Table1[[#This Row],[Sales]]&lt;&gt;MIN(Table1[Sales]),Table1[[#This Row],[Sales]]&lt;&gt;MAX(Table1[Sales])), Table1[[#This Row],[Sales]], NA())</f>
        <v>21079.31</v>
      </c>
      <c r="U813" s="25" t="e">
        <f>IF(Table1[[#This Row],[Sales]]=MAX(Table1[Sales]), Table1[[#This Row],[Sales]], NA())</f>
        <v>#N/A</v>
      </c>
      <c r="V813">
        <v>1</v>
      </c>
      <c r="W813">
        <v>0</v>
      </c>
      <c r="X813">
        <v>1686.34</v>
      </c>
      <c r="Y813" s="3">
        <f>YEAR(Table1[[#This Row],[Order Date]])</f>
        <v>2022</v>
      </c>
      <c r="Z813" s="3" t="str">
        <f>TEXT(Table1[[#This Row],[Order Date]],"MMM")</f>
        <v>Nov</v>
      </c>
      <c r="AA813" s="3">
        <f>DAY(Table1[[#This Row],[Order Date]])</f>
        <v>3</v>
      </c>
    </row>
    <row r="814" spans="1:27" x14ac:dyDescent="0.35">
      <c r="A814" s="1">
        <v>813</v>
      </c>
      <c r="B814" s="1" t="s">
        <v>3562</v>
      </c>
      <c r="C814" s="1" t="s">
        <v>1695</v>
      </c>
      <c r="D814" s="1" t="s">
        <v>3563</v>
      </c>
      <c r="E814" t="s">
        <v>24</v>
      </c>
      <c r="F814" t="s">
        <v>3564</v>
      </c>
      <c r="G814" t="s">
        <v>140</v>
      </c>
      <c r="H814" t="s">
        <v>94</v>
      </c>
      <c r="I814" s="1" t="s">
        <v>28</v>
      </c>
      <c r="J814" t="s">
        <v>64</v>
      </c>
      <c r="K814" t="s">
        <v>65</v>
      </c>
      <c r="L814" s="1">
        <v>818697</v>
      </c>
      <c r="M814" s="1" t="s">
        <v>66</v>
      </c>
      <c r="N814" t="s">
        <v>3565</v>
      </c>
      <c r="O814" t="s">
        <v>68</v>
      </c>
      <c r="P814" t="s">
        <v>69</v>
      </c>
      <c r="Q814" t="s">
        <v>70</v>
      </c>
      <c r="R814">
        <v>96808.94</v>
      </c>
      <c r="S814" s="25" t="e">
        <f>IF(Table1[[#This Row],[Sales]]=MIN(Table1[Sales]), Table1[[#This Row],[Sales]], NA())</f>
        <v>#N/A</v>
      </c>
      <c r="T814" s="25">
        <f>IF(AND(Table1[[#This Row],[Sales]]&lt;&gt;MIN(Table1[Sales]),Table1[[#This Row],[Sales]]&lt;&gt;MAX(Table1[Sales])), Table1[[#This Row],[Sales]], NA())</f>
        <v>96808.94</v>
      </c>
      <c r="U814" s="25" t="e">
        <f>IF(Table1[[#This Row],[Sales]]=MAX(Table1[Sales]), Table1[[#This Row],[Sales]], NA())</f>
        <v>#N/A</v>
      </c>
      <c r="V814">
        <v>7</v>
      </c>
      <c r="W814">
        <v>0.2</v>
      </c>
      <c r="X814">
        <v>2904.27</v>
      </c>
      <c r="Y814" s="3">
        <f>YEAR(Table1[[#This Row],[Order Date]])</f>
        <v>2025</v>
      </c>
      <c r="Z814" s="3" t="str">
        <f>TEXT(Table1[[#This Row],[Order Date]],"MMM")</f>
        <v>May</v>
      </c>
      <c r="AA814" s="3">
        <f>DAY(Table1[[#This Row],[Order Date]])</f>
        <v>29</v>
      </c>
    </row>
    <row r="815" spans="1:27" x14ac:dyDescent="0.35">
      <c r="A815" s="1">
        <v>814</v>
      </c>
      <c r="B815" s="1" t="s">
        <v>3566</v>
      </c>
      <c r="C815" s="1" t="s">
        <v>3567</v>
      </c>
      <c r="D815" s="1" t="s">
        <v>1956</v>
      </c>
      <c r="E815" t="s">
        <v>115</v>
      </c>
      <c r="F815" t="s">
        <v>3568</v>
      </c>
      <c r="G815" t="s">
        <v>81</v>
      </c>
      <c r="H815" t="s">
        <v>27</v>
      </c>
      <c r="I815" s="1" t="s">
        <v>28</v>
      </c>
      <c r="J815" t="s">
        <v>29</v>
      </c>
      <c r="K815" t="s">
        <v>29</v>
      </c>
      <c r="L815" s="1">
        <v>155574</v>
      </c>
      <c r="M815" s="1" t="s">
        <v>30</v>
      </c>
      <c r="N815" t="s">
        <v>3569</v>
      </c>
      <c r="O815" t="s">
        <v>46</v>
      </c>
      <c r="P815" t="s">
        <v>47</v>
      </c>
      <c r="Q815" t="s">
        <v>48</v>
      </c>
      <c r="R815">
        <v>89385.35</v>
      </c>
      <c r="S815" s="25" t="e">
        <f>IF(Table1[[#This Row],[Sales]]=MIN(Table1[Sales]), Table1[[#This Row],[Sales]], NA())</f>
        <v>#N/A</v>
      </c>
      <c r="T815" s="25">
        <f>IF(AND(Table1[[#This Row],[Sales]]&lt;&gt;MIN(Table1[Sales]),Table1[[#This Row],[Sales]]&lt;&gt;MAX(Table1[Sales])), Table1[[#This Row],[Sales]], NA())</f>
        <v>89385.35</v>
      </c>
      <c r="U815" s="25" t="e">
        <f>IF(Table1[[#This Row],[Sales]]=MAX(Table1[Sales]), Table1[[#This Row],[Sales]], NA())</f>
        <v>#N/A</v>
      </c>
      <c r="V815">
        <v>6</v>
      </c>
      <c r="W815">
        <v>0.3</v>
      </c>
      <c r="X815">
        <v>446.93</v>
      </c>
      <c r="Y815" s="3">
        <f>YEAR(Table1[[#This Row],[Order Date]])</f>
        <v>2024</v>
      </c>
      <c r="Z815" s="3" t="str">
        <f>TEXT(Table1[[#This Row],[Order Date]],"MMM")</f>
        <v>Oct</v>
      </c>
      <c r="AA815" s="3">
        <f>DAY(Table1[[#This Row],[Order Date]])</f>
        <v>4</v>
      </c>
    </row>
    <row r="816" spans="1:27" x14ac:dyDescent="0.35">
      <c r="A816" s="1">
        <v>815</v>
      </c>
      <c r="B816" s="1" t="s">
        <v>3570</v>
      </c>
      <c r="C816" s="1" t="s">
        <v>2210</v>
      </c>
      <c r="D816" s="1" t="s">
        <v>3571</v>
      </c>
      <c r="E816" t="s">
        <v>38</v>
      </c>
      <c r="F816" t="s">
        <v>3572</v>
      </c>
      <c r="G816" t="s">
        <v>140</v>
      </c>
      <c r="H816" t="s">
        <v>94</v>
      </c>
      <c r="I816" s="1" t="s">
        <v>28</v>
      </c>
      <c r="J816" t="s">
        <v>64</v>
      </c>
      <c r="K816" t="s">
        <v>65</v>
      </c>
      <c r="L816" s="1">
        <v>976957</v>
      </c>
      <c r="M816" s="1" t="s">
        <v>66</v>
      </c>
      <c r="N816" t="s">
        <v>3573</v>
      </c>
      <c r="O816" t="s">
        <v>46</v>
      </c>
      <c r="P816" t="s">
        <v>47</v>
      </c>
      <c r="Q816" t="s">
        <v>48</v>
      </c>
      <c r="R816">
        <v>67422.880000000005</v>
      </c>
      <c r="S816" s="25" t="e">
        <f>IF(Table1[[#This Row],[Sales]]=MIN(Table1[Sales]), Table1[[#This Row],[Sales]], NA())</f>
        <v>#N/A</v>
      </c>
      <c r="T816" s="25">
        <f>IF(AND(Table1[[#This Row],[Sales]]&lt;&gt;MIN(Table1[Sales]),Table1[[#This Row],[Sales]]&lt;&gt;MAX(Table1[Sales])), Table1[[#This Row],[Sales]], NA())</f>
        <v>67422.880000000005</v>
      </c>
      <c r="U816" s="25" t="e">
        <f>IF(Table1[[#This Row],[Sales]]=MAX(Table1[Sales]), Table1[[#This Row],[Sales]], NA())</f>
        <v>#N/A</v>
      </c>
      <c r="V816">
        <v>10</v>
      </c>
      <c r="W816">
        <v>0</v>
      </c>
      <c r="X816">
        <v>5393.83</v>
      </c>
      <c r="Y816" s="3">
        <f>YEAR(Table1[[#This Row],[Order Date]])</f>
        <v>2022</v>
      </c>
      <c r="Z816" s="3" t="str">
        <f>TEXT(Table1[[#This Row],[Order Date]],"MMM")</f>
        <v>Jan</v>
      </c>
      <c r="AA816" s="3">
        <f>DAY(Table1[[#This Row],[Order Date]])</f>
        <v>9</v>
      </c>
    </row>
    <row r="817" spans="1:27" x14ac:dyDescent="0.35">
      <c r="A817" s="1">
        <v>816</v>
      </c>
      <c r="B817" s="1" t="s">
        <v>3574</v>
      </c>
      <c r="C817" s="1" t="s">
        <v>1857</v>
      </c>
      <c r="D817" s="1" t="s">
        <v>3575</v>
      </c>
      <c r="E817" t="s">
        <v>38</v>
      </c>
      <c r="F817" t="s">
        <v>3576</v>
      </c>
      <c r="G817" t="s">
        <v>93</v>
      </c>
      <c r="H817" t="s">
        <v>27</v>
      </c>
      <c r="I817" s="1" t="s">
        <v>28</v>
      </c>
      <c r="J817" t="s">
        <v>53</v>
      </c>
      <c r="K817" t="s">
        <v>54</v>
      </c>
      <c r="L817" s="1">
        <v>811895</v>
      </c>
      <c r="M817" s="1" t="s">
        <v>55</v>
      </c>
      <c r="N817" t="s">
        <v>3577</v>
      </c>
      <c r="O817" t="s">
        <v>68</v>
      </c>
      <c r="P817" t="s">
        <v>69</v>
      </c>
      <c r="Q817" t="s">
        <v>70</v>
      </c>
      <c r="R817">
        <v>5058.58</v>
      </c>
      <c r="S817" s="25" t="e">
        <f>IF(Table1[[#This Row],[Sales]]=MIN(Table1[Sales]), Table1[[#This Row],[Sales]], NA())</f>
        <v>#N/A</v>
      </c>
      <c r="T817" s="25">
        <f>IF(AND(Table1[[#This Row],[Sales]]&lt;&gt;MIN(Table1[Sales]),Table1[[#This Row],[Sales]]&lt;&gt;MAX(Table1[Sales])), Table1[[#This Row],[Sales]], NA())</f>
        <v>5058.58</v>
      </c>
      <c r="U817" s="25" t="e">
        <f>IF(Table1[[#This Row],[Sales]]=MAX(Table1[Sales]), Table1[[#This Row],[Sales]], NA())</f>
        <v>#N/A</v>
      </c>
      <c r="V817">
        <v>9</v>
      </c>
      <c r="W817">
        <v>0.2</v>
      </c>
      <c r="X817">
        <v>151.76</v>
      </c>
      <c r="Y817" s="3">
        <f>YEAR(Table1[[#This Row],[Order Date]])</f>
        <v>2024</v>
      </c>
      <c r="Z817" s="3" t="str">
        <f>TEXT(Table1[[#This Row],[Order Date]],"MMM")</f>
        <v>Jun</v>
      </c>
      <c r="AA817" s="3">
        <f>DAY(Table1[[#This Row],[Order Date]])</f>
        <v>11</v>
      </c>
    </row>
    <row r="818" spans="1:27" x14ac:dyDescent="0.35">
      <c r="A818" s="1">
        <v>817</v>
      </c>
      <c r="B818" s="1" t="s">
        <v>3578</v>
      </c>
      <c r="C818" s="1" t="s">
        <v>581</v>
      </c>
      <c r="D818" s="1" t="s">
        <v>3579</v>
      </c>
      <c r="E818" t="s">
        <v>62</v>
      </c>
      <c r="F818" t="s">
        <v>3580</v>
      </c>
      <c r="G818" t="s">
        <v>75</v>
      </c>
      <c r="H818" t="s">
        <v>41</v>
      </c>
      <c r="I818" s="1" t="s">
        <v>28</v>
      </c>
      <c r="J818" t="s">
        <v>29</v>
      </c>
      <c r="K818" t="s">
        <v>29</v>
      </c>
      <c r="L818" s="1">
        <v>362045</v>
      </c>
      <c r="M818" s="1" t="s">
        <v>30</v>
      </c>
      <c r="N818" t="s">
        <v>3581</v>
      </c>
      <c r="O818" t="s">
        <v>46</v>
      </c>
      <c r="P818" t="s">
        <v>57</v>
      </c>
      <c r="Q818" t="s">
        <v>58</v>
      </c>
      <c r="R818">
        <v>16865.73</v>
      </c>
      <c r="S818" s="25" t="e">
        <f>IF(Table1[[#This Row],[Sales]]=MIN(Table1[Sales]), Table1[[#This Row],[Sales]], NA())</f>
        <v>#N/A</v>
      </c>
      <c r="T818" s="25">
        <f>IF(AND(Table1[[#This Row],[Sales]]&lt;&gt;MIN(Table1[Sales]),Table1[[#This Row],[Sales]]&lt;&gt;MAX(Table1[Sales])), Table1[[#This Row],[Sales]], NA())</f>
        <v>16865.73</v>
      </c>
      <c r="U818" s="25" t="e">
        <f>IF(Table1[[#This Row],[Sales]]=MAX(Table1[Sales]), Table1[[#This Row],[Sales]], NA())</f>
        <v>#N/A</v>
      </c>
      <c r="V818">
        <v>9</v>
      </c>
      <c r="W818">
        <v>0</v>
      </c>
      <c r="X818">
        <v>1349.26</v>
      </c>
      <c r="Y818" s="3">
        <f>YEAR(Table1[[#This Row],[Order Date]])</f>
        <v>2022</v>
      </c>
      <c r="Z818" s="3" t="str">
        <f>TEXT(Table1[[#This Row],[Order Date]],"MMM")</f>
        <v>Apr</v>
      </c>
      <c r="AA818" s="3">
        <f>DAY(Table1[[#This Row],[Order Date]])</f>
        <v>19</v>
      </c>
    </row>
    <row r="819" spans="1:27" x14ac:dyDescent="0.35">
      <c r="A819" s="1">
        <v>818</v>
      </c>
      <c r="B819" s="1" t="s">
        <v>3582</v>
      </c>
      <c r="C819" s="1" t="s">
        <v>3583</v>
      </c>
      <c r="D819" s="1" t="s">
        <v>417</v>
      </c>
      <c r="E819" t="s">
        <v>24</v>
      </c>
      <c r="F819" t="s">
        <v>3584</v>
      </c>
      <c r="G819" t="s">
        <v>40</v>
      </c>
      <c r="H819" t="s">
        <v>41</v>
      </c>
      <c r="I819" s="1" t="s">
        <v>28</v>
      </c>
      <c r="J819" t="s">
        <v>29</v>
      </c>
      <c r="K819" t="s">
        <v>29</v>
      </c>
      <c r="L819" s="1">
        <v>163963</v>
      </c>
      <c r="M819" s="1" t="s">
        <v>30</v>
      </c>
      <c r="N819" t="s">
        <v>3585</v>
      </c>
      <c r="O819" t="s">
        <v>46</v>
      </c>
      <c r="P819" t="s">
        <v>57</v>
      </c>
      <c r="Q819" t="s">
        <v>58</v>
      </c>
      <c r="R819">
        <v>67940.429999999993</v>
      </c>
      <c r="S819" s="25" t="e">
        <f>IF(Table1[[#This Row],[Sales]]=MIN(Table1[Sales]), Table1[[#This Row],[Sales]], NA())</f>
        <v>#N/A</v>
      </c>
      <c r="T819" s="25">
        <f>IF(AND(Table1[[#This Row],[Sales]]&lt;&gt;MIN(Table1[Sales]),Table1[[#This Row],[Sales]]&lt;&gt;MAX(Table1[Sales])), Table1[[#This Row],[Sales]], NA())</f>
        <v>67940.429999999993</v>
      </c>
      <c r="U819" s="25" t="e">
        <f>IF(Table1[[#This Row],[Sales]]=MAX(Table1[Sales]), Table1[[#This Row],[Sales]], NA())</f>
        <v>#N/A</v>
      </c>
      <c r="V819">
        <v>9</v>
      </c>
      <c r="W819">
        <v>0</v>
      </c>
      <c r="X819">
        <v>5435.23</v>
      </c>
      <c r="Y819" s="3">
        <f>YEAR(Table1[[#This Row],[Order Date]])</f>
        <v>2021</v>
      </c>
      <c r="Z819" s="3" t="str">
        <f>TEXT(Table1[[#This Row],[Order Date]],"MMM")</f>
        <v>Apr</v>
      </c>
      <c r="AA819" s="3">
        <f>DAY(Table1[[#This Row],[Order Date]])</f>
        <v>29</v>
      </c>
    </row>
    <row r="820" spans="1:27" x14ac:dyDescent="0.35">
      <c r="A820" s="1">
        <v>819</v>
      </c>
      <c r="B820" s="1" t="s">
        <v>3586</v>
      </c>
      <c r="C820" s="1" t="s">
        <v>2414</v>
      </c>
      <c r="D820" s="1" t="s">
        <v>1712</v>
      </c>
      <c r="E820" t="s">
        <v>115</v>
      </c>
      <c r="F820" t="s">
        <v>3587</v>
      </c>
      <c r="G820" t="s">
        <v>87</v>
      </c>
      <c r="H820" t="s">
        <v>41</v>
      </c>
      <c r="I820" s="1" t="s">
        <v>28</v>
      </c>
      <c r="J820" t="s">
        <v>53</v>
      </c>
      <c r="K820" t="s">
        <v>54</v>
      </c>
      <c r="L820" s="1">
        <v>368913</v>
      </c>
      <c r="M820" s="1" t="s">
        <v>55</v>
      </c>
      <c r="N820" t="s">
        <v>3588</v>
      </c>
      <c r="O820" t="s">
        <v>68</v>
      </c>
      <c r="P820" t="s">
        <v>69</v>
      </c>
      <c r="Q820" t="s">
        <v>70</v>
      </c>
      <c r="R820">
        <v>38715.42</v>
      </c>
      <c r="S820" s="25" t="e">
        <f>IF(Table1[[#This Row],[Sales]]=MIN(Table1[Sales]), Table1[[#This Row],[Sales]], NA())</f>
        <v>#N/A</v>
      </c>
      <c r="T820" s="25">
        <f>IF(AND(Table1[[#This Row],[Sales]]&lt;&gt;MIN(Table1[Sales]),Table1[[#This Row],[Sales]]&lt;&gt;MAX(Table1[Sales])), Table1[[#This Row],[Sales]], NA())</f>
        <v>38715.42</v>
      </c>
      <c r="U820" s="25" t="e">
        <f>IF(Table1[[#This Row],[Sales]]=MAX(Table1[Sales]), Table1[[#This Row],[Sales]], NA())</f>
        <v>#N/A</v>
      </c>
      <c r="V820">
        <v>9</v>
      </c>
      <c r="W820">
        <v>0.2</v>
      </c>
      <c r="X820">
        <v>1161.46</v>
      </c>
      <c r="Y820" s="3">
        <f>YEAR(Table1[[#This Row],[Order Date]])</f>
        <v>2022</v>
      </c>
      <c r="Z820" s="3" t="str">
        <f>TEXT(Table1[[#This Row],[Order Date]],"MMM")</f>
        <v>Aug</v>
      </c>
      <c r="AA820" s="3">
        <f>DAY(Table1[[#This Row],[Order Date]])</f>
        <v>5</v>
      </c>
    </row>
    <row r="821" spans="1:27" x14ac:dyDescent="0.35">
      <c r="A821" s="1">
        <v>820</v>
      </c>
      <c r="B821" s="1" t="s">
        <v>3589</v>
      </c>
      <c r="C821" s="1" t="s">
        <v>606</v>
      </c>
      <c r="D821" s="1" t="s">
        <v>607</v>
      </c>
      <c r="E821" t="s">
        <v>24</v>
      </c>
      <c r="F821" t="s">
        <v>3590</v>
      </c>
      <c r="G821" t="s">
        <v>122</v>
      </c>
      <c r="H821" t="s">
        <v>94</v>
      </c>
      <c r="I821" s="1" t="s">
        <v>28</v>
      </c>
      <c r="J821" t="s">
        <v>64</v>
      </c>
      <c r="K821" t="s">
        <v>65</v>
      </c>
      <c r="L821" s="1">
        <v>758258</v>
      </c>
      <c r="M821" s="1" t="s">
        <v>66</v>
      </c>
      <c r="N821" t="s">
        <v>3591</v>
      </c>
      <c r="O821" t="s">
        <v>32</v>
      </c>
      <c r="P821" t="s">
        <v>33</v>
      </c>
      <c r="Q821" t="s">
        <v>34</v>
      </c>
      <c r="R821">
        <v>30889.17</v>
      </c>
      <c r="S821" s="25" t="e">
        <f>IF(Table1[[#This Row],[Sales]]=MIN(Table1[Sales]), Table1[[#This Row],[Sales]], NA())</f>
        <v>#N/A</v>
      </c>
      <c r="T821" s="25">
        <f>IF(AND(Table1[[#This Row],[Sales]]&lt;&gt;MIN(Table1[Sales]),Table1[[#This Row],[Sales]]&lt;&gt;MAX(Table1[Sales])), Table1[[#This Row],[Sales]], NA())</f>
        <v>30889.17</v>
      </c>
      <c r="U821" s="25" t="e">
        <f>IF(Table1[[#This Row],[Sales]]=MAX(Table1[Sales]), Table1[[#This Row],[Sales]], NA())</f>
        <v>#N/A</v>
      </c>
      <c r="V821">
        <v>1</v>
      </c>
      <c r="W821">
        <v>0.3</v>
      </c>
      <c r="X821">
        <v>154.44999999999999</v>
      </c>
      <c r="Y821" s="3">
        <f>YEAR(Table1[[#This Row],[Order Date]])</f>
        <v>2025</v>
      </c>
      <c r="Z821" s="3" t="str">
        <f>TEXT(Table1[[#This Row],[Order Date]],"MMM")</f>
        <v>Nov</v>
      </c>
      <c r="AA821" s="3">
        <f>DAY(Table1[[#This Row],[Order Date]])</f>
        <v>10</v>
      </c>
    </row>
    <row r="822" spans="1:27" x14ac:dyDescent="0.35">
      <c r="A822" s="1">
        <v>821</v>
      </c>
      <c r="B822" s="1" t="s">
        <v>3592</v>
      </c>
      <c r="C822" s="1" t="s">
        <v>673</v>
      </c>
      <c r="D822" s="1" t="s">
        <v>3593</v>
      </c>
      <c r="E822" t="s">
        <v>62</v>
      </c>
      <c r="F822" t="s">
        <v>3594</v>
      </c>
      <c r="G822" t="s">
        <v>93</v>
      </c>
      <c r="H822" t="s">
        <v>27</v>
      </c>
      <c r="I822" s="1" t="s">
        <v>28</v>
      </c>
      <c r="J822" t="s">
        <v>42</v>
      </c>
      <c r="K822" t="s">
        <v>43</v>
      </c>
      <c r="L822" s="1">
        <v>927612</v>
      </c>
      <c r="M822" s="1" t="s">
        <v>44</v>
      </c>
      <c r="N822" t="s">
        <v>3595</v>
      </c>
      <c r="O822" t="s">
        <v>32</v>
      </c>
      <c r="P822" t="s">
        <v>33</v>
      </c>
      <c r="Q822" t="s">
        <v>34</v>
      </c>
      <c r="R822">
        <v>88532.43</v>
      </c>
      <c r="S822" s="25" t="e">
        <f>IF(Table1[[#This Row],[Sales]]=MIN(Table1[Sales]), Table1[[#This Row],[Sales]], NA())</f>
        <v>#N/A</v>
      </c>
      <c r="T822" s="25">
        <f>IF(AND(Table1[[#This Row],[Sales]]&lt;&gt;MIN(Table1[Sales]),Table1[[#This Row],[Sales]]&lt;&gt;MAX(Table1[Sales])), Table1[[#This Row],[Sales]], NA())</f>
        <v>88532.43</v>
      </c>
      <c r="U822" s="25" t="e">
        <f>IF(Table1[[#This Row],[Sales]]=MAX(Table1[Sales]), Table1[[#This Row],[Sales]], NA())</f>
        <v>#N/A</v>
      </c>
      <c r="V822">
        <v>3</v>
      </c>
      <c r="W822">
        <v>0.2</v>
      </c>
      <c r="X822">
        <v>2655.97</v>
      </c>
      <c r="Y822" s="3">
        <f>YEAR(Table1[[#This Row],[Order Date]])</f>
        <v>2021</v>
      </c>
      <c r="Z822" s="3" t="str">
        <f>TEXT(Table1[[#This Row],[Order Date]],"MMM")</f>
        <v>Jun</v>
      </c>
      <c r="AA822" s="3">
        <f>DAY(Table1[[#This Row],[Order Date]])</f>
        <v>2</v>
      </c>
    </row>
    <row r="823" spans="1:27" x14ac:dyDescent="0.35">
      <c r="A823" s="1">
        <v>822</v>
      </c>
      <c r="B823" s="1" t="s">
        <v>3596</v>
      </c>
      <c r="C823" s="1" t="s">
        <v>3597</v>
      </c>
      <c r="D823" s="1" t="s">
        <v>144</v>
      </c>
      <c r="E823" t="s">
        <v>115</v>
      </c>
      <c r="F823" t="s">
        <v>3598</v>
      </c>
      <c r="G823" t="s">
        <v>140</v>
      </c>
      <c r="H823" t="s">
        <v>94</v>
      </c>
      <c r="I823" s="1" t="s">
        <v>28</v>
      </c>
      <c r="J823" t="s">
        <v>29</v>
      </c>
      <c r="K823" t="s">
        <v>29</v>
      </c>
      <c r="L823" s="1">
        <v>239250</v>
      </c>
      <c r="M823" s="1" t="s">
        <v>30</v>
      </c>
      <c r="N823" t="s">
        <v>3599</v>
      </c>
      <c r="O823" t="s">
        <v>68</v>
      </c>
      <c r="P823" t="s">
        <v>69</v>
      </c>
      <c r="Q823" t="s">
        <v>70</v>
      </c>
      <c r="R823">
        <v>79871.88</v>
      </c>
      <c r="S823" s="25" t="e">
        <f>IF(Table1[[#This Row],[Sales]]=MIN(Table1[Sales]), Table1[[#This Row],[Sales]], NA())</f>
        <v>#N/A</v>
      </c>
      <c r="T823" s="25">
        <f>IF(AND(Table1[[#This Row],[Sales]]&lt;&gt;MIN(Table1[Sales]),Table1[[#This Row],[Sales]]&lt;&gt;MAX(Table1[Sales])), Table1[[#This Row],[Sales]], NA())</f>
        <v>79871.88</v>
      </c>
      <c r="U823" s="25" t="e">
        <f>IF(Table1[[#This Row],[Sales]]=MAX(Table1[Sales]), Table1[[#This Row],[Sales]], NA())</f>
        <v>#N/A</v>
      </c>
      <c r="V823">
        <v>2</v>
      </c>
      <c r="W823">
        <v>0.2</v>
      </c>
      <c r="X823">
        <v>2396.16</v>
      </c>
      <c r="Y823" s="3">
        <f>YEAR(Table1[[#This Row],[Order Date]])</f>
        <v>2025</v>
      </c>
      <c r="Z823" s="3" t="str">
        <f>TEXT(Table1[[#This Row],[Order Date]],"MMM")</f>
        <v>Oct</v>
      </c>
      <c r="AA823" s="3">
        <f>DAY(Table1[[#This Row],[Order Date]])</f>
        <v>21</v>
      </c>
    </row>
    <row r="824" spans="1:27" x14ac:dyDescent="0.35">
      <c r="A824" s="1">
        <v>823</v>
      </c>
      <c r="B824" s="1" t="s">
        <v>3600</v>
      </c>
      <c r="C824" s="1" t="s">
        <v>3264</v>
      </c>
      <c r="D824" s="1" t="s">
        <v>3601</v>
      </c>
      <c r="E824" t="s">
        <v>38</v>
      </c>
      <c r="F824" t="s">
        <v>3602</v>
      </c>
      <c r="G824" t="s">
        <v>93</v>
      </c>
      <c r="H824" t="s">
        <v>27</v>
      </c>
      <c r="I824" s="1" t="s">
        <v>28</v>
      </c>
      <c r="J824" t="s">
        <v>42</v>
      </c>
      <c r="K824" t="s">
        <v>43</v>
      </c>
      <c r="L824" s="1">
        <v>190386</v>
      </c>
      <c r="M824" s="1" t="s">
        <v>44</v>
      </c>
      <c r="N824" t="s">
        <v>3603</v>
      </c>
      <c r="O824" t="s">
        <v>68</v>
      </c>
      <c r="P824" t="s">
        <v>69</v>
      </c>
      <c r="Q824" t="s">
        <v>70</v>
      </c>
      <c r="R824">
        <v>17654.759999999998</v>
      </c>
      <c r="S824" s="25" t="e">
        <f>IF(Table1[[#This Row],[Sales]]=MIN(Table1[Sales]), Table1[[#This Row],[Sales]], NA())</f>
        <v>#N/A</v>
      </c>
      <c r="T824" s="25">
        <f>IF(AND(Table1[[#This Row],[Sales]]&lt;&gt;MIN(Table1[Sales]),Table1[[#This Row],[Sales]]&lt;&gt;MAX(Table1[Sales])), Table1[[#This Row],[Sales]], NA())</f>
        <v>17654.759999999998</v>
      </c>
      <c r="U824" s="25" t="e">
        <f>IF(Table1[[#This Row],[Sales]]=MAX(Table1[Sales]), Table1[[#This Row],[Sales]], NA())</f>
        <v>#N/A</v>
      </c>
      <c r="V824">
        <v>2</v>
      </c>
      <c r="W824">
        <v>0</v>
      </c>
      <c r="X824">
        <v>1412.38</v>
      </c>
      <c r="Y824" s="3">
        <f>YEAR(Table1[[#This Row],[Order Date]])</f>
        <v>2023</v>
      </c>
      <c r="Z824" s="3" t="str">
        <f>TEXT(Table1[[#This Row],[Order Date]],"MMM")</f>
        <v>Feb</v>
      </c>
      <c r="AA824" s="3">
        <f>DAY(Table1[[#This Row],[Order Date]])</f>
        <v>8</v>
      </c>
    </row>
    <row r="825" spans="1:27" x14ac:dyDescent="0.35">
      <c r="A825" s="1">
        <v>824</v>
      </c>
      <c r="B825" s="1" t="s">
        <v>3604</v>
      </c>
      <c r="C825" s="1" t="s">
        <v>3605</v>
      </c>
      <c r="D825" s="1" t="s">
        <v>3606</v>
      </c>
      <c r="E825" t="s">
        <v>115</v>
      </c>
      <c r="F825" t="s">
        <v>3607</v>
      </c>
      <c r="G825" t="s">
        <v>122</v>
      </c>
      <c r="H825" t="s">
        <v>94</v>
      </c>
      <c r="I825" s="1" t="s">
        <v>28</v>
      </c>
      <c r="J825" t="s">
        <v>29</v>
      </c>
      <c r="K825" t="s">
        <v>29</v>
      </c>
      <c r="L825" s="1">
        <v>988065</v>
      </c>
      <c r="M825" s="1" t="s">
        <v>30</v>
      </c>
      <c r="N825" t="s">
        <v>3608</v>
      </c>
      <c r="O825" t="s">
        <v>32</v>
      </c>
      <c r="P825" t="s">
        <v>33</v>
      </c>
      <c r="Q825" t="s">
        <v>34</v>
      </c>
      <c r="R825">
        <v>56881.22</v>
      </c>
      <c r="S825" s="25" t="e">
        <f>IF(Table1[[#This Row],[Sales]]=MIN(Table1[Sales]), Table1[[#This Row],[Sales]], NA())</f>
        <v>#N/A</v>
      </c>
      <c r="T825" s="25">
        <f>IF(AND(Table1[[#This Row],[Sales]]&lt;&gt;MIN(Table1[Sales]),Table1[[#This Row],[Sales]]&lt;&gt;MAX(Table1[Sales])), Table1[[#This Row],[Sales]], NA())</f>
        <v>56881.22</v>
      </c>
      <c r="U825" s="25" t="e">
        <f>IF(Table1[[#This Row],[Sales]]=MAX(Table1[Sales]), Table1[[#This Row],[Sales]], NA())</f>
        <v>#N/A</v>
      </c>
      <c r="V825">
        <v>5</v>
      </c>
      <c r="W825">
        <v>0.3</v>
      </c>
      <c r="X825">
        <v>284.41000000000003</v>
      </c>
      <c r="Y825" s="3">
        <f>YEAR(Table1[[#This Row],[Order Date]])</f>
        <v>2022</v>
      </c>
      <c r="Z825" s="3" t="str">
        <f>TEXT(Table1[[#This Row],[Order Date]],"MMM")</f>
        <v>Jan</v>
      </c>
      <c r="AA825" s="3">
        <f>DAY(Table1[[#This Row],[Order Date]])</f>
        <v>16</v>
      </c>
    </row>
    <row r="826" spans="1:27" x14ac:dyDescent="0.35">
      <c r="A826" s="1">
        <v>825</v>
      </c>
      <c r="B826" s="1" t="s">
        <v>3609</v>
      </c>
      <c r="C826" s="1" t="s">
        <v>242</v>
      </c>
      <c r="D826" s="1" t="s">
        <v>3610</v>
      </c>
      <c r="E826" t="s">
        <v>62</v>
      </c>
      <c r="F826" t="s">
        <v>3611</v>
      </c>
      <c r="G826" t="s">
        <v>26</v>
      </c>
      <c r="H826" t="s">
        <v>41</v>
      </c>
      <c r="I826" s="1" t="s">
        <v>28</v>
      </c>
      <c r="J826" t="s">
        <v>29</v>
      </c>
      <c r="K826" t="s">
        <v>29</v>
      </c>
      <c r="L826" s="1">
        <v>383851</v>
      </c>
      <c r="M826" s="1" t="s">
        <v>30</v>
      </c>
      <c r="N826" t="s">
        <v>3612</v>
      </c>
      <c r="O826" t="s">
        <v>68</v>
      </c>
      <c r="P826" t="s">
        <v>69</v>
      </c>
      <c r="Q826" t="s">
        <v>70</v>
      </c>
      <c r="R826">
        <v>10878.59</v>
      </c>
      <c r="S826" s="25" t="e">
        <f>IF(Table1[[#This Row],[Sales]]=MIN(Table1[Sales]), Table1[[#This Row],[Sales]], NA())</f>
        <v>#N/A</v>
      </c>
      <c r="T826" s="25">
        <f>IF(AND(Table1[[#This Row],[Sales]]&lt;&gt;MIN(Table1[Sales]),Table1[[#This Row],[Sales]]&lt;&gt;MAX(Table1[Sales])), Table1[[#This Row],[Sales]], NA())</f>
        <v>10878.59</v>
      </c>
      <c r="U826" s="25" t="e">
        <f>IF(Table1[[#This Row],[Sales]]=MAX(Table1[Sales]), Table1[[#This Row],[Sales]], NA())</f>
        <v>#N/A</v>
      </c>
      <c r="V826">
        <v>7</v>
      </c>
      <c r="W826">
        <v>0.1</v>
      </c>
      <c r="X826">
        <v>598.32000000000005</v>
      </c>
      <c r="Y826" s="3">
        <f>YEAR(Table1[[#This Row],[Order Date]])</f>
        <v>2024</v>
      </c>
      <c r="Z826" s="3" t="str">
        <f>TEXT(Table1[[#This Row],[Order Date]],"MMM")</f>
        <v>Jan</v>
      </c>
      <c r="AA826" s="3">
        <f>DAY(Table1[[#This Row],[Order Date]])</f>
        <v>14</v>
      </c>
    </row>
    <row r="827" spans="1:27" x14ac:dyDescent="0.35">
      <c r="A827" s="1">
        <v>826</v>
      </c>
      <c r="B827" s="1" t="s">
        <v>3613</v>
      </c>
      <c r="C827" s="1" t="s">
        <v>1398</v>
      </c>
      <c r="D827" s="1" t="s">
        <v>2214</v>
      </c>
      <c r="E827" t="s">
        <v>24</v>
      </c>
      <c r="F827" t="s">
        <v>3614</v>
      </c>
      <c r="G827" t="s">
        <v>40</v>
      </c>
      <c r="H827" t="s">
        <v>27</v>
      </c>
      <c r="I827" s="1" t="s">
        <v>28</v>
      </c>
      <c r="J827" t="s">
        <v>29</v>
      </c>
      <c r="K827" t="s">
        <v>29</v>
      </c>
      <c r="L827" s="1">
        <v>747961</v>
      </c>
      <c r="M827" s="1" t="s">
        <v>30</v>
      </c>
      <c r="N827" t="s">
        <v>3615</v>
      </c>
      <c r="O827" t="s">
        <v>46</v>
      </c>
      <c r="P827" t="s">
        <v>57</v>
      </c>
      <c r="Q827" t="s">
        <v>58</v>
      </c>
      <c r="R827">
        <v>54615.07</v>
      </c>
      <c r="S827" s="25" t="e">
        <f>IF(Table1[[#This Row],[Sales]]=MIN(Table1[Sales]), Table1[[#This Row],[Sales]], NA())</f>
        <v>#N/A</v>
      </c>
      <c r="T827" s="25">
        <f>IF(AND(Table1[[#This Row],[Sales]]&lt;&gt;MIN(Table1[Sales]),Table1[[#This Row],[Sales]]&lt;&gt;MAX(Table1[Sales])), Table1[[#This Row],[Sales]], NA())</f>
        <v>54615.07</v>
      </c>
      <c r="U827" s="25" t="e">
        <f>IF(Table1[[#This Row],[Sales]]=MAX(Table1[Sales]), Table1[[#This Row],[Sales]], NA())</f>
        <v>#N/A</v>
      </c>
      <c r="V827">
        <v>9</v>
      </c>
      <c r="W827">
        <v>0.2</v>
      </c>
      <c r="X827">
        <v>1638.45</v>
      </c>
      <c r="Y827" s="3">
        <f>YEAR(Table1[[#This Row],[Order Date]])</f>
        <v>2021</v>
      </c>
      <c r="Z827" s="3" t="str">
        <f>TEXT(Table1[[#This Row],[Order Date]],"MMM")</f>
        <v>Dec</v>
      </c>
      <c r="AA827" s="3">
        <f>DAY(Table1[[#This Row],[Order Date]])</f>
        <v>9</v>
      </c>
    </row>
    <row r="828" spans="1:27" x14ac:dyDescent="0.35">
      <c r="A828" s="1">
        <v>827</v>
      </c>
      <c r="B828" s="1" t="s">
        <v>3616</v>
      </c>
      <c r="C828" s="1" t="s">
        <v>3617</v>
      </c>
      <c r="D828" s="1" t="s">
        <v>3618</v>
      </c>
      <c r="E828" t="s">
        <v>38</v>
      </c>
      <c r="F828" t="s">
        <v>3619</v>
      </c>
      <c r="G828" t="s">
        <v>81</v>
      </c>
      <c r="H828" t="s">
        <v>94</v>
      </c>
      <c r="I828" s="1" t="s">
        <v>28</v>
      </c>
      <c r="J828" t="s">
        <v>128</v>
      </c>
      <c r="K828" t="s">
        <v>129</v>
      </c>
      <c r="L828" s="1">
        <v>119876</v>
      </c>
      <c r="M828" s="1" t="s">
        <v>66</v>
      </c>
      <c r="N828" t="s">
        <v>3620</v>
      </c>
      <c r="O828" t="s">
        <v>68</v>
      </c>
      <c r="P828" t="s">
        <v>69</v>
      </c>
      <c r="Q828" t="s">
        <v>70</v>
      </c>
      <c r="R828">
        <v>20197.52</v>
      </c>
      <c r="S828" s="25" t="e">
        <f>IF(Table1[[#This Row],[Sales]]=MIN(Table1[Sales]), Table1[[#This Row],[Sales]], NA())</f>
        <v>#N/A</v>
      </c>
      <c r="T828" s="25">
        <f>IF(AND(Table1[[#This Row],[Sales]]&lt;&gt;MIN(Table1[Sales]),Table1[[#This Row],[Sales]]&lt;&gt;MAX(Table1[Sales])), Table1[[#This Row],[Sales]], NA())</f>
        <v>20197.52</v>
      </c>
      <c r="U828" s="25" t="e">
        <f>IF(Table1[[#This Row],[Sales]]=MAX(Table1[Sales]), Table1[[#This Row],[Sales]], NA())</f>
        <v>#N/A</v>
      </c>
      <c r="V828">
        <v>5</v>
      </c>
      <c r="W828">
        <v>0.1</v>
      </c>
      <c r="X828">
        <v>1110.8599999999999</v>
      </c>
      <c r="Y828" s="3">
        <f>YEAR(Table1[[#This Row],[Order Date]])</f>
        <v>2022</v>
      </c>
      <c r="Z828" s="3" t="str">
        <f>TEXT(Table1[[#This Row],[Order Date]],"MMM")</f>
        <v>Jan</v>
      </c>
      <c r="AA828" s="3">
        <f>DAY(Table1[[#This Row],[Order Date]])</f>
        <v>15</v>
      </c>
    </row>
    <row r="829" spans="1:27" x14ac:dyDescent="0.35">
      <c r="A829" s="1">
        <v>828</v>
      </c>
      <c r="B829" s="1" t="s">
        <v>3621</v>
      </c>
      <c r="C829" s="1" t="s">
        <v>3622</v>
      </c>
      <c r="D829" s="1" t="s">
        <v>3623</v>
      </c>
      <c r="E829" t="s">
        <v>62</v>
      </c>
      <c r="F829" t="s">
        <v>3624</v>
      </c>
      <c r="G829" t="s">
        <v>40</v>
      </c>
      <c r="H829" t="s">
        <v>94</v>
      </c>
      <c r="I829" s="1" t="s">
        <v>28</v>
      </c>
      <c r="J829" t="s">
        <v>42</v>
      </c>
      <c r="K829" t="s">
        <v>43</v>
      </c>
      <c r="L829" s="1">
        <v>899430</v>
      </c>
      <c r="M829" s="1" t="s">
        <v>44</v>
      </c>
      <c r="N829" t="s">
        <v>3625</v>
      </c>
      <c r="O829" t="s">
        <v>68</v>
      </c>
      <c r="P829" t="s">
        <v>69</v>
      </c>
      <c r="Q829" t="s">
        <v>70</v>
      </c>
      <c r="R829">
        <v>34074.339999999997</v>
      </c>
      <c r="S829" s="25" t="e">
        <f>IF(Table1[[#This Row],[Sales]]=MIN(Table1[Sales]), Table1[[#This Row],[Sales]], NA())</f>
        <v>#N/A</v>
      </c>
      <c r="T829" s="25">
        <f>IF(AND(Table1[[#This Row],[Sales]]&lt;&gt;MIN(Table1[Sales]),Table1[[#This Row],[Sales]]&lt;&gt;MAX(Table1[Sales])), Table1[[#This Row],[Sales]], NA())</f>
        <v>34074.339999999997</v>
      </c>
      <c r="U829" s="25" t="e">
        <f>IF(Table1[[#This Row],[Sales]]=MAX(Table1[Sales]), Table1[[#This Row],[Sales]], NA())</f>
        <v>#N/A</v>
      </c>
      <c r="V829">
        <v>10</v>
      </c>
      <c r="W829">
        <v>0</v>
      </c>
      <c r="X829">
        <v>2725.95</v>
      </c>
      <c r="Y829" s="3">
        <f>YEAR(Table1[[#This Row],[Order Date]])</f>
        <v>2022</v>
      </c>
      <c r="Z829" s="3" t="str">
        <f>TEXT(Table1[[#This Row],[Order Date]],"MMM")</f>
        <v>Feb</v>
      </c>
      <c r="AA829" s="3">
        <f>DAY(Table1[[#This Row],[Order Date]])</f>
        <v>18</v>
      </c>
    </row>
    <row r="830" spans="1:27" x14ac:dyDescent="0.35">
      <c r="A830" s="1">
        <v>829</v>
      </c>
      <c r="B830" s="1" t="s">
        <v>3626</v>
      </c>
      <c r="C830" s="1" t="s">
        <v>2850</v>
      </c>
      <c r="D830" s="1" t="s">
        <v>581</v>
      </c>
      <c r="E830" t="s">
        <v>62</v>
      </c>
      <c r="F830" t="s">
        <v>3627</v>
      </c>
      <c r="G830" t="s">
        <v>40</v>
      </c>
      <c r="H830" t="s">
        <v>94</v>
      </c>
      <c r="I830" s="1" t="s">
        <v>28</v>
      </c>
      <c r="J830" t="s">
        <v>29</v>
      </c>
      <c r="K830" t="s">
        <v>29</v>
      </c>
      <c r="L830" s="1">
        <v>953766</v>
      </c>
      <c r="M830" s="1" t="s">
        <v>30</v>
      </c>
      <c r="N830" t="s">
        <v>3628</v>
      </c>
      <c r="O830" t="s">
        <v>68</v>
      </c>
      <c r="P830" t="s">
        <v>69</v>
      </c>
      <c r="Q830" t="s">
        <v>70</v>
      </c>
      <c r="R830">
        <v>77491.44</v>
      </c>
      <c r="S830" s="25" t="e">
        <f>IF(Table1[[#This Row],[Sales]]=MIN(Table1[Sales]), Table1[[#This Row],[Sales]], NA())</f>
        <v>#N/A</v>
      </c>
      <c r="T830" s="25">
        <f>IF(AND(Table1[[#This Row],[Sales]]&lt;&gt;MIN(Table1[Sales]),Table1[[#This Row],[Sales]]&lt;&gt;MAX(Table1[Sales])), Table1[[#This Row],[Sales]], NA())</f>
        <v>77491.44</v>
      </c>
      <c r="U830" s="25" t="e">
        <f>IF(Table1[[#This Row],[Sales]]=MAX(Table1[Sales]), Table1[[#This Row],[Sales]], NA())</f>
        <v>#N/A</v>
      </c>
      <c r="V830">
        <v>6</v>
      </c>
      <c r="W830">
        <v>0</v>
      </c>
      <c r="X830">
        <v>6199.32</v>
      </c>
      <c r="Y830" s="3">
        <f>YEAR(Table1[[#This Row],[Order Date]])</f>
        <v>2022</v>
      </c>
      <c r="Z830" s="3" t="str">
        <f>TEXT(Table1[[#This Row],[Order Date]],"MMM")</f>
        <v>Apr</v>
      </c>
      <c r="AA830" s="3">
        <f>DAY(Table1[[#This Row],[Order Date]])</f>
        <v>18</v>
      </c>
    </row>
    <row r="831" spans="1:27" x14ac:dyDescent="0.35">
      <c r="A831" s="1">
        <v>830</v>
      </c>
      <c r="B831" s="1" t="s">
        <v>3629</v>
      </c>
      <c r="C831" s="1" t="s">
        <v>3630</v>
      </c>
      <c r="D831" s="1" t="s">
        <v>3631</v>
      </c>
      <c r="E831" t="s">
        <v>24</v>
      </c>
      <c r="F831" t="s">
        <v>3632</v>
      </c>
      <c r="G831" t="s">
        <v>81</v>
      </c>
      <c r="H831" t="s">
        <v>94</v>
      </c>
      <c r="I831" s="1" t="s">
        <v>28</v>
      </c>
      <c r="J831" t="s">
        <v>64</v>
      </c>
      <c r="K831" t="s">
        <v>65</v>
      </c>
      <c r="L831" s="1">
        <v>666642</v>
      </c>
      <c r="M831" s="1" t="s">
        <v>66</v>
      </c>
      <c r="N831" t="s">
        <v>3633</v>
      </c>
      <c r="O831" t="s">
        <v>68</v>
      </c>
      <c r="P831" t="s">
        <v>69</v>
      </c>
      <c r="Q831" t="s">
        <v>70</v>
      </c>
      <c r="R831">
        <v>69380.509999999995</v>
      </c>
      <c r="S831" s="25" t="e">
        <f>IF(Table1[[#This Row],[Sales]]=MIN(Table1[Sales]), Table1[[#This Row],[Sales]], NA())</f>
        <v>#N/A</v>
      </c>
      <c r="T831" s="25">
        <f>IF(AND(Table1[[#This Row],[Sales]]&lt;&gt;MIN(Table1[Sales]),Table1[[#This Row],[Sales]]&lt;&gt;MAX(Table1[Sales])), Table1[[#This Row],[Sales]], NA())</f>
        <v>69380.509999999995</v>
      </c>
      <c r="U831" s="25" t="e">
        <f>IF(Table1[[#This Row],[Sales]]=MAX(Table1[Sales]), Table1[[#This Row],[Sales]], NA())</f>
        <v>#N/A</v>
      </c>
      <c r="V831">
        <v>5</v>
      </c>
      <c r="W831">
        <v>0</v>
      </c>
      <c r="X831">
        <v>5550.44</v>
      </c>
      <c r="Y831" s="3">
        <f>YEAR(Table1[[#This Row],[Order Date]])</f>
        <v>2023</v>
      </c>
      <c r="Z831" s="3" t="str">
        <f>TEXT(Table1[[#This Row],[Order Date]],"MMM")</f>
        <v>Jun</v>
      </c>
      <c r="AA831" s="3">
        <f>DAY(Table1[[#This Row],[Order Date]])</f>
        <v>4</v>
      </c>
    </row>
    <row r="832" spans="1:27" x14ac:dyDescent="0.35">
      <c r="A832" s="1">
        <v>831</v>
      </c>
      <c r="B832" s="1" t="s">
        <v>3634</v>
      </c>
      <c r="C832" s="1" t="s">
        <v>3635</v>
      </c>
      <c r="D832" s="1" t="s">
        <v>1353</v>
      </c>
      <c r="E832" t="s">
        <v>115</v>
      </c>
      <c r="F832" t="s">
        <v>3636</v>
      </c>
      <c r="G832" t="s">
        <v>75</v>
      </c>
      <c r="H832" t="s">
        <v>41</v>
      </c>
      <c r="I832" s="1" t="s">
        <v>28</v>
      </c>
      <c r="J832" t="s">
        <v>42</v>
      </c>
      <c r="K832" t="s">
        <v>43</v>
      </c>
      <c r="L832" s="1">
        <v>470354</v>
      </c>
      <c r="M832" s="1" t="s">
        <v>44</v>
      </c>
      <c r="N832" t="s">
        <v>3637</v>
      </c>
      <c r="O832" t="s">
        <v>46</v>
      </c>
      <c r="P832" t="s">
        <v>57</v>
      </c>
      <c r="Q832" t="s">
        <v>58</v>
      </c>
      <c r="R832">
        <v>92458.63</v>
      </c>
      <c r="S832" s="25" t="e">
        <f>IF(Table1[[#This Row],[Sales]]=MIN(Table1[Sales]), Table1[[#This Row],[Sales]], NA())</f>
        <v>#N/A</v>
      </c>
      <c r="T832" s="25">
        <f>IF(AND(Table1[[#This Row],[Sales]]&lt;&gt;MIN(Table1[Sales]),Table1[[#This Row],[Sales]]&lt;&gt;MAX(Table1[Sales])), Table1[[#This Row],[Sales]], NA())</f>
        <v>92458.63</v>
      </c>
      <c r="U832" s="25" t="e">
        <f>IF(Table1[[#This Row],[Sales]]=MAX(Table1[Sales]), Table1[[#This Row],[Sales]], NA())</f>
        <v>#N/A</v>
      </c>
      <c r="V832">
        <v>2</v>
      </c>
      <c r="W832">
        <v>0.3</v>
      </c>
      <c r="X832">
        <v>462.29</v>
      </c>
      <c r="Y832" s="3">
        <f>YEAR(Table1[[#This Row],[Order Date]])</f>
        <v>2025</v>
      </c>
      <c r="Z832" s="3" t="str">
        <f>TEXT(Table1[[#This Row],[Order Date]],"MMM")</f>
        <v>Feb</v>
      </c>
      <c r="AA832" s="3">
        <f>DAY(Table1[[#This Row],[Order Date]])</f>
        <v>6</v>
      </c>
    </row>
    <row r="833" spans="1:27" x14ac:dyDescent="0.35">
      <c r="A833" s="1">
        <v>832</v>
      </c>
      <c r="B833" s="1" t="s">
        <v>3638</v>
      </c>
      <c r="C833" s="1" t="s">
        <v>3639</v>
      </c>
      <c r="D833" s="1" t="s">
        <v>3099</v>
      </c>
      <c r="E833" t="s">
        <v>38</v>
      </c>
      <c r="F833" t="s">
        <v>3640</v>
      </c>
      <c r="G833" t="s">
        <v>75</v>
      </c>
      <c r="H833" t="s">
        <v>94</v>
      </c>
      <c r="I833" s="1" t="s">
        <v>28</v>
      </c>
      <c r="J833" t="s">
        <v>29</v>
      </c>
      <c r="K833" t="s">
        <v>29</v>
      </c>
      <c r="L833" s="1">
        <v>728598</v>
      </c>
      <c r="M833" s="1" t="s">
        <v>30</v>
      </c>
      <c r="N833" t="s">
        <v>3641</v>
      </c>
      <c r="O833" t="s">
        <v>46</v>
      </c>
      <c r="P833" t="s">
        <v>57</v>
      </c>
      <c r="Q833" t="s">
        <v>58</v>
      </c>
      <c r="R833">
        <v>87771.34</v>
      </c>
      <c r="S833" s="25" t="e">
        <f>IF(Table1[[#This Row],[Sales]]=MIN(Table1[Sales]), Table1[[#This Row],[Sales]], NA())</f>
        <v>#N/A</v>
      </c>
      <c r="T833" s="25">
        <f>IF(AND(Table1[[#This Row],[Sales]]&lt;&gt;MIN(Table1[Sales]),Table1[[#This Row],[Sales]]&lt;&gt;MAX(Table1[Sales])), Table1[[#This Row],[Sales]], NA())</f>
        <v>87771.34</v>
      </c>
      <c r="U833" s="25" t="e">
        <f>IF(Table1[[#This Row],[Sales]]=MAX(Table1[Sales]), Table1[[#This Row],[Sales]], NA())</f>
        <v>#N/A</v>
      </c>
      <c r="V833">
        <v>8</v>
      </c>
      <c r="W833">
        <v>0</v>
      </c>
      <c r="X833">
        <v>7021.71</v>
      </c>
      <c r="Y833" s="3">
        <f>YEAR(Table1[[#This Row],[Order Date]])</f>
        <v>2023</v>
      </c>
      <c r="Z833" s="3" t="str">
        <f>TEXT(Table1[[#This Row],[Order Date]],"MMM")</f>
        <v>Sep</v>
      </c>
      <c r="AA833" s="3">
        <f>DAY(Table1[[#This Row],[Order Date]])</f>
        <v>30</v>
      </c>
    </row>
    <row r="834" spans="1:27" x14ac:dyDescent="0.35">
      <c r="A834" s="1">
        <v>833</v>
      </c>
      <c r="B834" s="1" t="s">
        <v>3642</v>
      </c>
      <c r="C834" s="1" t="s">
        <v>290</v>
      </c>
      <c r="D834" s="1" t="s">
        <v>3643</v>
      </c>
      <c r="E834" t="s">
        <v>38</v>
      </c>
      <c r="F834" t="s">
        <v>3644</v>
      </c>
      <c r="G834" t="s">
        <v>93</v>
      </c>
      <c r="H834" t="s">
        <v>41</v>
      </c>
      <c r="I834" s="1" t="s">
        <v>28</v>
      </c>
      <c r="J834" t="s">
        <v>29</v>
      </c>
      <c r="K834" t="s">
        <v>29</v>
      </c>
      <c r="L834" s="1">
        <v>172072</v>
      </c>
      <c r="M834" s="1" t="s">
        <v>30</v>
      </c>
      <c r="N834" t="s">
        <v>3645</v>
      </c>
      <c r="O834" t="s">
        <v>32</v>
      </c>
      <c r="P834" t="s">
        <v>33</v>
      </c>
      <c r="Q834" t="s">
        <v>34</v>
      </c>
      <c r="R834">
        <v>28586.6</v>
      </c>
      <c r="S834" s="25" t="e">
        <f>IF(Table1[[#This Row],[Sales]]=MIN(Table1[Sales]), Table1[[#This Row],[Sales]], NA())</f>
        <v>#N/A</v>
      </c>
      <c r="T834" s="25">
        <f>IF(AND(Table1[[#This Row],[Sales]]&lt;&gt;MIN(Table1[Sales]),Table1[[#This Row],[Sales]]&lt;&gt;MAX(Table1[Sales])), Table1[[#This Row],[Sales]], NA())</f>
        <v>28586.6</v>
      </c>
      <c r="U834" s="25" t="e">
        <f>IF(Table1[[#This Row],[Sales]]=MAX(Table1[Sales]), Table1[[#This Row],[Sales]], NA())</f>
        <v>#N/A</v>
      </c>
      <c r="V834">
        <v>8</v>
      </c>
      <c r="W834">
        <v>0</v>
      </c>
      <c r="X834">
        <v>2286.9299999999998</v>
      </c>
      <c r="Y834" s="3">
        <f>YEAR(Table1[[#This Row],[Order Date]])</f>
        <v>2024</v>
      </c>
      <c r="Z834" s="3" t="str">
        <f>TEXT(Table1[[#This Row],[Order Date]],"MMM")</f>
        <v>May</v>
      </c>
      <c r="AA834" s="3">
        <f>DAY(Table1[[#This Row],[Order Date]])</f>
        <v>29</v>
      </c>
    </row>
    <row r="835" spans="1:27" x14ac:dyDescent="0.35">
      <c r="A835" s="1">
        <v>834</v>
      </c>
      <c r="B835" s="1" t="s">
        <v>3646</v>
      </c>
      <c r="C835" s="1" t="s">
        <v>1205</v>
      </c>
      <c r="D835" s="1" t="s">
        <v>3647</v>
      </c>
      <c r="E835" t="s">
        <v>115</v>
      </c>
      <c r="F835" t="s">
        <v>3648</v>
      </c>
      <c r="G835" t="s">
        <v>40</v>
      </c>
      <c r="H835" t="s">
        <v>94</v>
      </c>
      <c r="I835" s="1" t="s">
        <v>28</v>
      </c>
      <c r="J835" t="s">
        <v>29</v>
      </c>
      <c r="K835" t="s">
        <v>29</v>
      </c>
      <c r="L835" s="1">
        <v>982038</v>
      </c>
      <c r="M835" s="1" t="s">
        <v>30</v>
      </c>
      <c r="N835" t="s">
        <v>3649</v>
      </c>
      <c r="O835" t="s">
        <v>46</v>
      </c>
      <c r="P835" t="s">
        <v>47</v>
      </c>
      <c r="Q835" t="s">
        <v>48</v>
      </c>
      <c r="R835">
        <v>81705.84</v>
      </c>
      <c r="S835" s="25" t="e">
        <f>IF(Table1[[#This Row],[Sales]]=MIN(Table1[Sales]), Table1[[#This Row],[Sales]], NA())</f>
        <v>#N/A</v>
      </c>
      <c r="T835" s="25">
        <f>IF(AND(Table1[[#This Row],[Sales]]&lt;&gt;MIN(Table1[Sales]),Table1[[#This Row],[Sales]]&lt;&gt;MAX(Table1[Sales])), Table1[[#This Row],[Sales]], NA())</f>
        <v>81705.84</v>
      </c>
      <c r="U835" s="25" t="e">
        <f>IF(Table1[[#This Row],[Sales]]=MAX(Table1[Sales]), Table1[[#This Row],[Sales]], NA())</f>
        <v>#N/A</v>
      </c>
      <c r="V835">
        <v>2</v>
      </c>
      <c r="W835">
        <v>0.1</v>
      </c>
      <c r="X835">
        <v>4493.82</v>
      </c>
      <c r="Y835" s="3">
        <f>YEAR(Table1[[#This Row],[Order Date]])</f>
        <v>2025</v>
      </c>
      <c r="Z835" s="3" t="str">
        <f>TEXT(Table1[[#This Row],[Order Date]],"MMM")</f>
        <v>Mar</v>
      </c>
      <c r="AA835" s="3">
        <f>DAY(Table1[[#This Row],[Order Date]])</f>
        <v>12</v>
      </c>
    </row>
    <row r="836" spans="1:27" x14ac:dyDescent="0.35">
      <c r="A836" s="1">
        <v>835</v>
      </c>
      <c r="B836" s="1" t="s">
        <v>3650</v>
      </c>
      <c r="C836" s="1" t="s">
        <v>845</v>
      </c>
      <c r="D836" s="1" t="s">
        <v>846</v>
      </c>
      <c r="E836" t="s">
        <v>38</v>
      </c>
      <c r="F836" t="s">
        <v>3651</v>
      </c>
      <c r="G836" t="s">
        <v>75</v>
      </c>
      <c r="H836" t="s">
        <v>27</v>
      </c>
      <c r="I836" s="1" t="s">
        <v>28</v>
      </c>
      <c r="J836" t="s">
        <v>42</v>
      </c>
      <c r="K836" t="s">
        <v>43</v>
      </c>
      <c r="L836" s="1">
        <v>714064</v>
      </c>
      <c r="M836" s="1" t="s">
        <v>44</v>
      </c>
      <c r="N836" t="s">
        <v>3652</v>
      </c>
      <c r="O836" t="s">
        <v>68</v>
      </c>
      <c r="P836" t="s">
        <v>69</v>
      </c>
      <c r="Q836" t="s">
        <v>70</v>
      </c>
      <c r="R836">
        <v>98443.06</v>
      </c>
      <c r="S836" s="25" t="e">
        <f>IF(Table1[[#This Row],[Sales]]=MIN(Table1[Sales]), Table1[[#This Row],[Sales]], NA())</f>
        <v>#N/A</v>
      </c>
      <c r="T836" s="25">
        <f>IF(AND(Table1[[#This Row],[Sales]]&lt;&gt;MIN(Table1[Sales]),Table1[[#This Row],[Sales]]&lt;&gt;MAX(Table1[Sales])), Table1[[#This Row],[Sales]], NA())</f>
        <v>98443.06</v>
      </c>
      <c r="U836" s="25" t="e">
        <f>IF(Table1[[#This Row],[Sales]]=MAX(Table1[Sales]), Table1[[#This Row],[Sales]], NA())</f>
        <v>#N/A</v>
      </c>
      <c r="V836">
        <v>4</v>
      </c>
      <c r="W836">
        <v>0.2</v>
      </c>
      <c r="X836">
        <v>2953.29</v>
      </c>
      <c r="Y836" s="3">
        <f>YEAR(Table1[[#This Row],[Order Date]])</f>
        <v>2025</v>
      </c>
      <c r="Z836" s="3" t="str">
        <f>TEXT(Table1[[#This Row],[Order Date]],"MMM")</f>
        <v>Dec</v>
      </c>
      <c r="AA836" s="3">
        <f>DAY(Table1[[#This Row],[Order Date]])</f>
        <v>5</v>
      </c>
    </row>
    <row r="837" spans="1:27" x14ac:dyDescent="0.35">
      <c r="A837" s="1">
        <v>836</v>
      </c>
      <c r="B837" s="1" t="s">
        <v>3653</v>
      </c>
      <c r="C837" s="1" t="s">
        <v>3654</v>
      </c>
      <c r="D837" s="1" t="s">
        <v>1987</v>
      </c>
      <c r="E837" t="s">
        <v>38</v>
      </c>
      <c r="F837" t="s">
        <v>3655</v>
      </c>
      <c r="G837" t="s">
        <v>93</v>
      </c>
      <c r="H837" t="s">
        <v>27</v>
      </c>
      <c r="I837" s="1" t="s">
        <v>28</v>
      </c>
      <c r="J837" t="s">
        <v>29</v>
      </c>
      <c r="K837" t="s">
        <v>29</v>
      </c>
      <c r="L837" s="1">
        <v>686389</v>
      </c>
      <c r="M837" s="1" t="s">
        <v>30</v>
      </c>
      <c r="N837" t="s">
        <v>3656</v>
      </c>
      <c r="O837" t="s">
        <v>46</v>
      </c>
      <c r="P837" t="s">
        <v>47</v>
      </c>
      <c r="Q837" t="s">
        <v>48</v>
      </c>
      <c r="R837">
        <v>60304.46</v>
      </c>
      <c r="S837" s="25" t="e">
        <f>IF(Table1[[#This Row],[Sales]]=MIN(Table1[Sales]), Table1[[#This Row],[Sales]], NA())</f>
        <v>#N/A</v>
      </c>
      <c r="T837" s="25">
        <f>IF(AND(Table1[[#This Row],[Sales]]&lt;&gt;MIN(Table1[Sales]),Table1[[#This Row],[Sales]]&lt;&gt;MAX(Table1[Sales])), Table1[[#This Row],[Sales]], NA())</f>
        <v>60304.46</v>
      </c>
      <c r="U837" s="25" t="e">
        <f>IF(Table1[[#This Row],[Sales]]=MAX(Table1[Sales]), Table1[[#This Row],[Sales]], NA())</f>
        <v>#N/A</v>
      </c>
      <c r="V837">
        <v>6</v>
      </c>
      <c r="W837">
        <v>0.1</v>
      </c>
      <c r="X837">
        <v>3316.75</v>
      </c>
      <c r="Y837" s="3">
        <f>YEAR(Table1[[#This Row],[Order Date]])</f>
        <v>2024</v>
      </c>
      <c r="Z837" s="3" t="str">
        <f>TEXT(Table1[[#This Row],[Order Date]],"MMM")</f>
        <v>Nov</v>
      </c>
      <c r="AA837" s="3">
        <f>DAY(Table1[[#This Row],[Order Date]])</f>
        <v>9</v>
      </c>
    </row>
    <row r="838" spans="1:27" x14ac:dyDescent="0.35">
      <c r="A838" s="1">
        <v>837</v>
      </c>
      <c r="B838" s="1" t="s">
        <v>3657</v>
      </c>
      <c r="C838" s="1" t="s">
        <v>820</v>
      </c>
      <c r="D838" s="1" t="s">
        <v>3658</v>
      </c>
      <c r="E838" t="s">
        <v>115</v>
      </c>
      <c r="F838" t="s">
        <v>3659</v>
      </c>
      <c r="G838" t="s">
        <v>188</v>
      </c>
      <c r="H838" t="s">
        <v>27</v>
      </c>
      <c r="I838" s="1" t="s">
        <v>28</v>
      </c>
      <c r="J838" t="s">
        <v>64</v>
      </c>
      <c r="K838" t="s">
        <v>65</v>
      </c>
      <c r="L838" s="1">
        <v>174427</v>
      </c>
      <c r="M838" s="1" t="s">
        <v>66</v>
      </c>
      <c r="N838" t="s">
        <v>3660</v>
      </c>
      <c r="O838" t="s">
        <v>46</v>
      </c>
      <c r="P838" t="s">
        <v>47</v>
      </c>
      <c r="Q838" t="s">
        <v>48</v>
      </c>
      <c r="R838">
        <v>18725.98</v>
      </c>
      <c r="S838" s="25" t="e">
        <f>IF(Table1[[#This Row],[Sales]]=MIN(Table1[Sales]), Table1[[#This Row],[Sales]], NA())</f>
        <v>#N/A</v>
      </c>
      <c r="T838" s="25">
        <f>IF(AND(Table1[[#This Row],[Sales]]&lt;&gt;MIN(Table1[Sales]),Table1[[#This Row],[Sales]]&lt;&gt;MAX(Table1[Sales])), Table1[[#This Row],[Sales]], NA())</f>
        <v>18725.98</v>
      </c>
      <c r="U838" s="25" t="e">
        <f>IF(Table1[[#This Row],[Sales]]=MAX(Table1[Sales]), Table1[[#This Row],[Sales]], NA())</f>
        <v>#N/A</v>
      </c>
      <c r="V838">
        <v>7</v>
      </c>
      <c r="W838">
        <v>0.2</v>
      </c>
      <c r="X838">
        <v>561.78</v>
      </c>
      <c r="Y838" s="3">
        <f>YEAR(Table1[[#This Row],[Order Date]])</f>
        <v>2025</v>
      </c>
      <c r="Z838" s="3" t="str">
        <f>TEXT(Table1[[#This Row],[Order Date]],"MMM")</f>
        <v>May</v>
      </c>
      <c r="AA838" s="3">
        <f>DAY(Table1[[#This Row],[Order Date]])</f>
        <v>19</v>
      </c>
    </row>
    <row r="839" spans="1:27" x14ac:dyDescent="0.35">
      <c r="A839" s="1">
        <v>838</v>
      </c>
      <c r="B839" s="1" t="s">
        <v>3661</v>
      </c>
      <c r="C839" s="1" t="s">
        <v>340</v>
      </c>
      <c r="D839" s="1" t="s">
        <v>2390</v>
      </c>
      <c r="E839" t="s">
        <v>38</v>
      </c>
      <c r="F839" t="s">
        <v>3662</v>
      </c>
      <c r="G839" t="s">
        <v>122</v>
      </c>
      <c r="H839" t="s">
        <v>94</v>
      </c>
      <c r="I839" s="1" t="s">
        <v>28</v>
      </c>
      <c r="J839" t="s">
        <v>128</v>
      </c>
      <c r="K839" t="s">
        <v>129</v>
      </c>
      <c r="L839" s="1">
        <v>643121</v>
      </c>
      <c r="M839" s="1" t="s">
        <v>66</v>
      </c>
      <c r="N839" t="s">
        <v>3663</v>
      </c>
      <c r="O839" t="s">
        <v>46</v>
      </c>
      <c r="P839" t="s">
        <v>47</v>
      </c>
      <c r="Q839" t="s">
        <v>48</v>
      </c>
      <c r="R839">
        <v>11070.54</v>
      </c>
      <c r="S839" s="25" t="e">
        <f>IF(Table1[[#This Row],[Sales]]=MIN(Table1[Sales]), Table1[[#This Row],[Sales]], NA())</f>
        <v>#N/A</v>
      </c>
      <c r="T839" s="25">
        <f>IF(AND(Table1[[#This Row],[Sales]]&lt;&gt;MIN(Table1[Sales]),Table1[[#This Row],[Sales]]&lt;&gt;MAX(Table1[Sales])), Table1[[#This Row],[Sales]], NA())</f>
        <v>11070.54</v>
      </c>
      <c r="U839" s="25" t="e">
        <f>IF(Table1[[#This Row],[Sales]]=MAX(Table1[Sales]), Table1[[#This Row],[Sales]], NA())</f>
        <v>#N/A</v>
      </c>
      <c r="V839">
        <v>7</v>
      </c>
      <c r="W839">
        <v>0.2</v>
      </c>
      <c r="X839">
        <v>332.12</v>
      </c>
      <c r="Y839" s="3">
        <f>YEAR(Table1[[#This Row],[Order Date]])</f>
        <v>2021</v>
      </c>
      <c r="Z839" s="3" t="str">
        <f>TEXT(Table1[[#This Row],[Order Date]],"MMM")</f>
        <v>Jan</v>
      </c>
      <c r="AA839" s="3">
        <f>DAY(Table1[[#This Row],[Order Date]])</f>
        <v>1</v>
      </c>
    </row>
    <row r="840" spans="1:27" x14ac:dyDescent="0.35">
      <c r="A840" s="1">
        <v>839</v>
      </c>
      <c r="B840" s="1" t="s">
        <v>3664</v>
      </c>
      <c r="C840" s="1" t="s">
        <v>3665</v>
      </c>
      <c r="D840" s="1" t="s">
        <v>3666</v>
      </c>
      <c r="E840" t="s">
        <v>24</v>
      </c>
      <c r="F840" t="s">
        <v>3667</v>
      </c>
      <c r="G840" t="s">
        <v>81</v>
      </c>
      <c r="H840" t="s">
        <v>41</v>
      </c>
      <c r="I840" s="1" t="s">
        <v>28</v>
      </c>
      <c r="J840" t="s">
        <v>53</v>
      </c>
      <c r="K840" t="s">
        <v>54</v>
      </c>
      <c r="L840" s="1">
        <v>139124</v>
      </c>
      <c r="M840" s="1" t="s">
        <v>55</v>
      </c>
      <c r="N840" t="s">
        <v>3668</v>
      </c>
      <c r="O840" t="s">
        <v>68</v>
      </c>
      <c r="P840" t="s">
        <v>69</v>
      </c>
      <c r="Q840" t="s">
        <v>70</v>
      </c>
      <c r="R840">
        <v>96958.77</v>
      </c>
      <c r="S840" s="25" t="e">
        <f>IF(Table1[[#This Row],[Sales]]=MIN(Table1[Sales]), Table1[[#This Row],[Sales]], NA())</f>
        <v>#N/A</v>
      </c>
      <c r="T840" s="25">
        <f>IF(AND(Table1[[#This Row],[Sales]]&lt;&gt;MIN(Table1[Sales]),Table1[[#This Row],[Sales]]&lt;&gt;MAX(Table1[Sales])), Table1[[#This Row],[Sales]], NA())</f>
        <v>96958.77</v>
      </c>
      <c r="U840" s="25" t="e">
        <f>IF(Table1[[#This Row],[Sales]]=MAX(Table1[Sales]), Table1[[#This Row],[Sales]], NA())</f>
        <v>#N/A</v>
      </c>
      <c r="V840">
        <v>6</v>
      </c>
      <c r="W840">
        <v>0.2</v>
      </c>
      <c r="X840">
        <v>2908.76</v>
      </c>
      <c r="Y840" s="3">
        <f>YEAR(Table1[[#This Row],[Order Date]])</f>
        <v>2021</v>
      </c>
      <c r="Z840" s="3" t="str">
        <f>TEXT(Table1[[#This Row],[Order Date]],"MMM")</f>
        <v>Nov</v>
      </c>
      <c r="AA840" s="3">
        <f>DAY(Table1[[#This Row],[Order Date]])</f>
        <v>24</v>
      </c>
    </row>
    <row r="841" spans="1:27" x14ac:dyDescent="0.35">
      <c r="A841" s="1">
        <v>840</v>
      </c>
      <c r="B841" s="1" t="s">
        <v>3669</v>
      </c>
      <c r="C841" s="1" t="s">
        <v>3670</v>
      </c>
      <c r="D841" s="1" t="s">
        <v>880</v>
      </c>
      <c r="E841" t="s">
        <v>62</v>
      </c>
      <c r="F841" t="s">
        <v>3671</v>
      </c>
      <c r="G841" t="s">
        <v>93</v>
      </c>
      <c r="H841" t="s">
        <v>94</v>
      </c>
      <c r="I841" s="1" t="s">
        <v>28</v>
      </c>
      <c r="J841" t="s">
        <v>53</v>
      </c>
      <c r="K841" t="s">
        <v>54</v>
      </c>
      <c r="L841" s="1">
        <v>476222</v>
      </c>
      <c r="M841" s="1" t="s">
        <v>55</v>
      </c>
      <c r="N841" t="s">
        <v>3672</v>
      </c>
      <c r="O841" t="s">
        <v>46</v>
      </c>
      <c r="P841" t="s">
        <v>57</v>
      </c>
      <c r="Q841" t="s">
        <v>58</v>
      </c>
      <c r="R841">
        <v>41851.03</v>
      </c>
      <c r="S841" s="25" t="e">
        <f>IF(Table1[[#This Row],[Sales]]=MIN(Table1[Sales]), Table1[[#This Row],[Sales]], NA())</f>
        <v>#N/A</v>
      </c>
      <c r="T841" s="25">
        <f>IF(AND(Table1[[#This Row],[Sales]]&lt;&gt;MIN(Table1[Sales]),Table1[[#This Row],[Sales]]&lt;&gt;MAX(Table1[Sales])), Table1[[#This Row],[Sales]], NA())</f>
        <v>41851.03</v>
      </c>
      <c r="U841" s="25" t="e">
        <f>IF(Table1[[#This Row],[Sales]]=MAX(Table1[Sales]), Table1[[#This Row],[Sales]], NA())</f>
        <v>#N/A</v>
      </c>
      <c r="V841">
        <v>2</v>
      </c>
      <c r="W841">
        <v>0.3</v>
      </c>
      <c r="X841">
        <v>209.26</v>
      </c>
      <c r="Y841" s="3">
        <f>YEAR(Table1[[#This Row],[Order Date]])</f>
        <v>2022</v>
      </c>
      <c r="Z841" s="3" t="str">
        <f>TEXT(Table1[[#This Row],[Order Date]],"MMM")</f>
        <v>Oct</v>
      </c>
      <c r="AA841" s="3">
        <f>DAY(Table1[[#This Row],[Order Date]])</f>
        <v>24</v>
      </c>
    </row>
    <row r="842" spans="1:27" x14ac:dyDescent="0.35">
      <c r="A842" s="1">
        <v>841</v>
      </c>
      <c r="B842" s="1" t="s">
        <v>3673</v>
      </c>
      <c r="C842" s="1" t="s">
        <v>3196</v>
      </c>
      <c r="D842" s="1" t="s">
        <v>2001</v>
      </c>
      <c r="E842" t="s">
        <v>24</v>
      </c>
      <c r="F842" t="s">
        <v>3674</v>
      </c>
      <c r="G842" t="s">
        <v>40</v>
      </c>
      <c r="H842" t="s">
        <v>27</v>
      </c>
      <c r="I842" s="1" t="s">
        <v>28</v>
      </c>
      <c r="J842" t="s">
        <v>53</v>
      </c>
      <c r="K842" t="s">
        <v>54</v>
      </c>
      <c r="L842" s="1">
        <v>595144</v>
      </c>
      <c r="M842" s="1" t="s">
        <v>55</v>
      </c>
      <c r="N842" t="s">
        <v>3675</v>
      </c>
      <c r="O842" t="s">
        <v>46</v>
      </c>
      <c r="P842" t="s">
        <v>47</v>
      </c>
      <c r="Q842" t="s">
        <v>48</v>
      </c>
      <c r="R842">
        <v>93864.85</v>
      </c>
      <c r="S842" s="25" t="e">
        <f>IF(Table1[[#This Row],[Sales]]=MIN(Table1[Sales]), Table1[[#This Row],[Sales]], NA())</f>
        <v>#N/A</v>
      </c>
      <c r="T842" s="25">
        <f>IF(AND(Table1[[#This Row],[Sales]]&lt;&gt;MIN(Table1[Sales]),Table1[[#This Row],[Sales]]&lt;&gt;MAX(Table1[Sales])), Table1[[#This Row],[Sales]], NA())</f>
        <v>93864.85</v>
      </c>
      <c r="U842" s="25" t="e">
        <f>IF(Table1[[#This Row],[Sales]]=MAX(Table1[Sales]), Table1[[#This Row],[Sales]], NA())</f>
        <v>#N/A</v>
      </c>
      <c r="V842">
        <v>4</v>
      </c>
      <c r="W842">
        <v>0.1</v>
      </c>
      <c r="X842">
        <v>5162.57</v>
      </c>
      <c r="Y842" s="3">
        <f>YEAR(Table1[[#This Row],[Order Date]])</f>
        <v>2023</v>
      </c>
      <c r="Z842" s="3" t="str">
        <f>TEXT(Table1[[#This Row],[Order Date]],"MMM")</f>
        <v>Jun</v>
      </c>
      <c r="AA842" s="3">
        <f>DAY(Table1[[#This Row],[Order Date]])</f>
        <v>28</v>
      </c>
    </row>
    <row r="843" spans="1:27" x14ac:dyDescent="0.35">
      <c r="A843" s="1">
        <v>842</v>
      </c>
      <c r="B843" s="1" t="s">
        <v>3676</v>
      </c>
      <c r="C843" s="1" t="s">
        <v>992</v>
      </c>
      <c r="D843" s="1" t="s">
        <v>387</v>
      </c>
      <c r="E843" t="s">
        <v>24</v>
      </c>
      <c r="F843" t="s">
        <v>3677</v>
      </c>
      <c r="G843" t="s">
        <v>81</v>
      </c>
      <c r="H843" t="s">
        <v>27</v>
      </c>
      <c r="I843" s="1" t="s">
        <v>28</v>
      </c>
      <c r="J843" t="s">
        <v>29</v>
      </c>
      <c r="K843" t="s">
        <v>29</v>
      </c>
      <c r="L843" s="1">
        <v>562882</v>
      </c>
      <c r="M843" s="1" t="s">
        <v>30</v>
      </c>
      <c r="N843" t="s">
        <v>3678</v>
      </c>
      <c r="O843" t="s">
        <v>68</v>
      </c>
      <c r="P843" t="s">
        <v>69</v>
      </c>
      <c r="Q843" t="s">
        <v>70</v>
      </c>
      <c r="R843">
        <v>24298.02</v>
      </c>
      <c r="S843" s="25" t="e">
        <f>IF(Table1[[#This Row],[Sales]]=MIN(Table1[Sales]), Table1[[#This Row],[Sales]], NA())</f>
        <v>#N/A</v>
      </c>
      <c r="T843" s="25">
        <f>IF(AND(Table1[[#This Row],[Sales]]&lt;&gt;MIN(Table1[Sales]),Table1[[#This Row],[Sales]]&lt;&gt;MAX(Table1[Sales])), Table1[[#This Row],[Sales]], NA())</f>
        <v>24298.02</v>
      </c>
      <c r="U843" s="25" t="e">
        <f>IF(Table1[[#This Row],[Sales]]=MAX(Table1[Sales]), Table1[[#This Row],[Sales]], NA())</f>
        <v>#N/A</v>
      </c>
      <c r="V843">
        <v>3</v>
      </c>
      <c r="W843">
        <v>0.1</v>
      </c>
      <c r="X843">
        <v>1336.39</v>
      </c>
      <c r="Y843" s="3">
        <f>YEAR(Table1[[#This Row],[Order Date]])</f>
        <v>2021</v>
      </c>
      <c r="Z843" s="3" t="str">
        <f>TEXT(Table1[[#This Row],[Order Date]],"MMM")</f>
        <v>Dec</v>
      </c>
      <c r="AA843" s="3">
        <f>DAY(Table1[[#This Row],[Order Date]])</f>
        <v>14</v>
      </c>
    </row>
    <row r="844" spans="1:27" x14ac:dyDescent="0.35">
      <c r="A844" s="1">
        <v>843</v>
      </c>
      <c r="B844" s="1" t="s">
        <v>3679</v>
      </c>
      <c r="C844" s="1" t="s">
        <v>1243</v>
      </c>
      <c r="D844" s="1" t="s">
        <v>816</v>
      </c>
      <c r="E844" t="s">
        <v>38</v>
      </c>
      <c r="F844" t="s">
        <v>3680</v>
      </c>
      <c r="G844" t="s">
        <v>26</v>
      </c>
      <c r="H844" t="s">
        <v>41</v>
      </c>
      <c r="I844" s="1" t="s">
        <v>28</v>
      </c>
      <c r="J844" t="s">
        <v>128</v>
      </c>
      <c r="K844" t="s">
        <v>129</v>
      </c>
      <c r="L844" s="1">
        <v>307982</v>
      </c>
      <c r="M844" s="1" t="s">
        <v>66</v>
      </c>
      <c r="N844" t="s">
        <v>3681</v>
      </c>
      <c r="O844" t="s">
        <v>32</v>
      </c>
      <c r="P844" t="s">
        <v>33</v>
      </c>
      <c r="Q844" t="s">
        <v>34</v>
      </c>
      <c r="R844">
        <v>5092.99</v>
      </c>
      <c r="S844" s="25" t="e">
        <f>IF(Table1[[#This Row],[Sales]]=MIN(Table1[Sales]), Table1[[#This Row],[Sales]], NA())</f>
        <v>#N/A</v>
      </c>
      <c r="T844" s="25">
        <f>IF(AND(Table1[[#This Row],[Sales]]&lt;&gt;MIN(Table1[Sales]),Table1[[#This Row],[Sales]]&lt;&gt;MAX(Table1[Sales])), Table1[[#This Row],[Sales]], NA())</f>
        <v>5092.99</v>
      </c>
      <c r="U844" s="25" t="e">
        <f>IF(Table1[[#This Row],[Sales]]=MAX(Table1[Sales]), Table1[[#This Row],[Sales]], NA())</f>
        <v>#N/A</v>
      </c>
      <c r="V844">
        <v>4</v>
      </c>
      <c r="W844">
        <v>0.2</v>
      </c>
      <c r="X844">
        <v>152.79</v>
      </c>
      <c r="Y844" s="3">
        <f>YEAR(Table1[[#This Row],[Order Date]])</f>
        <v>2024</v>
      </c>
      <c r="Z844" s="3" t="str">
        <f>TEXT(Table1[[#This Row],[Order Date]],"MMM")</f>
        <v>Sep</v>
      </c>
      <c r="AA844" s="3">
        <f>DAY(Table1[[#This Row],[Order Date]])</f>
        <v>13</v>
      </c>
    </row>
    <row r="845" spans="1:27" x14ac:dyDescent="0.35">
      <c r="A845" s="1">
        <v>844</v>
      </c>
      <c r="B845" s="1" t="s">
        <v>3682</v>
      </c>
      <c r="C845" s="1" t="s">
        <v>683</v>
      </c>
      <c r="D845" s="1" t="s">
        <v>276</v>
      </c>
      <c r="E845" t="s">
        <v>38</v>
      </c>
      <c r="F845" t="s">
        <v>3683</v>
      </c>
      <c r="G845" t="s">
        <v>81</v>
      </c>
      <c r="H845" t="s">
        <v>94</v>
      </c>
      <c r="I845" s="1" t="s">
        <v>28</v>
      </c>
      <c r="J845" t="s">
        <v>128</v>
      </c>
      <c r="K845" t="s">
        <v>129</v>
      </c>
      <c r="L845" s="1">
        <v>980702</v>
      </c>
      <c r="M845" s="1" t="s">
        <v>66</v>
      </c>
      <c r="N845" t="s">
        <v>3684</v>
      </c>
      <c r="O845" t="s">
        <v>46</v>
      </c>
      <c r="P845" t="s">
        <v>57</v>
      </c>
      <c r="Q845" t="s">
        <v>58</v>
      </c>
      <c r="R845">
        <v>68682.8</v>
      </c>
      <c r="S845" s="25" t="e">
        <f>IF(Table1[[#This Row],[Sales]]=MIN(Table1[Sales]), Table1[[#This Row],[Sales]], NA())</f>
        <v>#N/A</v>
      </c>
      <c r="T845" s="25">
        <f>IF(AND(Table1[[#This Row],[Sales]]&lt;&gt;MIN(Table1[Sales]),Table1[[#This Row],[Sales]]&lt;&gt;MAX(Table1[Sales])), Table1[[#This Row],[Sales]], NA())</f>
        <v>68682.8</v>
      </c>
      <c r="U845" s="25" t="e">
        <f>IF(Table1[[#This Row],[Sales]]=MAX(Table1[Sales]), Table1[[#This Row],[Sales]], NA())</f>
        <v>#N/A</v>
      </c>
      <c r="V845">
        <v>7</v>
      </c>
      <c r="W845">
        <v>0.2</v>
      </c>
      <c r="X845">
        <v>2060.48</v>
      </c>
      <c r="Y845" s="3">
        <f>YEAR(Table1[[#This Row],[Order Date]])</f>
        <v>2023</v>
      </c>
      <c r="Z845" s="3" t="str">
        <f>TEXT(Table1[[#This Row],[Order Date]],"MMM")</f>
        <v>Nov</v>
      </c>
      <c r="AA845" s="3">
        <f>DAY(Table1[[#This Row],[Order Date]])</f>
        <v>18</v>
      </c>
    </row>
    <row r="846" spans="1:27" x14ac:dyDescent="0.35">
      <c r="A846" s="1">
        <v>845</v>
      </c>
      <c r="B846" s="1" t="s">
        <v>3685</v>
      </c>
      <c r="C846" s="1" t="s">
        <v>643</v>
      </c>
      <c r="D846" s="1" t="s">
        <v>3686</v>
      </c>
      <c r="E846" t="s">
        <v>115</v>
      </c>
      <c r="F846" t="s">
        <v>3687</v>
      </c>
      <c r="G846" t="s">
        <v>87</v>
      </c>
      <c r="H846" t="s">
        <v>41</v>
      </c>
      <c r="I846" s="1" t="s">
        <v>28</v>
      </c>
      <c r="J846" t="s">
        <v>53</v>
      </c>
      <c r="K846" t="s">
        <v>54</v>
      </c>
      <c r="L846" s="1">
        <v>921912</v>
      </c>
      <c r="M846" s="1" t="s">
        <v>55</v>
      </c>
      <c r="N846" t="s">
        <v>3688</v>
      </c>
      <c r="O846" t="s">
        <v>68</v>
      </c>
      <c r="P846" t="s">
        <v>69</v>
      </c>
      <c r="Q846" t="s">
        <v>70</v>
      </c>
      <c r="R846">
        <v>64722.54</v>
      </c>
      <c r="S846" s="25" t="e">
        <f>IF(Table1[[#This Row],[Sales]]=MIN(Table1[Sales]), Table1[[#This Row],[Sales]], NA())</f>
        <v>#N/A</v>
      </c>
      <c r="T846" s="25">
        <f>IF(AND(Table1[[#This Row],[Sales]]&lt;&gt;MIN(Table1[Sales]),Table1[[#This Row],[Sales]]&lt;&gt;MAX(Table1[Sales])), Table1[[#This Row],[Sales]], NA())</f>
        <v>64722.54</v>
      </c>
      <c r="U846" s="25" t="e">
        <f>IF(Table1[[#This Row],[Sales]]=MAX(Table1[Sales]), Table1[[#This Row],[Sales]], NA())</f>
        <v>#N/A</v>
      </c>
      <c r="V846">
        <v>5</v>
      </c>
      <c r="W846">
        <v>0.3</v>
      </c>
      <c r="X846">
        <v>323.61</v>
      </c>
      <c r="Y846" s="3">
        <f>YEAR(Table1[[#This Row],[Order Date]])</f>
        <v>2023</v>
      </c>
      <c r="Z846" s="3" t="str">
        <f>TEXT(Table1[[#This Row],[Order Date]],"MMM")</f>
        <v>Nov</v>
      </c>
      <c r="AA846" s="3">
        <f>DAY(Table1[[#This Row],[Order Date]])</f>
        <v>4</v>
      </c>
    </row>
    <row r="847" spans="1:27" x14ac:dyDescent="0.35">
      <c r="A847" s="1">
        <v>846</v>
      </c>
      <c r="B847" s="1" t="s">
        <v>3689</v>
      </c>
      <c r="C847" s="1" t="s">
        <v>1815</v>
      </c>
      <c r="D847" s="1" t="s">
        <v>3690</v>
      </c>
      <c r="E847" t="s">
        <v>62</v>
      </c>
      <c r="F847" t="s">
        <v>3691</v>
      </c>
      <c r="G847" t="s">
        <v>122</v>
      </c>
      <c r="H847" t="s">
        <v>41</v>
      </c>
      <c r="I847" s="1" t="s">
        <v>28</v>
      </c>
      <c r="J847" t="s">
        <v>29</v>
      </c>
      <c r="K847" t="s">
        <v>29</v>
      </c>
      <c r="L847" s="1">
        <v>609568</v>
      </c>
      <c r="M847" s="1" t="s">
        <v>30</v>
      </c>
      <c r="N847" t="s">
        <v>3692</v>
      </c>
      <c r="O847" t="s">
        <v>68</v>
      </c>
      <c r="P847" t="s">
        <v>69</v>
      </c>
      <c r="Q847" t="s">
        <v>70</v>
      </c>
      <c r="R847">
        <v>15519.63</v>
      </c>
      <c r="S847" s="25" t="e">
        <f>IF(Table1[[#This Row],[Sales]]=MIN(Table1[Sales]), Table1[[#This Row],[Sales]], NA())</f>
        <v>#N/A</v>
      </c>
      <c r="T847" s="25">
        <f>IF(AND(Table1[[#This Row],[Sales]]&lt;&gt;MIN(Table1[Sales]),Table1[[#This Row],[Sales]]&lt;&gt;MAX(Table1[Sales])), Table1[[#This Row],[Sales]], NA())</f>
        <v>15519.63</v>
      </c>
      <c r="U847" s="25" t="e">
        <f>IF(Table1[[#This Row],[Sales]]=MAX(Table1[Sales]), Table1[[#This Row],[Sales]], NA())</f>
        <v>#N/A</v>
      </c>
      <c r="V847">
        <v>9</v>
      </c>
      <c r="W847">
        <v>0.3</v>
      </c>
      <c r="X847">
        <v>77.599999999999994</v>
      </c>
      <c r="Y847" s="3">
        <f>YEAR(Table1[[#This Row],[Order Date]])</f>
        <v>2024</v>
      </c>
      <c r="Z847" s="3" t="str">
        <f>TEXT(Table1[[#This Row],[Order Date]],"MMM")</f>
        <v>Sep</v>
      </c>
      <c r="AA847" s="3">
        <f>DAY(Table1[[#This Row],[Order Date]])</f>
        <v>16</v>
      </c>
    </row>
    <row r="848" spans="1:27" x14ac:dyDescent="0.35">
      <c r="A848" s="1">
        <v>847</v>
      </c>
      <c r="B848" s="1" t="s">
        <v>3693</v>
      </c>
      <c r="C848" s="1" t="s">
        <v>1508</v>
      </c>
      <c r="D848" s="1" t="s">
        <v>231</v>
      </c>
      <c r="E848" t="s">
        <v>38</v>
      </c>
      <c r="F848" t="s">
        <v>3694</v>
      </c>
      <c r="G848" t="s">
        <v>75</v>
      </c>
      <c r="H848" t="s">
        <v>94</v>
      </c>
      <c r="I848" s="1" t="s">
        <v>28</v>
      </c>
      <c r="J848" t="s">
        <v>42</v>
      </c>
      <c r="K848" t="s">
        <v>43</v>
      </c>
      <c r="L848" s="1">
        <v>204110</v>
      </c>
      <c r="M848" s="1" t="s">
        <v>44</v>
      </c>
      <c r="N848" t="s">
        <v>3695</v>
      </c>
      <c r="O848" t="s">
        <v>32</v>
      </c>
      <c r="P848" t="s">
        <v>33</v>
      </c>
      <c r="Q848" t="s">
        <v>34</v>
      </c>
      <c r="R848">
        <v>6885.45</v>
      </c>
      <c r="S848" s="25" t="e">
        <f>IF(Table1[[#This Row],[Sales]]=MIN(Table1[Sales]), Table1[[#This Row],[Sales]], NA())</f>
        <v>#N/A</v>
      </c>
      <c r="T848" s="25">
        <f>IF(AND(Table1[[#This Row],[Sales]]&lt;&gt;MIN(Table1[Sales]),Table1[[#This Row],[Sales]]&lt;&gt;MAX(Table1[Sales])), Table1[[#This Row],[Sales]], NA())</f>
        <v>6885.45</v>
      </c>
      <c r="U848" s="25" t="e">
        <f>IF(Table1[[#This Row],[Sales]]=MAX(Table1[Sales]), Table1[[#This Row],[Sales]], NA())</f>
        <v>#N/A</v>
      </c>
      <c r="V848">
        <v>7</v>
      </c>
      <c r="W848">
        <v>0.1</v>
      </c>
      <c r="X848">
        <v>378.7</v>
      </c>
      <c r="Y848" s="3">
        <f>YEAR(Table1[[#This Row],[Order Date]])</f>
        <v>2021</v>
      </c>
      <c r="Z848" s="3" t="str">
        <f>TEXT(Table1[[#This Row],[Order Date]],"MMM")</f>
        <v>Oct</v>
      </c>
      <c r="AA848" s="3">
        <f>DAY(Table1[[#This Row],[Order Date]])</f>
        <v>9</v>
      </c>
    </row>
    <row r="849" spans="1:27" x14ac:dyDescent="0.35">
      <c r="A849" s="1">
        <v>848</v>
      </c>
      <c r="B849" s="1" t="s">
        <v>3696</v>
      </c>
      <c r="C849" s="1" t="s">
        <v>1712</v>
      </c>
      <c r="D849" s="1" t="s">
        <v>602</v>
      </c>
      <c r="E849" t="s">
        <v>115</v>
      </c>
      <c r="F849" t="s">
        <v>3697</v>
      </c>
      <c r="G849" t="s">
        <v>93</v>
      </c>
      <c r="H849" t="s">
        <v>94</v>
      </c>
      <c r="I849" s="1" t="s">
        <v>28</v>
      </c>
      <c r="J849" t="s">
        <v>42</v>
      </c>
      <c r="K849" t="s">
        <v>43</v>
      </c>
      <c r="L849" s="1">
        <v>689178</v>
      </c>
      <c r="M849" s="1" t="s">
        <v>44</v>
      </c>
      <c r="N849" t="s">
        <v>3698</v>
      </c>
      <c r="O849" t="s">
        <v>46</v>
      </c>
      <c r="P849" t="s">
        <v>57</v>
      </c>
      <c r="Q849" t="s">
        <v>58</v>
      </c>
      <c r="R849">
        <v>30341.03</v>
      </c>
      <c r="S849" s="25" t="e">
        <f>IF(Table1[[#This Row],[Sales]]=MIN(Table1[Sales]), Table1[[#This Row],[Sales]], NA())</f>
        <v>#N/A</v>
      </c>
      <c r="T849" s="25">
        <f>IF(AND(Table1[[#This Row],[Sales]]&lt;&gt;MIN(Table1[Sales]),Table1[[#This Row],[Sales]]&lt;&gt;MAX(Table1[Sales])), Table1[[#This Row],[Sales]], NA())</f>
        <v>30341.03</v>
      </c>
      <c r="U849" s="25" t="e">
        <f>IF(Table1[[#This Row],[Sales]]=MAX(Table1[Sales]), Table1[[#This Row],[Sales]], NA())</f>
        <v>#N/A</v>
      </c>
      <c r="V849">
        <v>8</v>
      </c>
      <c r="W849">
        <v>0.1</v>
      </c>
      <c r="X849">
        <v>1668.76</v>
      </c>
      <c r="Y849" s="3">
        <f>YEAR(Table1[[#This Row],[Order Date]])</f>
        <v>2022</v>
      </c>
      <c r="Z849" s="3" t="str">
        <f>TEXT(Table1[[#This Row],[Order Date]],"MMM")</f>
        <v>Aug</v>
      </c>
      <c r="AA849" s="3">
        <f>DAY(Table1[[#This Row],[Order Date]])</f>
        <v>7</v>
      </c>
    </row>
    <row r="850" spans="1:27" x14ac:dyDescent="0.35">
      <c r="A850" s="1">
        <v>849</v>
      </c>
      <c r="B850" s="1" t="s">
        <v>3699</v>
      </c>
      <c r="C850" s="1" t="s">
        <v>212</v>
      </c>
      <c r="D850" s="1" t="s">
        <v>3700</v>
      </c>
      <c r="E850" t="s">
        <v>62</v>
      </c>
      <c r="F850" t="s">
        <v>3701</v>
      </c>
      <c r="G850" t="s">
        <v>122</v>
      </c>
      <c r="H850" t="s">
        <v>94</v>
      </c>
      <c r="I850" s="1" t="s">
        <v>28</v>
      </c>
      <c r="J850" t="s">
        <v>64</v>
      </c>
      <c r="K850" t="s">
        <v>65</v>
      </c>
      <c r="L850" s="1">
        <v>244429</v>
      </c>
      <c r="M850" s="1" t="s">
        <v>66</v>
      </c>
      <c r="N850" t="s">
        <v>3702</v>
      </c>
      <c r="O850" t="s">
        <v>46</v>
      </c>
      <c r="P850" t="s">
        <v>47</v>
      </c>
      <c r="Q850" t="s">
        <v>48</v>
      </c>
      <c r="R850">
        <v>35396.089999999997</v>
      </c>
      <c r="S850" s="25" t="e">
        <f>IF(Table1[[#This Row],[Sales]]=MIN(Table1[Sales]), Table1[[#This Row],[Sales]], NA())</f>
        <v>#N/A</v>
      </c>
      <c r="T850" s="25">
        <f>IF(AND(Table1[[#This Row],[Sales]]&lt;&gt;MIN(Table1[Sales]),Table1[[#This Row],[Sales]]&lt;&gt;MAX(Table1[Sales])), Table1[[#This Row],[Sales]], NA())</f>
        <v>35396.089999999997</v>
      </c>
      <c r="U850" s="25" t="e">
        <f>IF(Table1[[#This Row],[Sales]]=MAX(Table1[Sales]), Table1[[#This Row],[Sales]], NA())</f>
        <v>#N/A</v>
      </c>
      <c r="V850">
        <v>5</v>
      </c>
      <c r="W850">
        <v>0.3</v>
      </c>
      <c r="X850">
        <v>176.98</v>
      </c>
      <c r="Y850" s="3">
        <f>YEAR(Table1[[#This Row],[Order Date]])</f>
        <v>2022</v>
      </c>
      <c r="Z850" s="3" t="str">
        <f>TEXT(Table1[[#This Row],[Order Date]],"MMM")</f>
        <v>Jun</v>
      </c>
      <c r="AA850" s="3">
        <f>DAY(Table1[[#This Row],[Order Date]])</f>
        <v>27</v>
      </c>
    </row>
    <row r="851" spans="1:27" x14ac:dyDescent="0.35">
      <c r="A851" s="1">
        <v>850</v>
      </c>
      <c r="B851" s="1" t="s">
        <v>3703</v>
      </c>
      <c r="C851" s="1" t="s">
        <v>3704</v>
      </c>
      <c r="D851" s="1" t="s">
        <v>3705</v>
      </c>
      <c r="E851" t="s">
        <v>38</v>
      </c>
      <c r="F851" t="s">
        <v>3706</v>
      </c>
      <c r="G851" t="s">
        <v>110</v>
      </c>
      <c r="H851" t="s">
        <v>27</v>
      </c>
      <c r="I851" s="1" t="s">
        <v>28</v>
      </c>
      <c r="J851" t="s">
        <v>53</v>
      </c>
      <c r="K851" t="s">
        <v>54</v>
      </c>
      <c r="L851" s="1">
        <v>150807</v>
      </c>
      <c r="M851" s="1" t="s">
        <v>55</v>
      </c>
      <c r="N851" t="s">
        <v>3707</v>
      </c>
      <c r="O851" t="s">
        <v>32</v>
      </c>
      <c r="P851" t="s">
        <v>33</v>
      </c>
      <c r="Q851" t="s">
        <v>34</v>
      </c>
      <c r="R851">
        <v>65226.26</v>
      </c>
      <c r="S851" s="25" t="e">
        <f>IF(Table1[[#This Row],[Sales]]=MIN(Table1[Sales]), Table1[[#This Row],[Sales]], NA())</f>
        <v>#N/A</v>
      </c>
      <c r="T851" s="25">
        <f>IF(AND(Table1[[#This Row],[Sales]]&lt;&gt;MIN(Table1[Sales]),Table1[[#This Row],[Sales]]&lt;&gt;MAX(Table1[Sales])), Table1[[#This Row],[Sales]], NA())</f>
        <v>65226.26</v>
      </c>
      <c r="U851" s="25" t="e">
        <f>IF(Table1[[#This Row],[Sales]]=MAX(Table1[Sales]), Table1[[#This Row],[Sales]], NA())</f>
        <v>#N/A</v>
      </c>
      <c r="V851">
        <v>4</v>
      </c>
      <c r="W851">
        <v>0.3</v>
      </c>
      <c r="X851">
        <v>326.13</v>
      </c>
      <c r="Y851" s="3">
        <f>YEAR(Table1[[#This Row],[Order Date]])</f>
        <v>2024</v>
      </c>
      <c r="Z851" s="3" t="str">
        <f>TEXT(Table1[[#This Row],[Order Date]],"MMM")</f>
        <v>Oct</v>
      </c>
      <c r="AA851" s="3">
        <f>DAY(Table1[[#This Row],[Order Date]])</f>
        <v>20</v>
      </c>
    </row>
    <row r="852" spans="1:27" x14ac:dyDescent="0.35">
      <c r="A852" s="1">
        <v>851</v>
      </c>
      <c r="B852" s="1" t="s">
        <v>3708</v>
      </c>
      <c r="C852" s="1" t="s">
        <v>3709</v>
      </c>
      <c r="D852" s="1" t="s">
        <v>3710</v>
      </c>
      <c r="E852" t="s">
        <v>24</v>
      </c>
      <c r="F852" t="s">
        <v>3711</v>
      </c>
      <c r="G852" t="s">
        <v>188</v>
      </c>
      <c r="H852" t="s">
        <v>94</v>
      </c>
      <c r="I852" s="1" t="s">
        <v>28</v>
      </c>
      <c r="J852" t="s">
        <v>64</v>
      </c>
      <c r="K852" t="s">
        <v>65</v>
      </c>
      <c r="L852" s="1">
        <v>206833</v>
      </c>
      <c r="M852" s="1" t="s">
        <v>66</v>
      </c>
      <c r="N852" t="s">
        <v>3712</v>
      </c>
      <c r="O852" t="s">
        <v>46</v>
      </c>
      <c r="P852" t="s">
        <v>57</v>
      </c>
      <c r="Q852" t="s">
        <v>58</v>
      </c>
      <c r="R852">
        <v>19952.09</v>
      </c>
      <c r="S852" s="25" t="e">
        <f>IF(Table1[[#This Row],[Sales]]=MIN(Table1[Sales]), Table1[[#This Row],[Sales]], NA())</f>
        <v>#N/A</v>
      </c>
      <c r="T852" s="25">
        <f>IF(AND(Table1[[#This Row],[Sales]]&lt;&gt;MIN(Table1[Sales]),Table1[[#This Row],[Sales]]&lt;&gt;MAX(Table1[Sales])), Table1[[#This Row],[Sales]], NA())</f>
        <v>19952.09</v>
      </c>
      <c r="U852" s="25" t="e">
        <f>IF(Table1[[#This Row],[Sales]]=MAX(Table1[Sales]), Table1[[#This Row],[Sales]], NA())</f>
        <v>#N/A</v>
      </c>
      <c r="V852">
        <v>8</v>
      </c>
      <c r="W852">
        <v>0</v>
      </c>
      <c r="X852">
        <v>1596.17</v>
      </c>
      <c r="Y852" s="3">
        <f>YEAR(Table1[[#This Row],[Order Date]])</f>
        <v>2024</v>
      </c>
      <c r="Z852" s="3" t="str">
        <f>TEXT(Table1[[#This Row],[Order Date]],"MMM")</f>
        <v>Sep</v>
      </c>
      <c r="AA852" s="3">
        <f>DAY(Table1[[#This Row],[Order Date]])</f>
        <v>2</v>
      </c>
    </row>
    <row r="853" spans="1:27" x14ac:dyDescent="0.35">
      <c r="A853" s="1">
        <v>852</v>
      </c>
      <c r="B853" s="1" t="s">
        <v>3713</v>
      </c>
      <c r="C853" s="1" t="s">
        <v>3173</v>
      </c>
      <c r="D853" s="1" t="s">
        <v>3174</v>
      </c>
      <c r="E853" t="s">
        <v>115</v>
      </c>
      <c r="F853" t="s">
        <v>3714</v>
      </c>
      <c r="G853" t="s">
        <v>81</v>
      </c>
      <c r="H853" t="s">
        <v>94</v>
      </c>
      <c r="I853" s="1" t="s">
        <v>28</v>
      </c>
      <c r="J853" t="s">
        <v>128</v>
      </c>
      <c r="K853" t="s">
        <v>129</v>
      </c>
      <c r="L853" s="1">
        <v>114138</v>
      </c>
      <c r="M853" s="1" t="s">
        <v>66</v>
      </c>
      <c r="N853" t="s">
        <v>3715</v>
      </c>
      <c r="O853" t="s">
        <v>68</v>
      </c>
      <c r="P853" t="s">
        <v>69</v>
      </c>
      <c r="Q853" t="s">
        <v>70</v>
      </c>
      <c r="R853">
        <v>76214.73</v>
      </c>
      <c r="S853" s="25" t="e">
        <f>IF(Table1[[#This Row],[Sales]]=MIN(Table1[Sales]), Table1[[#This Row],[Sales]], NA())</f>
        <v>#N/A</v>
      </c>
      <c r="T853" s="25">
        <f>IF(AND(Table1[[#This Row],[Sales]]&lt;&gt;MIN(Table1[Sales]),Table1[[#This Row],[Sales]]&lt;&gt;MAX(Table1[Sales])), Table1[[#This Row],[Sales]], NA())</f>
        <v>76214.73</v>
      </c>
      <c r="U853" s="25" t="e">
        <f>IF(Table1[[#This Row],[Sales]]=MAX(Table1[Sales]), Table1[[#This Row],[Sales]], NA())</f>
        <v>#N/A</v>
      </c>
      <c r="V853">
        <v>6</v>
      </c>
      <c r="W853">
        <v>0.1</v>
      </c>
      <c r="X853">
        <v>4191.8100000000004</v>
      </c>
      <c r="Y853" s="3">
        <f>YEAR(Table1[[#This Row],[Order Date]])</f>
        <v>2021</v>
      </c>
      <c r="Z853" s="3" t="str">
        <f>TEXT(Table1[[#This Row],[Order Date]],"MMM")</f>
        <v>Apr</v>
      </c>
      <c r="AA853" s="3">
        <f>DAY(Table1[[#This Row],[Order Date]])</f>
        <v>15</v>
      </c>
    </row>
    <row r="854" spans="1:27" x14ac:dyDescent="0.35">
      <c r="A854" s="1">
        <v>853</v>
      </c>
      <c r="B854" s="1" t="s">
        <v>3716</v>
      </c>
      <c r="C854" s="1" t="s">
        <v>3717</v>
      </c>
      <c r="D854" s="1" t="s">
        <v>3718</v>
      </c>
      <c r="E854" t="s">
        <v>62</v>
      </c>
      <c r="F854" t="s">
        <v>3719</v>
      </c>
      <c r="G854" t="s">
        <v>87</v>
      </c>
      <c r="H854" t="s">
        <v>41</v>
      </c>
      <c r="I854" s="1" t="s">
        <v>28</v>
      </c>
      <c r="J854" t="s">
        <v>42</v>
      </c>
      <c r="K854" t="s">
        <v>43</v>
      </c>
      <c r="L854" s="1">
        <v>402154</v>
      </c>
      <c r="M854" s="1" t="s">
        <v>44</v>
      </c>
      <c r="N854" t="s">
        <v>3720</v>
      </c>
      <c r="O854" t="s">
        <v>46</v>
      </c>
      <c r="P854" t="s">
        <v>47</v>
      </c>
      <c r="Q854" t="s">
        <v>48</v>
      </c>
      <c r="R854">
        <v>64055.03</v>
      </c>
      <c r="S854" s="25" t="e">
        <f>IF(Table1[[#This Row],[Sales]]=MIN(Table1[Sales]), Table1[[#This Row],[Sales]], NA())</f>
        <v>#N/A</v>
      </c>
      <c r="T854" s="25">
        <f>IF(AND(Table1[[#This Row],[Sales]]&lt;&gt;MIN(Table1[Sales]),Table1[[#This Row],[Sales]]&lt;&gt;MAX(Table1[Sales])), Table1[[#This Row],[Sales]], NA())</f>
        <v>64055.03</v>
      </c>
      <c r="U854" s="25" t="e">
        <f>IF(Table1[[#This Row],[Sales]]=MAX(Table1[Sales]), Table1[[#This Row],[Sales]], NA())</f>
        <v>#N/A</v>
      </c>
      <c r="V854">
        <v>2</v>
      </c>
      <c r="W854">
        <v>0.1</v>
      </c>
      <c r="X854">
        <v>3523.03</v>
      </c>
      <c r="Y854" s="3">
        <f>YEAR(Table1[[#This Row],[Order Date]])</f>
        <v>2022</v>
      </c>
      <c r="Z854" s="3" t="str">
        <f>TEXT(Table1[[#This Row],[Order Date]],"MMM")</f>
        <v>Jul</v>
      </c>
      <c r="AA854" s="3">
        <f>DAY(Table1[[#This Row],[Order Date]])</f>
        <v>23</v>
      </c>
    </row>
    <row r="855" spans="1:27" x14ac:dyDescent="0.35">
      <c r="A855" s="1">
        <v>854</v>
      </c>
      <c r="B855" s="1" t="s">
        <v>3721</v>
      </c>
      <c r="C855" s="1" t="s">
        <v>3722</v>
      </c>
      <c r="D855" s="1" t="s">
        <v>3723</v>
      </c>
      <c r="E855" t="s">
        <v>62</v>
      </c>
      <c r="F855" t="s">
        <v>3724</v>
      </c>
      <c r="G855" t="s">
        <v>140</v>
      </c>
      <c r="H855" t="s">
        <v>41</v>
      </c>
      <c r="I855" s="1" t="s">
        <v>28</v>
      </c>
      <c r="J855" t="s">
        <v>128</v>
      </c>
      <c r="K855" t="s">
        <v>129</v>
      </c>
      <c r="L855" s="1">
        <v>269576</v>
      </c>
      <c r="M855" s="1" t="s">
        <v>66</v>
      </c>
      <c r="N855" t="s">
        <v>3725</v>
      </c>
      <c r="O855" t="s">
        <v>68</v>
      </c>
      <c r="P855" t="s">
        <v>69</v>
      </c>
      <c r="Q855" t="s">
        <v>70</v>
      </c>
      <c r="R855">
        <v>66198.320000000007</v>
      </c>
      <c r="S855" s="25" t="e">
        <f>IF(Table1[[#This Row],[Sales]]=MIN(Table1[Sales]), Table1[[#This Row],[Sales]], NA())</f>
        <v>#N/A</v>
      </c>
      <c r="T855" s="25">
        <f>IF(AND(Table1[[#This Row],[Sales]]&lt;&gt;MIN(Table1[Sales]),Table1[[#This Row],[Sales]]&lt;&gt;MAX(Table1[Sales])), Table1[[#This Row],[Sales]], NA())</f>
        <v>66198.320000000007</v>
      </c>
      <c r="U855" s="25" t="e">
        <f>IF(Table1[[#This Row],[Sales]]=MAX(Table1[Sales]), Table1[[#This Row],[Sales]], NA())</f>
        <v>#N/A</v>
      </c>
      <c r="V855">
        <v>9</v>
      </c>
      <c r="W855">
        <v>0.2</v>
      </c>
      <c r="X855">
        <v>1985.95</v>
      </c>
      <c r="Y855" s="3">
        <f>YEAR(Table1[[#This Row],[Order Date]])</f>
        <v>2022</v>
      </c>
      <c r="Z855" s="3" t="str">
        <f>TEXT(Table1[[#This Row],[Order Date]],"MMM")</f>
        <v>Sep</v>
      </c>
      <c r="AA855" s="3">
        <f>DAY(Table1[[#This Row],[Order Date]])</f>
        <v>24</v>
      </c>
    </row>
    <row r="856" spans="1:27" x14ac:dyDescent="0.35">
      <c r="A856" s="1">
        <v>855</v>
      </c>
      <c r="B856" s="1" t="s">
        <v>3726</v>
      </c>
      <c r="C856" s="1" t="s">
        <v>538</v>
      </c>
      <c r="D856" s="1" t="s">
        <v>573</v>
      </c>
      <c r="E856" t="s">
        <v>62</v>
      </c>
      <c r="F856" t="s">
        <v>3727</v>
      </c>
      <c r="G856" t="s">
        <v>140</v>
      </c>
      <c r="H856" t="s">
        <v>41</v>
      </c>
      <c r="I856" s="1" t="s">
        <v>28</v>
      </c>
      <c r="J856" t="s">
        <v>64</v>
      </c>
      <c r="K856" t="s">
        <v>65</v>
      </c>
      <c r="L856" s="1">
        <v>882242</v>
      </c>
      <c r="M856" s="1" t="s">
        <v>66</v>
      </c>
      <c r="N856" t="s">
        <v>3728</v>
      </c>
      <c r="O856" t="s">
        <v>32</v>
      </c>
      <c r="P856" t="s">
        <v>33</v>
      </c>
      <c r="Q856" t="s">
        <v>34</v>
      </c>
      <c r="R856">
        <v>63402.1</v>
      </c>
      <c r="S856" s="25" t="e">
        <f>IF(Table1[[#This Row],[Sales]]=MIN(Table1[Sales]), Table1[[#This Row],[Sales]], NA())</f>
        <v>#N/A</v>
      </c>
      <c r="T856" s="25">
        <f>IF(AND(Table1[[#This Row],[Sales]]&lt;&gt;MIN(Table1[Sales]),Table1[[#This Row],[Sales]]&lt;&gt;MAX(Table1[Sales])), Table1[[#This Row],[Sales]], NA())</f>
        <v>63402.1</v>
      </c>
      <c r="U856" s="25" t="e">
        <f>IF(Table1[[#This Row],[Sales]]=MAX(Table1[Sales]), Table1[[#This Row],[Sales]], NA())</f>
        <v>#N/A</v>
      </c>
      <c r="V856">
        <v>5</v>
      </c>
      <c r="W856">
        <v>0.3</v>
      </c>
      <c r="X856">
        <v>317.01</v>
      </c>
      <c r="Y856" s="3">
        <f>YEAR(Table1[[#This Row],[Order Date]])</f>
        <v>2023</v>
      </c>
      <c r="Z856" s="3" t="str">
        <f>TEXT(Table1[[#This Row],[Order Date]],"MMM")</f>
        <v>Jan</v>
      </c>
      <c r="AA856" s="3">
        <f>DAY(Table1[[#This Row],[Order Date]])</f>
        <v>1</v>
      </c>
    </row>
    <row r="857" spans="1:27" x14ac:dyDescent="0.35">
      <c r="A857" s="1">
        <v>856</v>
      </c>
      <c r="B857" s="1" t="s">
        <v>3729</v>
      </c>
      <c r="C857" s="1" t="s">
        <v>3212</v>
      </c>
      <c r="D857" s="1" t="s">
        <v>3555</v>
      </c>
      <c r="E857" t="s">
        <v>24</v>
      </c>
      <c r="F857" t="s">
        <v>3730</v>
      </c>
      <c r="G857" t="s">
        <v>93</v>
      </c>
      <c r="H857" t="s">
        <v>41</v>
      </c>
      <c r="I857" s="1" t="s">
        <v>28</v>
      </c>
      <c r="J857" t="s">
        <v>42</v>
      </c>
      <c r="K857" t="s">
        <v>43</v>
      </c>
      <c r="L857" s="1">
        <v>960178</v>
      </c>
      <c r="M857" s="1" t="s">
        <v>44</v>
      </c>
      <c r="N857" t="s">
        <v>3731</v>
      </c>
      <c r="O857" t="s">
        <v>68</v>
      </c>
      <c r="P857" t="s">
        <v>69</v>
      </c>
      <c r="Q857" t="s">
        <v>70</v>
      </c>
      <c r="R857">
        <v>69555.759999999995</v>
      </c>
      <c r="S857" s="25" t="e">
        <f>IF(Table1[[#This Row],[Sales]]=MIN(Table1[Sales]), Table1[[#This Row],[Sales]], NA())</f>
        <v>#N/A</v>
      </c>
      <c r="T857" s="25">
        <f>IF(AND(Table1[[#This Row],[Sales]]&lt;&gt;MIN(Table1[Sales]),Table1[[#This Row],[Sales]]&lt;&gt;MAX(Table1[Sales])), Table1[[#This Row],[Sales]], NA())</f>
        <v>69555.759999999995</v>
      </c>
      <c r="U857" s="25" t="e">
        <f>IF(Table1[[#This Row],[Sales]]=MAX(Table1[Sales]), Table1[[#This Row],[Sales]], NA())</f>
        <v>#N/A</v>
      </c>
      <c r="V857">
        <v>4</v>
      </c>
      <c r="W857">
        <v>0</v>
      </c>
      <c r="X857">
        <v>5564.46</v>
      </c>
      <c r="Y857" s="3">
        <f>YEAR(Table1[[#This Row],[Order Date]])</f>
        <v>2025</v>
      </c>
      <c r="Z857" s="3" t="str">
        <f>TEXT(Table1[[#This Row],[Order Date]],"MMM")</f>
        <v>Jul</v>
      </c>
      <c r="AA857" s="3">
        <f>DAY(Table1[[#This Row],[Order Date]])</f>
        <v>12</v>
      </c>
    </row>
    <row r="858" spans="1:27" x14ac:dyDescent="0.35">
      <c r="A858" s="1">
        <v>857</v>
      </c>
      <c r="B858" s="1" t="s">
        <v>3732</v>
      </c>
      <c r="C858" s="1" t="s">
        <v>3733</v>
      </c>
      <c r="D858" s="1" t="s">
        <v>3734</v>
      </c>
      <c r="E858" t="s">
        <v>24</v>
      </c>
      <c r="F858" t="s">
        <v>3735</v>
      </c>
      <c r="G858" t="s">
        <v>93</v>
      </c>
      <c r="H858" t="s">
        <v>27</v>
      </c>
      <c r="I858" s="1" t="s">
        <v>28</v>
      </c>
      <c r="J858" t="s">
        <v>64</v>
      </c>
      <c r="K858" t="s">
        <v>65</v>
      </c>
      <c r="L858" s="1">
        <v>830828</v>
      </c>
      <c r="M858" s="1" t="s">
        <v>66</v>
      </c>
      <c r="N858" t="s">
        <v>3736</v>
      </c>
      <c r="O858" t="s">
        <v>46</v>
      </c>
      <c r="P858" t="s">
        <v>47</v>
      </c>
      <c r="Q858" t="s">
        <v>48</v>
      </c>
      <c r="R858">
        <v>72964.92</v>
      </c>
      <c r="S858" s="25" t="e">
        <f>IF(Table1[[#This Row],[Sales]]=MIN(Table1[Sales]), Table1[[#This Row],[Sales]], NA())</f>
        <v>#N/A</v>
      </c>
      <c r="T858" s="25">
        <f>IF(AND(Table1[[#This Row],[Sales]]&lt;&gt;MIN(Table1[Sales]),Table1[[#This Row],[Sales]]&lt;&gt;MAX(Table1[Sales])), Table1[[#This Row],[Sales]], NA())</f>
        <v>72964.92</v>
      </c>
      <c r="U858" s="25" t="e">
        <f>IF(Table1[[#This Row],[Sales]]=MAX(Table1[Sales]), Table1[[#This Row],[Sales]], NA())</f>
        <v>#N/A</v>
      </c>
      <c r="V858">
        <v>1</v>
      </c>
      <c r="W858">
        <v>0.2</v>
      </c>
      <c r="X858">
        <v>2188.9499999999998</v>
      </c>
      <c r="Y858" s="3">
        <f>YEAR(Table1[[#This Row],[Order Date]])</f>
        <v>2022</v>
      </c>
      <c r="Z858" s="3" t="str">
        <f>TEXT(Table1[[#This Row],[Order Date]],"MMM")</f>
        <v>Nov</v>
      </c>
      <c r="AA858" s="3">
        <f>DAY(Table1[[#This Row],[Order Date]])</f>
        <v>15</v>
      </c>
    </row>
    <row r="859" spans="1:27" x14ac:dyDescent="0.35">
      <c r="A859" s="1">
        <v>858</v>
      </c>
      <c r="B859" s="1" t="s">
        <v>3737</v>
      </c>
      <c r="C859" s="1" t="s">
        <v>3738</v>
      </c>
      <c r="D859" s="1" t="s">
        <v>2403</v>
      </c>
      <c r="E859" t="s">
        <v>24</v>
      </c>
      <c r="F859" t="s">
        <v>3739</v>
      </c>
      <c r="G859" t="s">
        <v>81</v>
      </c>
      <c r="H859" t="s">
        <v>41</v>
      </c>
      <c r="I859" s="1" t="s">
        <v>28</v>
      </c>
      <c r="J859" t="s">
        <v>128</v>
      </c>
      <c r="K859" t="s">
        <v>129</v>
      </c>
      <c r="L859" s="1">
        <v>604059</v>
      </c>
      <c r="M859" s="1" t="s">
        <v>66</v>
      </c>
      <c r="N859" t="s">
        <v>3740</v>
      </c>
      <c r="O859" t="s">
        <v>68</v>
      </c>
      <c r="P859" t="s">
        <v>69</v>
      </c>
      <c r="Q859" t="s">
        <v>70</v>
      </c>
      <c r="R859">
        <v>84331.63</v>
      </c>
      <c r="S859" s="25" t="e">
        <f>IF(Table1[[#This Row],[Sales]]=MIN(Table1[Sales]), Table1[[#This Row],[Sales]], NA())</f>
        <v>#N/A</v>
      </c>
      <c r="T859" s="25">
        <f>IF(AND(Table1[[#This Row],[Sales]]&lt;&gt;MIN(Table1[Sales]),Table1[[#This Row],[Sales]]&lt;&gt;MAX(Table1[Sales])), Table1[[#This Row],[Sales]], NA())</f>
        <v>84331.63</v>
      </c>
      <c r="U859" s="25" t="e">
        <f>IF(Table1[[#This Row],[Sales]]=MAX(Table1[Sales]), Table1[[#This Row],[Sales]], NA())</f>
        <v>#N/A</v>
      </c>
      <c r="V859">
        <v>4</v>
      </c>
      <c r="W859">
        <v>0.1</v>
      </c>
      <c r="X859">
        <v>4638.24</v>
      </c>
      <c r="Y859" s="3">
        <f>YEAR(Table1[[#This Row],[Order Date]])</f>
        <v>2023</v>
      </c>
      <c r="Z859" s="3" t="str">
        <f>TEXT(Table1[[#This Row],[Order Date]],"MMM")</f>
        <v>Mar</v>
      </c>
      <c r="AA859" s="3">
        <f>DAY(Table1[[#This Row],[Order Date]])</f>
        <v>18</v>
      </c>
    </row>
    <row r="860" spans="1:27" x14ac:dyDescent="0.35">
      <c r="A860" s="1">
        <v>859</v>
      </c>
      <c r="B860" s="1" t="s">
        <v>3741</v>
      </c>
      <c r="C860" s="1" t="s">
        <v>3742</v>
      </c>
      <c r="D860" s="1" t="s">
        <v>3743</v>
      </c>
      <c r="E860" t="s">
        <v>24</v>
      </c>
      <c r="F860" t="s">
        <v>3744</v>
      </c>
      <c r="G860" t="s">
        <v>87</v>
      </c>
      <c r="H860" t="s">
        <v>27</v>
      </c>
      <c r="I860" s="1" t="s">
        <v>28</v>
      </c>
      <c r="J860" t="s">
        <v>42</v>
      </c>
      <c r="K860" t="s">
        <v>43</v>
      </c>
      <c r="L860" s="1">
        <v>593902</v>
      </c>
      <c r="M860" s="1" t="s">
        <v>44</v>
      </c>
      <c r="N860" t="s">
        <v>3745</v>
      </c>
      <c r="O860" t="s">
        <v>32</v>
      </c>
      <c r="P860" t="s">
        <v>33</v>
      </c>
      <c r="Q860" t="s">
        <v>34</v>
      </c>
      <c r="R860">
        <v>56419.7</v>
      </c>
      <c r="S860" s="25" t="e">
        <f>IF(Table1[[#This Row],[Sales]]=MIN(Table1[Sales]), Table1[[#This Row],[Sales]], NA())</f>
        <v>#N/A</v>
      </c>
      <c r="T860" s="25">
        <f>IF(AND(Table1[[#This Row],[Sales]]&lt;&gt;MIN(Table1[Sales]),Table1[[#This Row],[Sales]]&lt;&gt;MAX(Table1[Sales])), Table1[[#This Row],[Sales]], NA())</f>
        <v>56419.7</v>
      </c>
      <c r="U860" s="25" t="e">
        <f>IF(Table1[[#This Row],[Sales]]=MAX(Table1[Sales]), Table1[[#This Row],[Sales]], NA())</f>
        <v>#N/A</v>
      </c>
      <c r="V860">
        <v>8</v>
      </c>
      <c r="W860">
        <v>0.3</v>
      </c>
      <c r="X860">
        <v>282.10000000000002</v>
      </c>
      <c r="Y860" s="3">
        <f>YEAR(Table1[[#This Row],[Order Date]])</f>
        <v>2021</v>
      </c>
      <c r="Z860" s="3" t="str">
        <f>TEXT(Table1[[#This Row],[Order Date]],"MMM")</f>
        <v>Dec</v>
      </c>
      <c r="AA860" s="3">
        <f>DAY(Table1[[#This Row],[Order Date]])</f>
        <v>23</v>
      </c>
    </row>
    <row r="861" spans="1:27" x14ac:dyDescent="0.35">
      <c r="A861" s="1">
        <v>860</v>
      </c>
      <c r="B861" s="1" t="s">
        <v>3746</v>
      </c>
      <c r="C861" s="1" t="s">
        <v>3666</v>
      </c>
      <c r="D861" s="1" t="s">
        <v>3747</v>
      </c>
      <c r="E861" t="s">
        <v>38</v>
      </c>
      <c r="F861" t="s">
        <v>3748</v>
      </c>
      <c r="G861" t="s">
        <v>81</v>
      </c>
      <c r="H861" t="s">
        <v>94</v>
      </c>
      <c r="I861" s="1" t="s">
        <v>28</v>
      </c>
      <c r="J861" t="s">
        <v>128</v>
      </c>
      <c r="K861" t="s">
        <v>129</v>
      </c>
      <c r="L861" s="1">
        <v>519200</v>
      </c>
      <c r="M861" s="1" t="s">
        <v>66</v>
      </c>
      <c r="N861" t="s">
        <v>3749</v>
      </c>
      <c r="O861" t="s">
        <v>32</v>
      </c>
      <c r="P861" t="s">
        <v>33</v>
      </c>
      <c r="Q861" t="s">
        <v>34</v>
      </c>
      <c r="R861">
        <v>32853.1</v>
      </c>
      <c r="S861" s="25" t="e">
        <f>IF(Table1[[#This Row],[Sales]]=MIN(Table1[Sales]), Table1[[#This Row],[Sales]], NA())</f>
        <v>#N/A</v>
      </c>
      <c r="T861" s="25">
        <f>IF(AND(Table1[[#This Row],[Sales]]&lt;&gt;MIN(Table1[Sales]),Table1[[#This Row],[Sales]]&lt;&gt;MAX(Table1[Sales])), Table1[[#This Row],[Sales]], NA())</f>
        <v>32853.1</v>
      </c>
      <c r="U861" s="25" t="e">
        <f>IF(Table1[[#This Row],[Sales]]=MAX(Table1[Sales]), Table1[[#This Row],[Sales]], NA())</f>
        <v>#N/A</v>
      </c>
      <c r="V861">
        <v>6</v>
      </c>
      <c r="W861">
        <v>0.3</v>
      </c>
      <c r="X861">
        <v>164.27</v>
      </c>
      <c r="Y861" s="3">
        <f>YEAR(Table1[[#This Row],[Order Date]])</f>
        <v>2021</v>
      </c>
      <c r="Z861" s="3" t="str">
        <f>TEXT(Table1[[#This Row],[Order Date]],"MMM")</f>
        <v>Nov</v>
      </c>
      <c r="AA861" s="3">
        <f>DAY(Table1[[#This Row],[Order Date]])</f>
        <v>27</v>
      </c>
    </row>
    <row r="862" spans="1:27" x14ac:dyDescent="0.35">
      <c r="A862" s="1">
        <v>861</v>
      </c>
      <c r="B862" s="1" t="s">
        <v>3750</v>
      </c>
      <c r="C862" s="1" t="s">
        <v>2408</v>
      </c>
      <c r="D862" s="1" t="s">
        <v>606</v>
      </c>
      <c r="E862" t="s">
        <v>38</v>
      </c>
      <c r="F862" t="s">
        <v>3751</v>
      </c>
      <c r="G862" t="s">
        <v>75</v>
      </c>
      <c r="H862" t="s">
        <v>27</v>
      </c>
      <c r="I862" s="1" t="s">
        <v>28</v>
      </c>
      <c r="J862" t="s">
        <v>53</v>
      </c>
      <c r="K862" t="s">
        <v>54</v>
      </c>
      <c r="L862" s="1">
        <v>394349</v>
      </c>
      <c r="M862" s="1" t="s">
        <v>55</v>
      </c>
      <c r="N862" t="s">
        <v>3752</v>
      </c>
      <c r="O862" t="s">
        <v>68</v>
      </c>
      <c r="P862" t="s">
        <v>69</v>
      </c>
      <c r="Q862" t="s">
        <v>70</v>
      </c>
      <c r="R862">
        <v>65529.2</v>
      </c>
      <c r="S862" s="25" t="e">
        <f>IF(Table1[[#This Row],[Sales]]=MIN(Table1[Sales]), Table1[[#This Row],[Sales]], NA())</f>
        <v>#N/A</v>
      </c>
      <c r="T862" s="25">
        <f>IF(AND(Table1[[#This Row],[Sales]]&lt;&gt;MIN(Table1[Sales]),Table1[[#This Row],[Sales]]&lt;&gt;MAX(Table1[Sales])), Table1[[#This Row],[Sales]], NA())</f>
        <v>65529.2</v>
      </c>
      <c r="U862" s="25" t="e">
        <f>IF(Table1[[#This Row],[Sales]]=MAX(Table1[Sales]), Table1[[#This Row],[Sales]], NA())</f>
        <v>#N/A</v>
      </c>
      <c r="V862">
        <v>9</v>
      </c>
      <c r="W862">
        <v>0.1</v>
      </c>
      <c r="X862">
        <v>3604.11</v>
      </c>
      <c r="Y862" s="3">
        <f>YEAR(Table1[[#This Row],[Order Date]])</f>
        <v>2025</v>
      </c>
      <c r="Z862" s="3" t="str">
        <f>TEXT(Table1[[#This Row],[Order Date]],"MMM")</f>
        <v>Nov</v>
      </c>
      <c r="AA862" s="3">
        <f>DAY(Table1[[#This Row],[Order Date]])</f>
        <v>3</v>
      </c>
    </row>
    <row r="863" spans="1:27" x14ac:dyDescent="0.35">
      <c r="A863" s="1">
        <v>862</v>
      </c>
      <c r="B863" s="1" t="s">
        <v>3753</v>
      </c>
      <c r="C863" s="1" t="s">
        <v>2507</v>
      </c>
      <c r="D863" s="1" t="s">
        <v>3754</v>
      </c>
      <c r="E863" t="s">
        <v>62</v>
      </c>
      <c r="F863" t="s">
        <v>3755</v>
      </c>
      <c r="G863" t="s">
        <v>110</v>
      </c>
      <c r="H863" t="s">
        <v>41</v>
      </c>
      <c r="I863" s="1" t="s">
        <v>28</v>
      </c>
      <c r="J863" t="s">
        <v>64</v>
      </c>
      <c r="K863" t="s">
        <v>65</v>
      </c>
      <c r="L863" s="1">
        <v>495863</v>
      </c>
      <c r="M863" s="1" t="s">
        <v>66</v>
      </c>
      <c r="N863" t="s">
        <v>3756</v>
      </c>
      <c r="O863" t="s">
        <v>46</v>
      </c>
      <c r="P863" t="s">
        <v>47</v>
      </c>
      <c r="Q863" t="s">
        <v>48</v>
      </c>
      <c r="R863">
        <v>99484.37</v>
      </c>
      <c r="S863" s="25" t="e">
        <f>IF(Table1[[#This Row],[Sales]]=MIN(Table1[Sales]), Table1[[#This Row],[Sales]], NA())</f>
        <v>#N/A</v>
      </c>
      <c r="T863" s="25">
        <f>IF(AND(Table1[[#This Row],[Sales]]&lt;&gt;MIN(Table1[Sales]),Table1[[#This Row],[Sales]]&lt;&gt;MAX(Table1[Sales])), Table1[[#This Row],[Sales]], NA())</f>
        <v>99484.37</v>
      </c>
      <c r="U863" s="25" t="e">
        <f>IF(Table1[[#This Row],[Sales]]=MAX(Table1[Sales]), Table1[[#This Row],[Sales]], NA())</f>
        <v>#N/A</v>
      </c>
      <c r="V863">
        <v>3</v>
      </c>
      <c r="W863">
        <v>0</v>
      </c>
      <c r="X863">
        <v>7958.75</v>
      </c>
      <c r="Y863" s="3">
        <f>YEAR(Table1[[#This Row],[Order Date]])</f>
        <v>2025</v>
      </c>
      <c r="Z863" s="3" t="str">
        <f>TEXT(Table1[[#This Row],[Order Date]],"MMM")</f>
        <v>Apr</v>
      </c>
      <c r="AA863" s="3">
        <f>DAY(Table1[[#This Row],[Order Date]])</f>
        <v>21</v>
      </c>
    </row>
    <row r="864" spans="1:27" x14ac:dyDescent="0.35">
      <c r="A864" s="1">
        <v>863</v>
      </c>
      <c r="B864" s="1" t="s">
        <v>3757</v>
      </c>
      <c r="C864" s="1" t="s">
        <v>1596</v>
      </c>
      <c r="D864" s="1" t="s">
        <v>3758</v>
      </c>
      <c r="E864" t="s">
        <v>38</v>
      </c>
      <c r="F864" t="s">
        <v>3759</v>
      </c>
      <c r="G864" t="s">
        <v>87</v>
      </c>
      <c r="H864" t="s">
        <v>41</v>
      </c>
      <c r="I864" s="1" t="s">
        <v>28</v>
      </c>
      <c r="J864" t="s">
        <v>53</v>
      </c>
      <c r="K864" t="s">
        <v>54</v>
      </c>
      <c r="L864" s="1">
        <v>115785</v>
      </c>
      <c r="M864" s="1" t="s">
        <v>55</v>
      </c>
      <c r="N864" t="s">
        <v>3760</v>
      </c>
      <c r="O864" t="s">
        <v>32</v>
      </c>
      <c r="P864" t="s">
        <v>33</v>
      </c>
      <c r="Q864" t="s">
        <v>34</v>
      </c>
      <c r="R864">
        <v>329.24</v>
      </c>
      <c r="S864" s="25" t="e">
        <f>IF(Table1[[#This Row],[Sales]]=MIN(Table1[Sales]), Table1[[#This Row],[Sales]], NA())</f>
        <v>#N/A</v>
      </c>
      <c r="T864" s="25">
        <f>IF(AND(Table1[[#This Row],[Sales]]&lt;&gt;MIN(Table1[Sales]),Table1[[#This Row],[Sales]]&lt;&gt;MAX(Table1[Sales])), Table1[[#This Row],[Sales]], NA())</f>
        <v>329.24</v>
      </c>
      <c r="U864" s="25" t="e">
        <f>IF(Table1[[#This Row],[Sales]]=MAX(Table1[Sales]), Table1[[#This Row],[Sales]], NA())</f>
        <v>#N/A</v>
      </c>
      <c r="V864">
        <v>9</v>
      </c>
      <c r="W864">
        <v>0.1</v>
      </c>
      <c r="X864">
        <v>18.11</v>
      </c>
      <c r="Y864" s="3">
        <f>YEAR(Table1[[#This Row],[Order Date]])</f>
        <v>2021</v>
      </c>
      <c r="Z864" s="3" t="str">
        <f>TEXT(Table1[[#This Row],[Order Date]],"MMM")</f>
        <v>Apr</v>
      </c>
      <c r="AA864" s="3">
        <f>DAY(Table1[[#This Row],[Order Date]])</f>
        <v>23</v>
      </c>
    </row>
    <row r="865" spans="1:27" x14ac:dyDescent="0.35">
      <c r="A865" s="1">
        <v>864</v>
      </c>
      <c r="B865" s="1" t="s">
        <v>3761</v>
      </c>
      <c r="C865" s="1" t="s">
        <v>3762</v>
      </c>
      <c r="D865" s="1" t="s">
        <v>3704</v>
      </c>
      <c r="E865" t="s">
        <v>38</v>
      </c>
      <c r="F865" t="s">
        <v>3763</v>
      </c>
      <c r="G865" t="s">
        <v>87</v>
      </c>
      <c r="H865" t="s">
        <v>27</v>
      </c>
      <c r="I865" s="1" t="s">
        <v>28</v>
      </c>
      <c r="J865" t="s">
        <v>29</v>
      </c>
      <c r="K865" t="s">
        <v>29</v>
      </c>
      <c r="L865" s="1">
        <v>119971</v>
      </c>
      <c r="M865" s="1" t="s">
        <v>30</v>
      </c>
      <c r="N865" t="s">
        <v>3764</v>
      </c>
      <c r="O865" t="s">
        <v>32</v>
      </c>
      <c r="P865" t="s">
        <v>33</v>
      </c>
      <c r="Q865" t="s">
        <v>34</v>
      </c>
      <c r="R865">
        <v>87153.3</v>
      </c>
      <c r="S865" s="25" t="e">
        <f>IF(Table1[[#This Row],[Sales]]=MIN(Table1[Sales]), Table1[[#This Row],[Sales]], NA())</f>
        <v>#N/A</v>
      </c>
      <c r="T865" s="25">
        <f>IF(AND(Table1[[#This Row],[Sales]]&lt;&gt;MIN(Table1[Sales]),Table1[[#This Row],[Sales]]&lt;&gt;MAX(Table1[Sales])), Table1[[#This Row],[Sales]], NA())</f>
        <v>87153.3</v>
      </c>
      <c r="U865" s="25" t="e">
        <f>IF(Table1[[#This Row],[Sales]]=MAX(Table1[Sales]), Table1[[#This Row],[Sales]], NA())</f>
        <v>#N/A</v>
      </c>
      <c r="V865">
        <v>4</v>
      </c>
      <c r="W865">
        <v>0.3</v>
      </c>
      <c r="X865">
        <v>435.77</v>
      </c>
      <c r="Y865" s="3">
        <f>YEAR(Table1[[#This Row],[Order Date]])</f>
        <v>2024</v>
      </c>
      <c r="Z865" s="3" t="str">
        <f>TEXT(Table1[[#This Row],[Order Date]],"MMM")</f>
        <v>Oct</v>
      </c>
      <c r="AA865" s="3">
        <f>DAY(Table1[[#This Row],[Order Date]])</f>
        <v>18</v>
      </c>
    </row>
    <row r="866" spans="1:27" x14ac:dyDescent="0.35">
      <c r="A866" s="1">
        <v>865</v>
      </c>
      <c r="B866" s="1" t="s">
        <v>3765</v>
      </c>
      <c r="C866" s="1" t="s">
        <v>835</v>
      </c>
      <c r="D866" s="1" t="s">
        <v>2404</v>
      </c>
      <c r="E866" t="s">
        <v>115</v>
      </c>
      <c r="F866" t="s">
        <v>3766</v>
      </c>
      <c r="G866" t="s">
        <v>75</v>
      </c>
      <c r="H866" t="s">
        <v>94</v>
      </c>
      <c r="I866" s="1" t="s">
        <v>28</v>
      </c>
      <c r="J866" t="s">
        <v>53</v>
      </c>
      <c r="K866" t="s">
        <v>54</v>
      </c>
      <c r="L866" s="1">
        <v>953351</v>
      </c>
      <c r="M866" s="1" t="s">
        <v>55</v>
      </c>
      <c r="N866" t="s">
        <v>3767</v>
      </c>
      <c r="O866" t="s">
        <v>46</v>
      </c>
      <c r="P866" t="s">
        <v>57</v>
      </c>
      <c r="Q866" t="s">
        <v>58</v>
      </c>
      <c r="R866">
        <v>42289.62</v>
      </c>
      <c r="S866" s="25" t="e">
        <f>IF(Table1[[#This Row],[Sales]]=MIN(Table1[Sales]), Table1[[#This Row],[Sales]], NA())</f>
        <v>#N/A</v>
      </c>
      <c r="T866" s="25">
        <f>IF(AND(Table1[[#This Row],[Sales]]&lt;&gt;MIN(Table1[Sales]),Table1[[#This Row],[Sales]]&lt;&gt;MAX(Table1[Sales])), Table1[[#This Row],[Sales]], NA())</f>
        <v>42289.62</v>
      </c>
      <c r="U866" s="25" t="e">
        <f>IF(Table1[[#This Row],[Sales]]=MAX(Table1[Sales]), Table1[[#This Row],[Sales]], NA())</f>
        <v>#N/A</v>
      </c>
      <c r="V866">
        <v>9</v>
      </c>
      <c r="W866">
        <v>0.1</v>
      </c>
      <c r="X866">
        <v>2325.9299999999998</v>
      </c>
      <c r="Y866" s="3">
        <f>YEAR(Table1[[#This Row],[Order Date]])</f>
        <v>2023</v>
      </c>
      <c r="Z866" s="3" t="str">
        <f>TEXT(Table1[[#This Row],[Order Date]],"MMM")</f>
        <v>Mar</v>
      </c>
      <c r="AA866" s="3">
        <f>DAY(Table1[[#This Row],[Order Date]])</f>
        <v>25</v>
      </c>
    </row>
    <row r="867" spans="1:27" x14ac:dyDescent="0.35">
      <c r="A867" s="1">
        <v>866</v>
      </c>
      <c r="B867" s="1" t="s">
        <v>3768</v>
      </c>
      <c r="C867" s="1" t="s">
        <v>3769</v>
      </c>
      <c r="D867" s="1" t="s">
        <v>2550</v>
      </c>
      <c r="E867" t="s">
        <v>24</v>
      </c>
      <c r="F867" t="s">
        <v>3770</v>
      </c>
      <c r="G867" t="s">
        <v>110</v>
      </c>
      <c r="H867" t="s">
        <v>94</v>
      </c>
      <c r="I867" s="1" t="s">
        <v>28</v>
      </c>
      <c r="J867" t="s">
        <v>128</v>
      </c>
      <c r="K867" t="s">
        <v>129</v>
      </c>
      <c r="L867" s="1">
        <v>431911</v>
      </c>
      <c r="M867" s="1" t="s">
        <v>66</v>
      </c>
      <c r="N867" t="s">
        <v>3771</v>
      </c>
      <c r="O867" t="s">
        <v>32</v>
      </c>
      <c r="P867" t="s">
        <v>33</v>
      </c>
      <c r="Q867" t="s">
        <v>34</v>
      </c>
      <c r="R867">
        <v>58308.07</v>
      </c>
      <c r="S867" s="25" t="e">
        <f>IF(Table1[[#This Row],[Sales]]=MIN(Table1[Sales]), Table1[[#This Row],[Sales]], NA())</f>
        <v>#N/A</v>
      </c>
      <c r="T867" s="25">
        <f>IF(AND(Table1[[#This Row],[Sales]]&lt;&gt;MIN(Table1[Sales]),Table1[[#This Row],[Sales]]&lt;&gt;MAX(Table1[Sales])), Table1[[#This Row],[Sales]], NA())</f>
        <v>58308.07</v>
      </c>
      <c r="U867" s="25" t="e">
        <f>IF(Table1[[#This Row],[Sales]]=MAX(Table1[Sales]), Table1[[#This Row],[Sales]], NA())</f>
        <v>#N/A</v>
      </c>
      <c r="V867">
        <v>7</v>
      </c>
      <c r="W867">
        <v>0.2</v>
      </c>
      <c r="X867">
        <v>1749.24</v>
      </c>
      <c r="Y867" s="3">
        <f>YEAR(Table1[[#This Row],[Order Date]])</f>
        <v>2024</v>
      </c>
      <c r="Z867" s="3" t="str">
        <f>TEXT(Table1[[#This Row],[Order Date]],"MMM")</f>
        <v>May</v>
      </c>
      <c r="AA867" s="3">
        <f>DAY(Table1[[#This Row],[Order Date]])</f>
        <v>18</v>
      </c>
    </row>
    <row r="868" spans="1:27" x14ac:dyDescent="0.35">
      <c r="A868" s="1">
        <v>867</v>
      </c>
      <c r="B868" s="1" t="s">
        <v>3772</v>
      </c>
      <c r="C868" s="1" t="s">
        <v>3016</v>
      </c>
      <c r="D868" s="1" t="s">
        <v>2182</v>
      </c>
      <c r="E868" t="s">
        <v>38</v>
      </c>
      <c r="F868" t="s">
        <v>3773</v>
      </c>
      <c r="G868" t="s">
        <v>75</v>
      </c>
      <c r="H868" t="s">
        <v>41</v>
      </c>
      <c r="I868" s="1" t="s">
        <v>28</v>
      </c>
      <c r="J868" t="s">
        <v>29</v>
      </c>
      <c r="K868" t="s">
        <v>29</v>
      </c>
      <c r="L868" s="1">
        <v>559581</v>
      </c>
      <c r="M868" s="1" t="s">
        <v>30</v>
      </c>
      <c r="N868" t="s">
        <v>3774</v>
      </c>
      <c r="O868" t="s">
        <v>46</v>
      </c>
      <c r="P868" t="s">
        <v>57</v>
      </c>
      <c r="Q868" t="s">
        <v>58</v>
      </c>
      <c r="R868">
        <v>65864.75</v>
      </c>
      <c r="S868" s="25" t="e">
        <f>IF(Table1[[#This Row],[Sales]]=MIN(Table1[Sales]), Table1[[#This Row],[Sales]], NA())</f>
        <v>#N/A</v>
      </c>
      <c r="T868" s="25">
        <f>IF(AND(Table1[[#This Row],[Sales]]&lt;&gt;MIN(Table1[Sales]),Table1[[#This Row],[Sales]]&lt;&gt;MAX(Table1[Sales])), Table1[[#This Row],[Sales]], NA())</f>
        <v>65864.75</v>
      </c>
      <c r="U868" s="25" t="e">
        <f>IF(Table1[[#This Row],[Sales]]=MAX(Table1[Sales]), Table1[[#This Row],[Sales]], NA())</f>
        <v>#N/A</v>
      </c>
      <c r="V868">
        <v>8</v>
      </c>
      <c r="W868">
        <v>0</v>
      </c>
      <c r="X868">
        <v>5269.18</v>
      </c>
      <c r="Y868" s="3">
        <f>YEAR(Table1[[#This Row],[Order Date]])</f>
        <v>2021</v>
      </c>
      <c r="Z868" s="3" t="str">
        <f>TEXT(Table1[[#This Row],[Order Date]],"MMM")</f>
        <v>Feb</v>
      </c>
      <c r="AA868" s="3">
        <f>DAY(Table1[[#This Row],[Order Date]])</f>
        <v>1</v>
      </c>
    </row>
    <row r="869" spans="1:27" x14ac:dyDescent="0.35">
      <c r="A869" s="1">
        <v>868</v>
      </c>
      <c r="B869" s="1" t="s">
        <v>3775</v>
      </c>
      <c r="C869" s="1" t="s">
        <v>3776</v>
      </c>
      <c r="D869" s="1" t="s">
        <v>572</v>
      </c>
      <c r="E869" t="s">
        <v>62</v>
      </c>
      <c r="F869" t="s">
        <v>3777</v>
      </c>
      <c r="G869" t="s">
        <v>140</v>
      </c>
      <c r="H869" t="s">
        <v>94</v>
      </c>
      <c r="I869" s="1" t="s">
        <v>28</v>
      </c>
      <c r="J869" t="s">
        <v>29</v>
      </c>
      <c r="K869" t="s">
        <v>29</v>
      </c>
      <c r="L869" s="1">
        <v>144160</v>
      </c>
      <c r="M869" s="1" t="s">
        <v>30</v>
      </c>
      <c r="N869" t="s">
        <v>3778</v>
      </c>
      <c r="O869" t="s">
        <v>32</v>
      </c>
      <c r="P869" t="s">
        <v>33</v>
      </c>
      <c r="Q869" t="s">
        <v>34</v>
      </c>
      <c r="R869">
        <v>57871.65</v>
      </c>
      <c r="S869" s="25" t="e">
        <f>IF(Table1[[#This Row],[Sales]]=MIN(Table1[Sales]), Table1[[#This Row],[Sales]], NA())</f>
        <v>#N/A</v>
      </c>
      <c r="T869" s="25">
        <f>IF(AND(Table1[[#This Row],[Sales]]&lt;&gt;MIN(Table1[Sales]),Table1[[#This Row],[Sales]]&lt;&gt;MAX(Table1[Sales])), Table1[[#This Row],[Sales]], NA())</f>
        <v>57871.65</v>
      </c>
      <c r="U869" s="25" t="e">
        <f>IF(Table1[[#This Row],[Sales]]=MAX(Table1[Sales]), Table1[[#This Row],[Sales]], NA())</f>
        <v>#N/A</v>
      </c>
      <c r="V869">
        <v>1</v>
      </c>
      <c r="W869">
        <v>0.2</v>
      </c>
      <c r="X869">
        <v>1736.15</v>
      </c>
      <c r="Y869" s="3">
        <f>YEAR(Table1[[#This Row],[Order Date]])</f>
        <v>2022</v>
      </c>
      <c r="Z869" s="3" t="str">
        <f>TEXT(Table1[[#This Row],[Order Date]],"MMM")</f>
        <v>Dec</v>
      </c>
      <c r="AA869" s="3">
        <f>DAY(Table1[[#This Row],[Order Date]])</f>
        <v>28</v>
      </c>
    </row>
    <row r="870" spans="1:27" x14ac:dyDescent="0.35">
      <c r="A870" s="1">
        <v>869</v>
      </c>
      <c r="B870" s="1" t="s">
        <v>3779</v>
      </c>
      <c r="C870" s="1" t="s">
        <v>2161</v>
      </c>
      <c r="D870" s="1" t="s">
        <v>616</v>
      </c>
      <c r="E870" t="s">
        <v>24</v>
      </c>
      <c r="F870" t="s">
        <v>3780</v>
      </c>
      <c r="G870" t="s">
        <v>110</v>
      </c>
      <c r="H870" t="s">
        <v>27</v>
      </c>
      <c r="I870" s="1" t="s">
        <v>28</v>
      </c>
      <c r="J870" t="s">
        <v>29</v>
      </c>
      <c r="K870" t="s">
        <v>29</v>
      </c>
      <c r="L870" s="1">
        <v>413887</v>
      </c>
      <c r="M870" s="1" t="s">
        <v>30</v>
      </c>
      <c r="N870" t="s">
        <v>3781</v>
      </c>
      <c r="O870" t="s">
        <v>68</v>
      </c>
      <c r="P870" t="s">
        <v>69</v>
      </c>
      <c r="Q870" t="s">
        <v>70</v>
      </c>
      <c r="R870">
        <v>32221.52</v>
      </c>
      <c r="S870" s="25" t="e">
        <f>IF(Table1[[#This Row],[Sales]]=MIN(Table1[Sales]), Table1[[#This Row],[Sales]], NA())</f>
        <v>#N/A</v>
      </c>
      <c r="T870" s="25">
        <f>IF(AND(Table1[[#This Row],[Sales]]&lt;&gt;MIN(Table1[Sales]),Table1[[#This Row],[Sales]]&lt;&gt;MAX(Table1[Sales])), Table1[[#This Row],[Sales]], NA())</f>
        <v>32221.52</v>
      </c>
      <c r="U870" s="25" t="e">
        <f>IF(Table1[[#This Row],[Sales]]=MAX(Table1[Sales]), Table1[[#This Row],[Sales]], NA())</f>
        <v>#N/A</v>
      </c>
      <c r="V870">
        <v>9</v>
      </c>
      <c r="W870">
        <v>0.3</v>
      </c>
      <c r="X870">
        <v>161.11000000000001</v>
      </c>
      <c r="Y870" s="3">
        <f>YEAR(Table1[[#This Row],[Order Date]])</f>
        <v>2023</v>
      </c>
      <c r="Z870" s="3" t="str">
        <f>TEXT(Table1[[#This Row],[Order Date]],"MMM")</f>
        <v>Mar</v>
      </c>
      <c r="AA870" s="3">
        <f>DAY(Table1[[#This Row],[Order Date]])</f>
        <v>11</v>
      </c>
    </row>
    <row r="871" spans="1:27" x14ac:dyDescent="0.35">
      <c r="A871" s="1">
        <v>870</v>
      </c>
      <c r="B871" s="1" t="s">
        <v>3782</v>
      </c>
      <c r="C871" s="1" t="s">
        <v>3783</v>
      </c>
      <c r="D871" s="1" t="s">
        <v>1663</v>
      </c>
      <c r="E871" t="s">
        <v>62</v>
      </c>
      <c r="F871" t="s">
        <v>3784</v>
      </c>
      <c r="G871" t="s">
        <v>122</v>
      </c>
      <c r="H871" t="s">
        <v>41</v>
      </c>
      <c r="I871" s="1" t="s">
        <v>28</v>
      </c>
      <c r="J871" t="s">
        <v>64</v>
      </c>
      <c r="K871" t="s">
        <v>65</v>
      </c>
      <c r="L871" s="1">
        <v>835403</v>
      </c>
      <c r="M871" s="1" t="s">
        <v>66</v>
      </c>
      <c r="N871" t="s">
        <v>3785</v>
      </c>
      <c r="O871" t="s">
        <v>46</v>
      </c>
      <c r="P871" t="s">
        <v>57</v>
      </c>
      <c r="Q871" t="s">
        <v>58</v>
      </c>
      <c r="R871">
        <v>51704.800000000003</v>
      </c>
      <c r="S871" s="25" t="e">
        <f>IF(Table1[[#This Row],[Sales]]=MIN(Table1[Sales]), Table1[[#This Row],[Sales]], NA())</f>
        <v>#N/A</v>
      </c>
      <c r="T871" s="25">
        <f>IF(AND(Table1[[#This Row],[Sales]]&lt;&gt;MIN(Table1[Sales]),Table1[[#This Row],[Sales]]&lt;&gt;MAX(Table1[Sales])), Table1[[#This Row],[Sales]], NA())</f>
        <v>51704.800000000003</v>
      </c>
      <c r="U871" s="25" t="e">
        <f>IF(Table1[[#This Row],[Sales]]=MAX(Table1[Sales]), Table1[[#This Row],[Sales]], NA())</f>
        <v>#N/A</v>
      </c>
      <c r="V871">
        <v>9</v>
      </c>
      <c r="W871">
        <v>0.3</v>
      </c>
      <c r="X871">
        <v>258.52</v>
      </c>
      <c r="Y871" s="3">
        <f>YEAR(Table1[[#This Row],[Order Date]])</f>
        <v>2025</v>
      </c>
      <c r="Z871" s="3" t="str">
        <f>TEXT(Table1[[#This Row],[Order Date]],"MMM")</f>
        <v>May</v>
      </c>
      <c r="AA871" s="3">
        <f>DAY(Table1[[#This Row],[Order Date]])</f>
        <v>1</v>
      </c>
    </row>
    <row r="872" spans="1:27" x14ac:dyDescent="0.35">
      <c r="A872" s="1">
        <v>871</v>
      </c>
      <c r="B872" s="1" t="s">
        <v>3786</v>
      </c>
      <c r="C872" s="1" t="s">
        <v>2009</v>
      </c>
      <c r="D872" s="1" t="s">
        <v>3787</v>
      </c>
      <c r="E872" t="s">
        <v>24</v>
      </c>
      <c r="F872" t="s">
        <v>3788</v>
      </c>
      <c r="G872" t="s">
        <v>93</v>
      </c>
      <c r="H872" t="s">
        <v>41</v>
      </c>
      <c r="I872" s="1" t="s">
        <v>28</v>
      </c>
      <c r="J872" t="s">
        <v>42</v>
      </c>
      <c r="K872" t="s">
        <v>43</v>
      </c>
      <c r="L872" s="1">
        <v>413777</v>
      </c>
      <c r="M872" s="1" t="s">
        <v>44</v>
      </c>
      <c r="N872" t="s">
        <v>3789</v>
      </c>
      <c r="O872" t="s">
        <v>68</v>
      </c>
      <c r="P872" t="s">
        <v>69</v>
      </c>
      <c r="Q872" t="s">
        <v>70</v>
      </c>
      <c r="R872">
        <v>73613.31</v>
      </c>
      <c r="S872" s="25" t="e">
        <f>IF(Table1[[#This Row],[Sales]]=MIN(Table1[Sales]), Table1[[#This Row],[Sales]], NA())</f>
        <v>#N/A</v>
      </c>
      <c r="T872" s="25">
        <f>IF(AND(Table1[[#This Row],[Sales]]&lt;&gt;MIN(Table1[Sales]),Table1[[#This Row],[Sales]]&lt;&gt;MAX(Table1[Sales])), Table1[[#This Row],[Sales]], NA())</f>
        <v>73613.31</v>
      </c>
      <c r="U872" s="25" t="e">
        <f>IF(Table1[[#This Row],[Sales]]=MAX(Table1[Sales]), Table1[[#This Row],[Sales]], NA())</f>
        <v>#N/A</v>
      </c>
      <c r="V872">
        <v>6</v>
      </c>
      <c r="W872">
        <v>0.3</v>
      </c>
      <c r="X872">
        <v>368.07</v>
      </c>
      <c r="Y872" s="3">
        <f>YEAR(Table1[[#This Row],[Order Date]])</f>
        <v>2024</v>
      </c>
      <c r="Z872" s="3" t="str">
        <f>TEXT(Table1[[#This Row],[Order Date]],"MMM")</f>
        <v>Jul</v>
      </c>
      <c r="AA872" s="3">
        <f>DAY(Table1[[#This Row],[Order Date]])</f>
        <v>30</v>
      </c>
    </row>
    <row r="873" spans="1:27" x14ac:dyDescent="0.35">
      <c r="A873" s="1">
        <v>872</v>
      </c>
      <c r="B873" s="1" t="s">
        <v>3790</v>
      </c>
      <c r="C873" s="1" t="s">
        <v>2111</v>
      </c>
      <c r="D873" s="1" t="s">
        <v>760</v>
      </c>
      <c r="E873" t="s">
        <v>24</v>
      </c>
      <c r="F873" t="s">
        <v>3791</v>
      </c>
      <c r="G873" t="s">
        <v>26</v>
      </c>
      <c r="H873" t="s">
        <v>41</v>
      </c>
      <c r="I873" s="1" t="s">
        <v>28</v>
      </c>
      <c r="J873" t="s">
        <v>42</v>
      </c>
      <c r="K873" t="s">
        <v>43</v>
      </c>
      <c r="L873" s="1">
        <v>443100</v>
      </c>
      <c r="M873" s="1" t="s">
        <v>44</v>
      </c>
      <c r="N873" t="s">
        <v>3792</v>
      </c>
      <c r="O873" t="s">
        <v>46</v>
      </c>
      <c r="P873" t="s">
        <v>57</v>
      </c>
      <c r="Q873" t="s">
        <v>58</v>
      </c>
      <c r="R873">
        <v>39850.050000000003</v>
      </c>
      <c r="S873" s="25" t="e">
        <f>IF(Table1[[#This Row],[Sales]]=MIN(Table1[Sales]), Table1[[#This Row],[Sales]], NA())</f>
        <v>#N/A</v>
      </c>
      <c r="T873" s="25">
        <f>IF(AND(Table1[[#This Row],[Sales]]&lt;&gt;MIN(Table1[Sales]),Table1[[#This Row],[Sales]]&lt;&gt;MAX(Table1[Sales])), Table1[[#This Row],[Sales]], NA())</f>
        <v>39850.050000000003</v>
      </c>
      <c r="U873" s="25" t="e">
        <f>IF(Table1[[#This Row],[Sales]]=MAX(Table1[Sales]), Table1[[#This Row],[Sales]], NA())</f>
        <v>#N/A</v>
      </c>
      <c r="V873">
        <v>9</v>
      </c>
      <c r="W873">
        <v>0.1</v>
      </c>
      <c r="X873">
        <v>2191.75</v>
      </c>
      <c r="Y873" s="3">
        <f>YEAR(Table1[[#This Row],[Order Date]])</f>
        <v>2025</v>
      </c>
      <c r="Z873" s="3" t="str">
        <f>TEXT(Table1[[#This Row],[Order Date]],"MMM")</f>
        <v>Jun</v>
      </c>
      <c r="AA873" s="3">
        <f>DAY(Table1[[#This Row],[Order Date]])</f>
        <v>27</v>
      </c>
    </row>
    <row r="874" spans="1:27" x14ac:dyDescent="0.35">
      <c r="A874" s="1">
        <v>873</v>
      </c>
      <c r="B874" s="1" t="s">
        <v>3793</v>
      </c>
      <c r="C874" s="1" t="s">
        <v>3794</v>
      </c>
      <c r="D874" s="1" t="s">
        <v>2537</v>
      </c>
      <c r="E874" t="s">
        <v>62</v>
      </c>
      <c r="F874" t="s">
        <v>3795</v>
      </c>
      <c r="G874" t="s">
        <v>26</v>
      </c>
      <c r="H874" t="s">
        <v>94</v>
      </c>
      <c r="I874" s="1" t="s">
        <v>28</v>
      </c>
      <c r="J874" t="s">
        <v>53</v>
      </c>
      <c r="K874" t="s">
        <v>54</v>
      </c>
      <c r="L874" s="1">
        <v>827247</v>
      </c>
      <c r="M874" s="1" t="s">
        <v>55</v>
      </c>
      <c r="N874" t="s">
        <v>3796</v>
      </c>
      <c r="O874" t="s">
        <v>46</v>
      </c>
      <c r="P874" t="s">
        <v>57</v>
      </c>
      <c r="Q874" t="s">
        <v>58</v>
      </c>
      <c r="R874">
        <v>38245.300000000003</v>
      </c>
      <c r="S874" s="25" t="e">
        <f>IF(Table1[[#This Row],[Sales]]=MIN(Table1[Sales]), Table1[[#This Row],[Sales]], NA())</f>
        <v>#N/A</v>
      </c>
      <c r="T874" s="25">
        <f>IF(AND(Table1[[#This Row],[Sales]]&lt;&gt;MIN(Table1[Sales]),Table1[[#This Row],[Sales]]&lt;&gt;MAX(Table1[Sales])), Table1[[#This Row],[Sales]], NA())</f>
        <v>38245.300000000003</v>
      </c>
      <c r="U874" s="25" t="e">
        <f>IF(Table1[[#This Row],[Sales]]=MAX(Table1[Sales]), Table1[[#This Row],[Sales]], NA())</f>
        <v>#N/A</v>
      </c>
      <c r="V874">
        <v>2</v>
      </c>
      <c r="W874">
        <v>0.1</v>
      </c>
      <c r="X874">
        <v>2103.4899999999998</v>
      </c>
      <c r="Y874" s="3">
        <f>YEAR(Table1[[#This Row],[Order Date]])</f>
        <v>2023</v>
      </c>
      <c r="Z874" s="3" t="str">
        <f>TEXT(Table1[[#This Row],[Order Date]],"MMM")</f>
        <v>Feb</v>
      </c>
      <c r="AA874" s="3">
        <f>DAY(Table1[[#This Row],[Order Date]])</f>
        <v>17</v>
      </c>
    </row>
    <row r="875" spans="1:27" x14ac:dyDescent="0.35">
      <c r="A875" s="1">
        <v>874</v>
      </c>
      <c r="B875" s="1" t="s">
        <v>3797</v>
      </c>
      <c r="C875" s="1" t="s">
        <v>3798</v>
      </c>
      <c r="D875" s="1" t="s">
        <v>1543</v>
      </c>
      <c r="E875" t="s">
        <v>24</v>
      </c>
      <c r="F875" t="s">
        <v>3799</v>
      </c>
      <c r="G875" t="s">
        <v>140</v>
      </c>
      <c r="H875" t="s">
        <v>27</v>
      </c>
      <c r="I875" s="1" t="s">
        <v>28</v>
      </c>
      <c r="J875" t="s">
        <v>29</v>
      </c>
      <c r="K875" t="s">
        <v>29</v>
      </c>
      <c r="L875" s="1">
        <v>655382</v>
      </c>
      <c r="M875" s="1" t="s">
        <v>30</v>
      </c>
      <c r="N875" t="s">
        <v>3800</v>
      </c>
      <c r="O875" t="s">
        <v>46</v>
      </c>
      <c r="P875" t="s">
        <v>47</v>
      </c>
      <c r="Q875" t="s">
        <v>48</v>
      </c>
      <c r="R875">
        <v>75721.62</v>
      </c>
      <c r="S875" s="25" t="e">
        <f>IF(Table1[[#This Row],[Sales]]=MIN(Table1[Sales]), Table1[[#This Row],[Sales]], NA())</f>
        <v>#N/A</v>
      </c>
      <c r="T875" s="25">
        <f>IF(AND(Table1[[#This Row],[Sales]]&lt;&gt;MIN(Table1[Sales]),Table1[[#This Row],[Sales]]&lt;&gt;MAX(Table1[Sales])), Table1[[#This Row],[Sales]], NA())</f>
        <v>75721.62</v>
      </c>
      <c r="U875" s="25" t="e">
        <f>IF(Table1[[#This Row],[Sales]]=MAX(Table1[Sales]), Table1[[#This Row],[Sales]], NA())</f>
        <v>#N/A</v>
      </c>
      <c r="V875">
        <v>8</v>
      </c>
      <c r="W875">
        <v>0</v>
      </c>
      <c r="X875">
        <v>6057.73</v>
      </c>
      <c r="Y875" s="3">
        <f>YEAR(Table1[[#This Row],[Order Date]])</f>
        <v>2021</v>
      </c>
      <c r="Z875" s="3" t="str">
        <f>TEXT(Table1[[#This Row],[Order Date]],"MMM")</f>
        <v>Nov</v>
      </c>
      <c r="AA875" s="3">
        <f>DAY(Table1[[#This Row],[Order Date]])</f>
        <v>30</v>
      </c>
    </row>
    <row r="876" spans="1:27" x14ac:dyDescent="0.35">
      <c r="A876" s="1">
        <v>875</v>
      </c>
      <c r="B876" s="1" t="s">
        <v>3801</v>
      </c>
      <c r="C876" s="1" t="s">
        <v>2766</v>
      </c>
      <c r="D876" s="1" t="s">
        <v>1534</v>
      </c>
      <c r="E876" t="s">
        <v>62</v>
      </c>
      <c r="F876" t="s">
        <v>3802</v>
      </c>
      <c r="G876" t="s">
        <v>26</v>
      </c>
      <c r="H876" t="s">
        <v>41</v>
      </c>
      <c r="I876" s="1" t="s">
        <v>28</v>
      </c>
      <c r="J876" t="s">
        <v>64</v>
      </c>
      <c r="K876" t="s">
        <v>65</v>
      </c>
      <c r="L876" s="1">
        <v>180068</v>
      </c>
      <c r="M876" s="1" t="s">
        <v>66</v>
      </c>
      <c r="N876" t="s">
        <v>3803</v>
      </c>
      <c r="O876" t="s">
        <v>46</v>
      </c>
      <c r="P876" t="s">
        <v>47</v>
      </c>
      <c r="Q876" t="s">
        <v>48</v>
      </c>
      <c r="R876">
        <v>47122.94</v>
      </c>
      <c r="S876" s="25" t="e">
        <f>IF(Table1[[#This Row],[Sales]]=MIN(Table1[Sales]), Table1[[#This Row],[Sales]], NA())</f>
        <v>#N/A</v>
      </c>
      <c r="T876" s="25">
        <f>IF(AND(Table1[[#This Row],[Sales]]&lt;&gt;MIN(Table1[Sales]),Table1[[#This Row],[Sales]]&lt;&gt;MAX(Table1[Sales])), Table1[[#This Row],[Sales]], NA())</f>
        <v>47122.94</v>
      </c>
      <c r="U876" s="25" t="e">
        <f>IF(Table1[[#This Row],[Sales]]=MAX(Table1[Sales]), Table1[[#This Row],[Sales]], NA())</f>
        <v>#N/A</v>
      </c>
      <c r="V876">
        <v>9</v>
      </c>
      <c r="W876">
        <v>0.3</v>
      </c>
      <c r="X876">
        <v>235.61</v>
      </c>
      <c r="Y876" s="3">
        <f>YEAR(Table1[[#This Row],[Order Date]])</f>
        <v>2021</v>
      </c>
      <c r="Z876" s="3" t="str">
        <f>TEXT(Table1[[#This Row],[Order Date]],"MMM")</f>
        <v>Jan</v>
      </c>
      <c r="AA876" s="3">
        <f>DAY(Table1[[#This Row],[Order Date]])</f>
        <v>20</v>
      </c>
    </row>
    <row r="877" spans="1:27" x14ac:dyDescent="0.35">
      <c r="A877" s="1">
        <v>876</v>
      </c>
      <c r="B877" s="1" t="s">
        <v>3804</v>
      </c>
      <c r="C877" s="1" t="s">
        <v>3805</v>
      </c>
      <c r="D877" s="1" t="s">
        <v>3806</v>
      </c>
      <c r="E877" t="s">
        <v>62</v>
      </c>
      <c r="F877" t="s">
        <v>3807</v>
      </c>
      <c r="G877" t="s">
        <v>93</v>
      </c>
      <c r="H877" t="s">
        <v>94</v>
      </c>
      <c r="I877" s="1" t="s">
        <v>28</v>
      </c>
      <c r="J877" t="s">
        <v>53</v>
      </c>
      <c r="K877" t="s">
        <v>54</v>
      </c>
      <c r="L877" s="1">
        <v>268474</v>
      </c>
      <c r="M877" s="1" t="s">
        <v>55</v>
      </c>
      <c r="N877" t="s">
        <v>3808</v>
      </c>
      <c r="O877" t="s">
        <v>46</v>
      </c>
      <c r="P877" t="s">
        <v>57</v>
      </c>
      <c r="Q877" t="s">
        <v>58</v>
      </c>
      <c r="R877">
        <v>78749.429999999993</v>
      </c>
      <c r="S877" s="25" t="e">
        <f>IF(Table1[[#This Row],[Sales]]=MIN(Table1[Sales]), Table1[[#This Row],[Sales]], NA())</f>
        <v>#N/A</v>
      </c>
      <c r="T877" s="25">
        <f>IF(AND(Table1[[#This Row],[Sales]]&lt;&gt;MIN(Table1[Sales]),Table1[[#This Row],[Sales]]&lt;&gt;MAX(Table1[Sales])), Table1[[#This Row],[Sales]], NA())</f>
        <v>78749.429999999993</v>
      </c>
      <c r="U877" s="25" t="e">
        <f>IF(Table1[[#This Row],[Sales]]=MAX(Table1[Sales]), Table1[[#This Row],[Sales]], NA())</f>
        <v>#N/A</v>
      </c>
      <c r="V877">
        <v>6</v>
      </c>
      <c r="W877">
        <v>0.3</v>
      </c>
      <c r="X877">
        <v>393.75</v>
      </c>
      <c r="Y877" s="3">
        <f>YEAR(Table1[[#This Row],[Order Date]])</f>
        <v>2023</v>
      </c>
      <c r="Z877" s="3" t="str">
        <f>TEXT(Table1[[#This Row],[Order Date]],"MMM")</f>
        <v>Aug</v>
      </c>
      <c r="AA877" s="3">
        <f>DAY(Table1[[#This Row],[Order Date]])</f>
        <v>12</v>
      </c>
    </row>
    <row r="878" spans="1:27" x14ac:dyDescent="0.35">
      <c r="A878" s="1">
        <v>877</v>
      </c>
      <c r="B878" s="1" t="s">
        <v>3809</v>
      </c>
      <c r="C878" s="1" t="s">
        <v>2529</v>
      </c>
      <c r="D878" s="1" t="s">
        <v>688</v>
      </c>
      <c r="E878" t="s">
        <v>62</v>
      </c>
      <c r="F878" t="s">
        <v>3810</v>
      </c>
      <c r="G878" t="s">
        <v>140</v>
      </c>
      <c r="H878" t="s">
        <v>27</v>
      </c>
      <c r="I878" s="1" t="s">
        <v>28</v>
      </c>
      <c r="J878" t="s">
        <v>128</v>
      </c>
      <c r="K878" t="s">
        <v>129</v>
      </c>
      <c r="L878" s="1">
        <v>913381</v>
      </c>
      <c r="M878" s="1" t="s">
        <v>66</v>
      </c>
      <c r="N878" t="s">
        <v>3811</v>
      </c>
      <c r="O878" t="s">
        <v>32</v>
      </c>
      <c r="P878" t="s">
        <v>33</v>
      </c>
      <c r="Q878" t="s">
        <v>34</v>
      </c>
      <c r="R878">
        <v>4677.0600000000004</v>
      </c>
      <c r="S878" s="25" t="e">
        <f>IF(Table1[[#This Row],[Sales]]=MIN(Table1[Sales]), Table1[[#This Row],[Sales]], NA())</f>
        <v>#N/A</v>
      </c>
      <c r="T878" s="25">
        <f>IF(AND(Table1[[#This Row],[Sales]]&lt;&gt;MIN(Table1[Sales]),Table1[[#This Row],[Sales]]&lt;&gt;MAX(Table1[Sales])), Table1[[#This Row],[Sales]], NA())</f>
        <v>4677.0600000000004</v>
      </c>
      <c r="U878" s="25" t="e">
        <f>IF(Table1[[#This Row],[Sales]]=MAX(Table1[Sales]), Table1[[#This Row],[Sales]], NA())</f>
        <v>#N/A</v>
      </c>
      <c r="V878">
        <v>4</v>
      </c>
      <c r="W878">
        <v>0.3</v>
      </c>
      <c r="X878">
        <v>23.39</v>
      </c>
      <c r="Y878" s="3">
        <f>YEAR(Table1[[#This Row],[Order Date]])</f>
        <v>2023</v>
      </c>
      <c r="Z878" s="3" t="str">
        <f>TEXT(Table1[[#This Row],[Order Date]],"MMM")</f>
        <v>Sep</v>
      </c>
      <c r="AA878" s="3">
        <f>DAY(Table1[[#This Row],[Order Date]])</f>
        <v>9</v>
      </c>
    </row>
    <row r="879" spans="1:27" x14ac:dyDescent="0.35">
      <c r="A879" s="1">
        <v>878</v>
      </c>
      <c r="B879" s="1" t="s">
        <v>3812</v>
      </c>
      <c r="C879" s="1" t="s">
        <v>1205</v>
      </c>
      <c r="D879" s="1" t="s">
        <v>3813</v>
      </c>
      <c r="E879" t="s">
        <v>62</v>
      </c>
      <c r="F879" t="s">
        <v>3814</v>
      </c>
      <c r="G879" t="s">
        <v>188</v>
      </c>
      <c r="H879" t="s">
        <v>94</v>
      </c>
      <c r="I879" s="1" t="s">
        <v>28</v>
      </c>
      <c r="J879" t="s">
        <v>64</v>
      </c>
      <c r="K879" t="s">
        <v>65</v>
      </c>
      <c r="L879" s="1">
        <v>183821</v>
      </c>
      <c r="M879" s="1" t="s">
        <v>66</v>
      </c>
      <c r="N879" t="s">
        <v>3815</v>
      </c>
      <c r="O879" t="s">
        <v>32</v>
      </c>
      <c r="P879" t="s">
        <v>33</v>
      </c>
      <c r="Q879" t="s">
        <v>34</v>
      </c>
      <c r="R879">
        <v>58677.77</v>
      </c>
      <c r="S879" s="25" t="e">
        <f>IF(Table1[[#This Row],[Sales]]=MIN(Table1[Sales]), Table1[[#This Row],[Sales]], NA())</f>
        <v>#N/A</v>
      </c>
      <c r="T879" s="25">
        <f>IF(AND(Table1[[#This Row],[Sales]]&lt;&gt;MIN(Table1[Sales]),Table1[[#This Row],[Sales]]&lt;&gt;MAX(Table1[Sales])), Table1[[#This Row],[Sales]], NA())</f>
        <v>58677.77</v>
      </c>
      <c r="U879" s="25" t="e">
        <f>IF(Table1[[#This Row],[Sales]]=MAX(Table1[Sales]), Table1[[#This Row],[Sales]], NA())</f>
        <v>#N/A</v>
      </c>
      <c r="V879">
        <v>7</v>
      </c>
      <c r="W879">
        <v>0</v>
      </c>
      <c r="X879">
        <v>4694.22</v>
      </c>
      <c r="Y879" s="3">
        <f>YEAR(Table1[[#This Row],[Order Date]])</f>
        <v>2025</v>
      </c>
      <c r="Z879" s="3" t="str">
        <f>TEXT(Table1[[#This Row],[Order Date]],"MMM")</f>
        <v>Mar</v>
      </c>
      <c r="AA879" s="3">
        <f>DAY(Table1[[#This Row],[Order Date]])</f>
        <v>12</v>
      </c>
    </row>
    <row r="880" spans="1:27" x14ac:dyDescent="0.35">
      <c r="A880" s="1">
        <v>879</v>
      </c>
      <c r="B880" s="1" t="s">
        <v>3816</v>
      </c>
      <c r="C880" s="1" t="s">
        <v>2017</v>
      </c>
      <c r="D880" s="1" t="s">
        <v>3817</v>
      </c>
      <c r="E880" t="s">
        <v>62</v>
      </c>
      <c r="F880" t="s">
        <v>3818</v>
      </c>
      <c r="G880" t="s">
        <v>81</v>
      </c>
      <c r="H880" t="s">
        <v>41</v>
      </c>
      <c r="I880" s="1" t="s">
        <v>28</v>
      </c>
      <c r="J880" t="s">
        <v>64</v>
      </c>
      <c r="K880" t="s">
        <v>65</v>
      </c>
      <c r="L880" s="1">
        <v>701873</v>
      </c>
      <c r="M880" s="1" t="s">
        <v>66</v>
      </c>
      <c r="N880" t="s">
        <v>3819</v>
      </c>
      <c r="O880" t="s">
        <v>32</v>
      </c>
      <c r="P880" t="s">
        <v>33</v>
      </c>
      <c r="Q880" t="s">
        <v>34</v>
      </c>
      <c r="R880">
        <v>46896.07</v>
      </c>
      <c r="S880" s="25" t="e">
        <f>IF(Table1[[#This Row],[Sales]]=MIN(Table1[Sales]), Table1[[#This Row],[Sales]], NA())</f>
        <v>#N/A</v>
      </c>
      <c r="T880" s="25">
        <f>IF(AND(Table1[[#This Row],[Sales]]&lt;&gt;MIN(Table1[Sales]),Table1[[#This Row],[Sales]]&lt;&gt;MAX(Table1[Sales])), Table1[[#This Row],[Sales]], NA())</f>
        <v>46896.07</v>
      </c>
      <c r="U880" s="25" t="e">
        <f>IF(Table1[[#This Row],[Sales]]=MAX(Table1[Sales]), Table1[[#This Row],[Sales]], NA())</f>
        <v>#N/A</v>
      </c>
      <c r="V880">
        <v>3</v>
      </c>
      <c r="W880">
        <v>0</v>
      </c>
      <c r="X880">
        <v>3751.69</v>
      </c>
      <c r="Y880" s="3">
        <f>YEAR(Table1[[#This Row],[Order Date]])</f>
        <v>2023</v>
      </c>
      <c r="Z880" s="3" t="str">
        <f>TEXT(Table1[[#This Row],[Order Date]],"MMM")</f>
        <v>Aug</v>
      </c>
      <c r="AA880" s="3">
        <f>DAY(Table1[[#This Row],[Order Date]])</f>
        <v>24</v>
      </c>
    </row>
    <row r="881" spans="1:27" x14ac:dyDescent="0.35">
      <c r="A881" s="1">
        <v>880</v>
      </c>
      <c r="B881" s="1" t="s">
        <v>3820</v>
      </c>
      <c r="C881" s="1" t="s">
        <v>3597</v>
      </c>
      <c r="D881" s="1" t="s">
        <v>3002</v>
      </c>
      <c r="E881" t="s">
        <v>38</v>
      </c>
      <c r="F881" t="s">
        <v>3821</v>
      </c>
      <c r="G881" t="s">
        <v>93</v>
      </c>
      <c r="H881" t="s">
        <v>27</v>
      </c>
      <c r="I881" s="1" t="s">
        <v>28</v>
      </c>
      <c r="J881" t="s">
        <v>53</v>
      </c>
      <c r="K881" t="s">
        <v>54</v>
      </c>
      <c r="L881" s="1">
        <v>490204</v>
      </c>
      <c r="M881" s="1" t="s">
        <v>55</v>
      </c>
      <c r="N881" t="s">
        <v>3822</v>
      </c>
      <c r="O881" t="s">
        <v>46</v>
      </c>
      <c r="P881" t="s">
        <v>47</v>
      </c>
      <c r="Q881" t="s">
        <v>48</v>
      </c>
      <c r="R881">
        <v>90797.37</v>
      </c>
      <c r="S881" s="25" t="e">
        <f>IF(Table1[[#This Row],[Sales]]=MIN(Table1[Sales]), Table1[[#This Row],[Sales]], NA())</f>
        <v>#N/A</v>
      </c>
      <c r="T881" s="25">
        <f>IF(AND(Table1[[#This Row],[Sales]]&lt;&gt;MIN(Table1[Sales]),Table1[[#This Row],[Sales]]&lt;&gt;MAX(Table1[Sales])), Table1[[#This Row],[Sales]], NA())</f>
        <v>90797.37</v>
      </c>
      <c r="U881" s="25" t="e">
        <f>IF(Table1[[#This Row],[Sales]]=MAX(Table1[Sales]), Table1[[#This Row],[Sales]], NA())</f>
        <v>#N/A</v>
      </c>
      <c r="V881">
        <v>1</v>
      </c>
      <c r="W881">
        <v>0.3</v>
      </c>
      <c r="X881">
        <v>453.99</v>
      </c>
      <c r="Y881" s="3">
        <f>YEAR(Table1[[#This Row],[Order Date]])</f>
        <v>2025</v>
      </c>
      <c r="Z881" s="3" t="str">
        <f>TEXT(Table1[[#This Row],[Order Date]],"MMM")</f>
        <v>Oct</v>
      </c>
      <c r="AA881" s="3">
        <f>DAY(Table1[[#This Row],[Order Date]])</f>
        <v>21</v>
      </c>
    </row>
    <row r="882" spans="1:27" x14ac:dyDescent="0.35">
      <c r="A882" s="1">
        <v>881</v>
      </c>
      <c r="B882" s="1" t="s">
        <v>3823</v>
      </c>
      <c r="C882" s="1" t="s">
        <v>1981</v>
      </c>
      <c r="D882" s="1" t="s">
        <v>2205</v>
      </c>
      <c r="E882" t="s">
        <v>38</v>
      </c>
      <c r="F882" t="s">
        <v>3824</v>
      </c>
      <c r="G882" t="s">
        <v>188</v>
      </c>
      <c r="H882" t="s">
        <v>94</v>
      </c>
      <c r="I882" s="1" t="s">
        <v>28</v>
      </c>
      <c r="J882" t="s">
        <v>128</v>
      </c>
      <c r="K882" t="s">
        <v>129</v>
      </c>
      <c r="L882" s="1">
        <v>409380</v>
      </c>
      <c r="M882" s="1" t="s">
        <v>66</v>
      </c>
      <c r="N882" t="s">
        <v>3825</v>
      </c>
      <c r="O882" t="s">
        <v>32</v>
      </c>
      <c r="P882" t="s">
        <v>33</v>
      </c>
      <c r="Q882" t="s">
        <v>34</v>
      </c>
      <c r="R882">
        <v>28821.69</v>
      </c>
      <c r="S882" s="25" t="e">
        <f>IF(Table1[[#This Row],[Sales]]=MIN(Table1[Sales]), Table1[[#This Row],[Sales]], NA())</f>
        <v>#N/A</v>
      </c>
      <c r="T882" s="25">
        <f>IF(AND(Table1[[#This Row],[Sales]]&lt;&gt;MIN(Table1[Sales]),Table1[[#This Row],[Sales]]&lt;&gt;MAX(Table1[Sales])), Table1[[#This Row],[Sales]], NA())</f>
        <v>28821.69</v>
      </c>
      <c r="U882" s="25" t="e">
        <f>IF(Table1[[#This Row],[Sales]]=MAX(Table1[Sales]), Table1[[#This Row],[Sales]], NA())</f>
        <v>#N/A</v>
      </c>
      <c r="V882">
        <v>5</v>
      </c>
      <c r="W882">
        <v>0</v>
      </c>
      <c r="X882">
        <v>2305.7399999999998</v>
      </c>
      <c r="Y882" s="3">
        <f>YEAR(Table1[[#This Row],[Order Date]])</f>
        <v>2021</v>
      </c>
      <c r="Z882" s="3" t="str">
        <f>TEXT(Table1[[#This Row],[Order Date]],"MMM")</f>
        <v>Sep</v>
      </c>
      <c r="AA882" s="3">
        <f>DAY(Table1[[#This Row],[Order Date]])</f>
        <v>5</v>
      </c>
    </row>
    <row r="883" spans="1:27" x14ac:dyDescent="0.35">
      <c r="A883" s="1">
        <v>882</v>
      </c>
      <c r="B883" s="1" t="s">
        <v>3826</v>
      </c>
      <c r="C883" s="1" t="s">
        <v>2111</v>
      </c>
      <c r="D883" s="1" t="s">
        <v>2332</v>
      </c>
      <c r="E883" t="s">
        <v>115</v>
      </c>
      <c r="F883" t="s">
        <v>3827</v>
      </c>
      <c r="G883" t="s">
        <v>87</v>
      </c>
      <c r="H883" t="s">
        <v>41</v>
      </c>
      <c r="I883" s="1" t="s">
        <v>28</v>
      </c>
      <c r="J883" t="s">
        <v>42</v>
      </c>
      <c r="K883" t="s">
        <v>43</v>
      </c>
      <c r="L883" s="1">
        <v>685282</v>
      </c>
      <c r="M883" s="1" t="s">
        <v>44</v>
      </c>
      <c r="N883" t="s">
        <v>3828</v>
      </c>
      <c r="O883" t="s">
        <v>46</v>
      </c>
      <c r="P883" t="s">
        <v>57</v>
      </c>
      <c r="Q883" t="s">
        <v>58</v>
      </c>
      <c r="R883">
        <v>99256.58</v>
      </c>
      <c r="S883" s="25" t="e">
        <f>IF(Table1[[#This Row],[Sales]]=MIN(Table1[Sales]), Table1[[#This Row],[Sales]], NA())</f>
        <v>#N/A</v>
      </c>
      <c r="T883" s="25">
        <f>IF(AND(Table1[[#This Row],[Sales]]&lt;&gt;MIN(Table1[Sales]),Table1[[#This Row],[Sales]]&lt;&gt;MAX(Table1[Sales])), Table1[[#This Row],[Sales]], NA())</f>
        <v>99256.58</v>
      </c>
      <c r="U883" s="25" t="e">
        <f>IF(Table1[[#This Row],[Sales]]=MAX(Table1[Sales]), Table1[[#This Row],[Sales]], NA())</f>
        <v>#N/A</v>
      </c>
      <c r="V883">
        <v>9</v>
      </c>
      <c r="W883">
        <v>0</v>
      </c>
      <c r="X883">
        <v>7940.53</v>
      </c>
      <c r="Y883" s="3">
        <f>YEAR(Table1[[#This Row],[Order Date]])</f>
        <v>2025</v>
      </c>
      <c r="Z883" s="3" t="str">
        <f>TEXT(Table1[[#This Row],[Order Date]],"MMM")</f>
        <v>Jun</v>
      </c>
      <c r="AA883" s="3">
        <f>DAY(Table1[[#This Row],[Order Date]])</f>
        <v>27</v>
      </c>
    </row>
    <row r="884" spans="1:27" x14ac:dyDescent="0.35">
      <c r="A884" s="1">
        <v>883</v>
      </c>
      <c r="B884" s="1" t="s">
        <v>3829</v>
      </c>
      <c r="C884" s="1" t="s">
        <v>2141</v>
      </c>
      <c r="D884" s="1" t="s">
        <v>1436</v>
      </c>
      <c r="E884" t="s">
        <v>62</v>
      </c>
      <c r="F884" t="s">
        <v>3830</v>
      </c>
      <c r="G884" t="s">
        <v>122</v>
      </c>
      <c r="H884" t="s">
        <v>27</v>
      </c>
      <c r="I884" s="1" t="s">
        <v>28</v>
      </c>
      <c r="J884" t="s">
        <v>29</v>
      </c>
      <c r="K884" t="s">
        <v>29</v>
      </c>
      <c r="L884" s="1">
        <v>239487</v>
      </c>
      <c r="M884" s="1" t="s">
        <v>30</v>
      </c>
      <c r="N884" t="s">
        <v>3831</v>
      </c>
      <c r="O884" t="s">
        <v>46</v>
      </c>
      <c r="P884" t="s">
        <v>57</v>
      </c>
      <c r="Q884" t="s">
        <v>58</v>
      </c>
      <c r="R884">
        <v>49415.77</v>
      </c>
      <c r="S884" s="25" t="e">
        <f>IF(Table1[[#This Row],[Sales]]=MIN(Table1[Sales]), Table1[[#This Row],[Sales]], NA())</f>
        <v>#N/A</v>
      </c>
      <c r="T884" s="25">
        <f>IF(AND(Table1[[#This Row],[Sales]]&lt;&gt;MIN(Table1[Sales]),Table1[[#This Row],[Sales]]&lt;&gt;MAX(Table1[Sales])), Table1[[#This Row],[Sales]], NA())</f>
        <v>49415.77</v>
      </c>
      <c r="U884" s="25" t="e">
        <f>IF(Table1[[#This Row],[Sales]]=MAX(Table1[Sales]), Table1[[#This Row],[Sales]], NA())</f>
        <v>#N/A</v>
      </c>
      <c r="V884">
        <v>10</v>
      </c>
      <c r="W884">
        <v>0.1</v>
      </c>
      <c r="X884">
        <v>2717.87</v>
      </c>
      <c r="Y884" s="3">
        <f>YEAR(Table1[[#This Row],[Order Date]])</f>
        <v>2021</v>
      </c>
      <c r="Z884" s="3" t="str">
        <f>TEXT(Table1[[#This Row],[Order Date]],"MMM")</f>
        <v>Aug</v>
      </c>
      <c r="AA884" s="3">
        <f>DAY(Table1[[#This Row],[Order Date]])</f>
        <v>5</v>
      </c>
    </row>
    <row r="885" spans="1:27" x14ac:dyDescent="0.35">
      <c r="A885" s="1">
        <v>884</v>
      </c>
      <c r="B885" s="1" t="s">
        <v>3832</v>
      </c>
      <c r="C885" s="1" t="s">
        <v>3833</v>
      </c>
      <c r="D885" s="1" t="s">
        <v>3271</v>
      </c>
      <c r="E885" t="s">
        <v>115</v>
      </c>
      <c r="F885" t="s">
        <v>3834</v>
      </c>
      <c r="G885" t="s">
        <v>26</v>
      </c>
      <c r="H885" t="s">
        <v>27</v>
      </c>
      <c r="I885" s="1" t="s">
        <v>28</v>
      </c>
      <c r="J885" t="s">
        <v>128</v>
      </c>
      <c r="K885" t="s">
        <v>129</v>
      </c>
      <c r="L885" s="1">
        <v>101017</v>
      </c>
      <c r="M885" s="1" t="s">
        <v>66</v>
      </c>
      <c r="N885" t="s">
        <v>3835</v>
      </c>
      <c r="O885" t="s">
        <v>68</v>
      </c>
      <c r="P885" t="s">
        <v>69</v>
      </c>
      <c r="Q885" t="s">
        <v>70</v>
      </c>
      <c r="R885">
        <v>82398.350000000006</v>
      </c>
      <c r="S885" s="25" t="e">
        <f>IF(Table1[[#This Row],[Sales]]=MIN(Table1[Sales]), Table1[[#This Row],[Sales]], NA())</f>
        <v>#N/A</v>
      </c>
      <c r="T885" s="25">
        <f>IF(AND(Table1[[#This Row],[Sales]]&lt;&gt;MIN(Table1[Sales]),Table1[[#This Row],[Sales]]&lt;&gt;MAX(Table1[Sales])), Table1[[#This Row],[Sales]], NA())</f>
        <v>82398.350000000006</v>
      </c>
      <c r="U885" s="25" t="e">
        <f>IF(Table1[[#This Row],[Sales]]=MAX(Table1[Sales]), Table1[[#This Row],[Sales]], NA())</f>
        <v>#N/A</v>
      </c>
      <c r="V885">
        <v>7</v>
      </c>
      <c r="W885">
        <v>0.1</v>
      </c>
      <c r="X885">
        <v>4531.91</v>
      </c>
      <c r="Y885" s="3">
        <f>YEAR(Table1[[#This Row],[Order Date]])</f>
        <v>2021</v>
      </c>
      <c r="Z885" s="3" t="str">
        <f>TEXT(Table1[[#This Row],[Order Date]],"MMM")</f>
        <v>Nov</v>
      </c>
      <c r="AA885" s="3">
        <f>DAY(Table1[[#This Row],[Order Date]])</f>
        <v>1</v>
      </c>
    </row>
    <row r="886" spans="1:27" x14ac:dyDescent="0.35">
      <c r="A886" s="1">
        <v>885</v>
      </c>
      <c r="B886" s="1" t="s">
        <v>3836</v>
      </c>
      <c r="C886" s="1" t="s">
        <v>3837</v>
      </c>
      <c r="D886" s="1" t="s">
        <v>1384</v>
      </c>
      <c r="E886" t="s">
        <v>115</v>
      </c>
      <c r="F886" t="s">
        <v>3838</v>
      </c>
      <c r="G886" t="s">
        <v>81</v>
      </c>
      <c r="H886" t="s">
        <v>41</v>
      </c>
      <c r="I886" s="1" t="s">
        <v>28</v>
      </c>
      <c r="J886" t="s">
        <v>53</v>
      </c>
      <c r="K886" t="s">
        <v>54</v>
      </c>
      <c r="L886" s="1">
        <v>893627</v>
      </c>
      <c r="M886" s="1" t="s">
        <v>55</v>
      </c>
      <c r="N886" t="s">
        <v>3839</v>
      </c>
      <c r="O886" t="s">
        <v>46</v>
      </c>
      <c r="P886" t="s">
        <v>57</v>
      </c>
      <c r="Q886" t="s">
        <v>58</v>
      </c>
      <c r="R886">
        <v>32406.25</v>
      </c>
      <c r="S886" s="25" t="e">
        <f>IF(Table1[[#This Row],[Sales]]=MIN(Table1[Sales]), Table1[[#This Row],[Sales]], NA())</f>
        <v>#N/A</v>
      </c>
      <c r="T886" s="25">
        <f>IF(AND(Table1[[#This Row],[Sales]]&lt;&gt;MIN(Table1[Sales]),Table1[[#This Row],[Sales]]&lt;&gt;MAX(Table1[Sales])), Table1[[#This Row],[Sales]], NA())</f>
        <v>32406.25</v>
      </c>
      <c r="U886" s="25" t="e">
        <f>IF(Table1[[#This Row],[Sales]]=MAX(Table1[Sales]), Table1[[#This Row],[Sales]], NA())</f>
        <v>#N/A</v>
      </c>
      <c r="V886">
        <v>3</v>
      </c>
      <c r="W886">
        <v>0</v>
      </c>
      <c r="X886">
        <v>2592.5</v>
      </c>
      <c r="Y886" s="3">
        <f>YEAR(Table1[[#This Row],[Order Date]])</f>
        <v>2022</v>
      </c>
      <c r="Z886" s="3" t="str">
        <f>TEXT(Table1[[#This Row],[Order Date]],"MMM")</f>
        <v>Apr</v>
      </c>
      <c r="AA886" s="3">
        <f>DAY(Table1[[#This Row],[Order Date]])</f>
        <v>8</v>
      </c>
    </row>
    <row r="887" spans="1:27" x14ac:dyDescent="0.35">
      <c r="A887" s="1">
        <v>886</v>
      </c>
      <c r="B887" s="1" t="s">
        <v>3840</v>
      </c>
      <c r="C887" s="1" t="s">
        <v>1128</v>
      </c>
      <c r="D887" s="1" t="s">
        <v>988</v>
      </c>
      <c r="E887" t="s">
        <v>62</v>
      </c>
      <c r="F887" t="s">
        <v>3841</v>
      </c>
      <c r="G887" t="s">
        <v>87</v>
      </c>
      <c r="H887" t="s">
        <v>27</v>
      </c>
      <c r="I887" s="1" t="s">
        <v>28</v>
      </c>
      <c r="J887" t="s">
        <v>53</v>
      </c>
      <c r="K887" t="s">
        <v>54</v>
      </c>
      <c r="L887" s="1">
        <v>805736</v>
      </c>
      <c r="M887" s="1" t="s">
        <v>55</v>
      </c>
      <c r="N887" t="s">
        <v>3842</v>
      </c>
      <c r="O887" t="s">
        <v>46</v>
      </c>
      <c r="P887" t="s">
        <v>57</v>
      </c>
      <c r="Q887" t="s">
        <v>58</v>
      </c>
      <c r="R887">
        <v>81744.66</v>
      </c>
      <c r="S887" s="25" t="e">
        <f>IF(Table1[[#This Row],[Sales]]=MIN(Table1[Sales]), Table1[[#This Row],[Sales]], NA())</f>
        <v>#N/A</v>
      </c>
      <c r="T887" s="25">
        <f>IF(AND(Table1[[#This Row],[Sales]]&lt;&gt;MIN(Table1[Sales]),Table1[[#This Row],[Sales]]&lt;&gt;MAX(Table1[Sales])), Table1[[#This Row],[Sales]], NA())</f>
        <v>81744.66</v>
      </c>
      <c r="U887" s="25" t="e">
        <f>IF(Table1[[#This Row],[Sales]]=MAX(Table1[Sales]), Table1[[#This Row],[Sales]], NA())</f>
        <v>#N/A</v>
      </c>
      <c r="V887">
        <v>5</v>
      </c>
      <c r="W887">
        <v>0.3</v>
      </c>
      <c r="X887">
        <v>408.72</v>
      </c>
      <c r="Y887" s="3">
        <f>YEAR(Table1[[#This Row],[Order Date]])</f>
        <v>2022</v>
      </c>
      <c r="Z887" s="3" t="str">
        <f>TEXT(Table1[[#This Row],[Order Date]],"MMM")</f>
        <v>Nov</v>
      </c>
      <c r="AA887" s="3">
        <f>DAY(Table1[[#This Row],[Order Date]])</f>
        <v>29</v>
      </c>
    </row>
    <row r="888" spans="1:27" x14ac:dyDescent="0.35">
      <c r="A888" s="1">
        <v>887</v>
      </c>
      <c r="B888" s="1" t="s">
        <v>3843</v>
      </c>
      <c r="C888" s="1" t="s">
        <v>3144</v>
      </c>
      <c r="D888" s="1" t="s">
        <v>2529</v>
      </c>
      <c r="E888" t="s">
        <v>38</v>
      </c>
      <c r="F888" t="s">
        <v>3844</v>
      </c>
      <c r="G888" t="s">
        <v>93</v>
      </c>
      <c r="H888" t="s">
        <v>41</v>
      </c>
      <c r="I888" s="1" t="s">
        <v>28</v>
      </c>
      <c r="J888" t="s">
        <v>128</v>
      </c>
      <c r="K888" t="s">
        <v>129</v>
      </c>
      <c r="L888" s="1">
        <v>792452</v>
      </c>
      <c r="M888" s="1" t="s">
        <v>66</v>
      </c>
      <c r="N888" t="s">
        <v>3845</v>
      </c>
      <c r="O888" t="s">
        <v>68</v>
      </c>
      <c r="P888" t="s">
        <v>69</v>
      </c>
      <c r="Q888" t="s">
        <v>70</v>
      </c>
      <c r="R888">
        <v>48652.02</v>
      </c>
      <c r="S888" s="25" t="e">
        <f>IF(Table1[[#This Row],[Sales]]=MIN(Table1[Sales]), Table1[[#This Row],[Sales]], NA())</f>
        <v>#N/A</v>
      </c>
      <c r="T888" s="25">
        <f>IF(AND(Table1[[#This Row],[Sales]]&lt;&gt;MIN(Table1[Sales]),Table1[[#This Row],[Sales]]&lt;&gt;MAX(Table1[Sales])), Table1[[#This Row],[Sales]], NA())</f>
        <v>48652.02</v>
      </c>
      <c r="U888" s="25" t="e">
        <f>IF(Table1[[#This Row],[Sales]]=MAX(Table1[Sales]), Table1[[#This Row],[Sales]], NA())</f>
        <v>#N/A</v>
      </c>
      <c r="V888">
        <v>1</v>
      </c>
      <c r="W888">
        <v>0.2</v>
      </c>
      <c r="X888">
        <v>1459.56</v>
      </c>
      <c r="Y888" s="3">
        <f>YEAR(Table1[[#This Row],[Order Date]])</f>
        <v>2023</v>
      </c>
      <c r="Z888" s="3" t="str">
        <f>TEXT(Table1[[#This Row],[Order Date]],"MMM")</f>
        <v>Sep</v>
      </c>
      <c r="AA888" s="3">
        <f>DAY(Table1[[#This Row],[Order Date]])</f>
        <v>3</v>
      </c>
    </row>
    <row r="889" spans="1:27" x14ac:dyDescent="0.35">
      <c r="A889" s="1">
        <v>888</v>
      </c>
      <c r="B889" s="1" t="s">
        <v>3846</v>
      </c>
      <c r="C889" s="1" t="s">
        <v>2644</v>
      </c>
      <c r="D889" s="1" t="s">
        <v>3847</v>
      </c>
      <c r="E889" t="s">
        <v>24</v>
      </c>
      <c r="F889" t="s">
        <v>3848</v>
      </c>
      <c r="G889" t="s">
        <v>93</v>
      </c>
      <c r="H889" t="s">
        <v>94</v>
      </c>
      <c r="I889" s="1" t="s">
        <v>28</v>
      </c>
      <c r="J889" t="s">
        <v>128</v>
      </c>
      <c r="K889" t="s">
        <v>129</v>
      </c>
      <c r="L889" s="1">
        <v>241785</v>
      </c>
      <c r="M889" s="1" t="s">
        <v>66</v>
      </c>
      <c r="N889" t="s">
        <v>3849</v>
      </c>
      <c r="O889" t="s">
        <v>46</v>
      </c>
      <c r="P889" t="s">
        <v>57</v>
      </c>
      <c r="Q889" t="s">
        <v>58</v>
      </c>
      <c r="R889">
        <v>16962.63</v>
      </c>
      <c r="S889" s="25" t="e">
        <f>IF(Table1[[#This Row],[Sales]]=MIN(Table1[Sales]), Table1[[#This Row],[Sales]], NA())</f>
        <v>#N/A</v>
      </c>
      <c r="T889" s="25">
        <f>IF(AND(Table1[[#This Row],[Sales]]&lt;&gt;MIN(Table1[Sales]),Table1[[#This Row],[Sales]]&lt;&gt;MAX(Table1[Sales])), Table1[[#This Row],[Sales]], NA())</f>
        <v>16962.63</v>
      </c>
      <c r="U889" s="25" t="e">
        <f>IF(Table1[[#This Row],[Sales]]=MAX(Table1[Sales]), Table1[[#This Row],[Sales]], NA())</f>
        <v>#N/A</v>
      </c>
      <c r="V889">
        <v>4</v>
      </c>
      <c r="W889">
        <v>0</v>
      </c>
      <c r="X889">
        <v>1357.01</v>
      </c>
      <c r="Y889" s="3">
        <f>YEAR(Table1[[#This Row],[Order Date]])</f>
        <v>2023</v>
      </c>
      <c r="Z889" s="3" t="str">
        <f>TEXT(Table1[[#This Row],[Order Date]],"MMM")</f>
        <v>Dec</v>
      </c>
      <c r="AA889" s="3">
        <f>DAY(Table1[[#This Row],[Order Date]])</f>
        <v>20</v>
      </c>
    </row>
    <row r="890" spans="1:27" x14ac:dyDescent="0.35">
      <c r="A890" s="1">
        <v>889</v>
      </c>
      <c r="B890" s="1" t="s">
        <v>3850</v>
      </c>
      <c r="C890" s="1" t="s">
        <v>3851</v>
      </c>
      <c r="D890" s="1" t="s">
        <v>3536</v>
      </c>
      <c r="E890" t="s">
        <v>38</v>
      </c>
      <c r="F890" t="s">
        <v>3852</v>
      </c>
      <c r="G890" t="s">
        <v>188</v>
      </c>
      <c r="H890" t="s">
        <v>94</v>
      </c>
      <c r="I890" s="1" t="s">
        <v>28</v>
      </c>
      <c r="J890" t="s">
        <v>53</v>
      </c>
      <c r="K890" t="s">
        <v>54</v>
      </c>
      <c r="L890" s="1">
        <v>185373</v>
      </c>
      <c r="M890" s="1" t="s">
        <v>55</v>
      </c>
      <c r="N890" t="s">
        <v>3853</v>
      </c>
      <c r="O890" t="s">
        <v>46</v>
      </c>
      <c r="P890" t="s">
        <v>47</v>
      </c>
      <c r="Q890" t="s">
        <v>48</v>
      </c>
      <c r="R890">
        <v>81879.81</v>
      </c>
      <c r="S890" s="25" t="e">
        <f>IF(Table1[[#This Row],[Sales]]=MIN(Table1[Sales]), Table1[[#This Row],[Sales]], NA())</f>
        <v>#N/A</v>
      </c>
      <c r="T890" s="25">
        <f>IF(AND(Table1[[#This Row],[Sales]]&lt;&gt;MIN(Table1[Sales]),Table1[[#This Row],[Sales]]&lt;&gt;MAX(Table1[Sales])), Table1[[#This Row],[Sales]], NA())</f>
        <v>81879.81</v>
      </c>
      <c r="U890" s="25" t="e">
        <f>IF(Table1[[#This Row],[Sales]]=MAX(Table1[Sales]), Table1[[#This Row],[Sales]], NA())</f>
        <v>#N/A</v>
      </c>
      <c r="V890">
        <v>6</v>
      </c>
      <c r="W890">
        <v>0.2</v>
      </c>
      <c r="X890">
        <v>2456.39</v>
      </c>
      <c r="Y890" s="3">
        <f>YEAR(Table1[[#This Row],[Order Date]])</f>
        <v>2022</v>
      </c>
      <c r="Z890" s="3" t="str">
        <f>TEXT(Table1[[#This Row],[Order Date]],"MMM")</f>
        <v>Jan</v>
      </c>
      <c r="AA890" s="3">
        <f>DAY(Table1[[#This Row],[Order Date]])</f>
        <v>28</v>
      </c>
    </row>
    <row r="891" spans="1:27" x14ac:dyDescent="0.35">
      <c r="A891" s="1">
        <v>890</v>
      </c>
      <c r="B891" s="1" t="s">
        <v>3854</v>
      </c>
      <c r="C891" s="1" t="s">
        <v>3855</v>
      </c>
      <c r="D891" s="1" t="s">
        <v>1299</v>
      </c>
      <c r="E891" t="s">
        <v>62</v>
      </c>
      <c r="F891" t="s">
        <v>3856</v>
      </c>
      <c r="G891" t="s">
        <v>188</v>
      </c>
      <c r="H891" t="s">
        <v>94</v>
      </c>
      <c r="I891" s="1" t="s">
        <v>28</v>
      </c>
      <c r="J891" t="s">
        <v>64</v>
      </c>
      <c r="K891" t="s">
        <v>65</v>
      </c>
      <c r="L891" s="1">
        <v>297977</v>
      </c>
      <c r="M891" s="1" t="s">
        <v>66</v>
      </c>
      <c r="N891" t="s">
        <v>3857</v>
      </c>
      <c r="O891" t="s">
        <v>32</v>
      </c>
      <c r="P891" t="s">
        <v>33</v>
      </c>
      <c r="Q891" t="s">
        <v>34</v>
      </c>
      <c r="R891">
        <v>81552.850000000006</v>
      </c>
      <c r="S891" s="25" t="e">
        <f>IF(Table1[[#This Row],[Sales]]=MIN(Table1[Sales]), Table1[[#This Row],[Sales]], NA())</f>
        <v>#N/A</v>
      </c>
      <c r="T891" s="25">
        <f>IF(AND(Table1[[#This Row],[Sales]]&lt;&gt;MIN(Table1[Sales]),Table1[[#This Row],[Sales]]&lt;&gt;MAX(Table1[Sales])), Table1[[#This Row],[Sales]], NA())</f>
        <v>81552.850000000006</v>
      </c>
      <c r="U891" s="25" t="e">
        <f>IF(Table1[[#This Row],[Sales]]=MAX(Table1[Sales]), Table1[[#This Row],[Sales]], NA())</f>
        <v>#N/A</v>
      </c>
      <c r="V891">
        <v>10</v>
      </c>
      <c r="W891">
        <v>0.2</v>
      </c>
      <c r="X891">
        <v>2446.59</v>
      </c>
      <c r="Y891" s="3">
        <f>YEAR(Table1[[#This Row],[Order Date]])</f>
        <v>2022</v>
      </c>
      <c r="Z891" s="3" t="str">
        <f>TEXT(Table1[[#This Row],[Order Date]],"MMM")</f>
        <v>Jan</v>
      </c>
      <c r="AA891" s="3">
        <f>DAY(Table1[[#This Row],[Order Date]])</f>
        <v>27</v>
      </c>
    </row>
    <row r="892" spans="1:27" x14ac:dyDescent="0.35">
      <c r="A892" s="1">
        <v>891</v>
      </c>
      <c r="B892" s="1" t="s">
        <v>3858</v>
      </c>
      <c r="C892" s="1" t="s">
        <v>825</v>
      </c>
      <c r="D892" s="1" t="s">
        <v>567</v>
      </c>
      <c r="E892" t="s">
        <v>24</v>
      </c>
      <c r="F892" t="s">
        <v>3859</v>
      </c>
      <c r="G892" t="s">
        <v>140</v>
      </c>
      <c r="H892" t="s">
        <v>27</v>
      </c>
      <c r="I892" s="1" t="s">
        <v>28</v>
      </c>
      <c r="J892" t="s">
        <v>29</v>
      </c>
      <c r="K892" t="s">
        <v>29</v>
      </c>
      <c r="L892" s="1">
        <v>184780</v>
      </c>
      <c r="M892" s="1" t="s">
        <v>30</v>
      </c>
      <c r="N892" t="s">
        <v>3860</v>
      </c>
      <c r="O892" t="s">
        <v>46</v>
      </c>
      <c r="P892" t="s">
        <v>57</v>
      </c>
      <c r="Q892" t="s">
        <v>58</v>
      </c>
      <c r="R892">
        <v>36892.65</v>
      </c>
      <c r="S892" s="25" t="e">
        <f>IF(Table1[[#This Row],[Sales]]=MIN(Table1[Sales]), Table1[[#This Row],[Sales]], NA())</f>
        <v>#N/A</v>
      </c>
      <c r="T892" s="25">
        <f>IF(AND(Table1[[#This Row],[Sales]]&lt;&gt;MIN(Table1[Sales]),Table1[[#This Row],[Sales]]&lt;&gt;MAX(Table1[Sales])), Table1[[#This Row],[Sales]], NA())</f>
        <v>36892.65</v>
      </c>
      <c r="U892" s="25" t="e">
        <f>IF(Table1[[#This Row],[Sales]]=MAX(Table1[Sales]), Table1[[#This Row],[Sales]], NA())</f>
        <v>#N/A</v>
      </c>
      <c r="V892">
        <v>8</v>
      </c>
      <c r="W892">
        <v>0.2</v>
      </c>
      <c r="X892">
        <v>1106.78</v>
      </c>
      <c r="Y892" s="3">
        <f>YEAR(Table1[[#This Row],[Order Date]])</f>
        <v>2022</v>
      </c>
      <c r="Z892" s="3" t="str">
        <f>TEXT(Table1[[#This Row],[Order Date]],"MMM")</f>
        <v>Sep</v>
      </c>
      <c r="AA892" s="3">
        <f>DAY(Table1[[#This Row],[Order Date]])</f>
        <v>26</v>
      </c>
    </row>
    <row r="893" spans="1:27" x14ac:dyDescent="0.35">
      <c r="A893" s="1">
        <v>892</v>
      </c>
      <c r="B893" s="1" t="s">
        <v>3861</v>
      </c>
      <c r="C893" s="1" t="s">
        <v>336</v>
      </c>
      <c r="D893" s="1" t="s">
        <v>2414</v>
      </c>
      <c r="E893" t="s">
        <v>38</v>
      </c>
      <c r="F893" t="s">
        <v>3862</v>
      </c>
      <c r="G893" t="s">
        <v>140</v>
      </c>
      <c r="H893" t="s">
        <v>41</v>
      </c>
      <c r="I893" s="1" t="s">
        <v>28</v>
      </c>
      <c r="J893" t="s">
        <v>128</v>
      </c>
      <c r="K893" t="s">
        <v>129</v>
      </c>
      <c r="L893" s="1">
        <v>357955</v>
      </c>
      <c r="M893" s="1" t="s">
        <v>66</v>
      </c>
      <c r="N893" t="s">
        <v>3863</v>
      </c>
      <c r="O893" t="s">
        <v>46</v>
      </c>
      <c r="P893" t="s">
        <v>47</v>
      </c>
      <c r="Q893" t="s">
        <v>48</v>
      </c>
      <c r="R893">
        <v>82466.97</v>
      </c>
      <c r="S893" s="25" t="e">
        <f>IF(Table1[[#This Row],[Sales]]=MIN(Table1[Sales]), Table1[[#This Row],[Sales]], NA())</f>
        <v>#N/A</v>
      </c>
      <c r="T893" s="25">
        <f>IF(AND(Table1[[#This Row],[Sales]]&lt;&gt;MIN(Table1[Sales]),Table1[[#This Row],[Sales]]&lt;&gt;MAX(Table1[Sales])), Table1[[#This Row],[Sales]], NA())</f>
        <v>82466.97</v>
      </c>
      <c r="U893" s="25" t="e">
        <f>IF(Table1[[#This Row],[Sales]]=MAX(Table1[Sales]), Table1[[#This Row],[Sales]], NA())</f>
        <v>#N/A</v>
      </c>
      <c r="V893">
        <v>8</v>
      </c>
      <c r="W893">
        <v>0</v>
      </c>
      <c r="X893">
        <v>6597.36</v>
      </c>
      <c r="Y893" s="3">
        <f>YEAR(Table1[[#This Row],[Order Date]])</f>
        <v>2022</v>
      </c>
      <c r="Z893" s="3" t="str">
        <f>TEXT(Table1[[#This Row],[Order Date]],"MMM")</f>
        <v>Aug</v>
      </c>
      <c r="AA893" s="3">
        <f>DAY(Table1[[#This Row],[Order Date]])</f>
        <v>2</v>
      </c>
    </row>
    <row r="894" spans="1:27" x14ac:dyDescent="0.35">
      <c r="A894" s="1">
        <v>893</v>
      </c>
      <c r="B894" s="1" t="s">
        <v>3864</v>
      </c>
      <c r="C894" s="1" t="s">
        <v>3865</v>
      </c>
      <c r="D894" s="1" t="s">
        <v>3639</v>
      </c>
      <c r="E894" t="s">
        <v>24</v>
      </c>
      <c r="F894" t="s">
        <v>3866</v>
      </c>
      <c r="G894" t="s">
        <v>40</v>
      </c>
      <c r="H894" t="s">
        <v>41</v>
      </c>
      <c r="I894" s="1" t="s">
        <v>28</v>
      </c>
      <c r="J894" t="s">
        <v>42</v>
      </c>
      <c r="K894" t="s">
        <v>43</v>
      </c>
      <c r="L894" s="1">
        <v>853327</v>
      </c>
      <c r="M894" s="1" t="s">
        <v>44</v>
      </c>
      <c r="N894" t="s">
        <v>3867</v>
      </c>
      <c r="O894" t="s">
        <v>32</v>
      </c>
      <c r="P894" t="s">
        <v>33</v>
      </c>
      <c r="Q894" t="s">
        <v>34</v>
      </c>
      <c r="R894">
        <v>71900.73</v>
      </c>
      <c r="S894" s="25" t="e">
        <f>IF(Table1[[#This Row],[Sales]]=MIN(Table1[Sales]), Table1[[#This Row],[Sales]], NA())</f>
        <v>#N/A</v>
      </c>
      <c r="T894" s="25">
        <f>IF(AND(Table1[[#This Row],[Sales]]&lt;&gt;MIN(Table1[Sales]),Table1[[#This Row],[Sales]]&lt;&gt;MAX(Table1[Sales])), Table1[[#This Row],[Sales]], NA())</f>
        <v>71900.73</v>
      </c>
      <c r="U894" s="25" t="e">
        <f>IF(Table1[[#This Row],[Sales]]=MAX(Table1[Sales]), Table1[[#This Row],[Sales]], NA())</f>
        <v>#N/A</v>
      </c>
      <c r="V894">
        <v>4</v>
      </c>
      <c r="W894">
        <v>0.1</v>
      </c>
      <c r="X894">
        <v>3954.54</v>
      </c>
      <c r="Y894" s="3">
        <f>YEAR(Table1[[#This Row],[Order Date]])</f>
        <v>2023</v>
      </c>
      <c r="Z894" s="3" t="str">
        <f>TEXT(Table1[[#This Row],[Order Date]],"MMM")</f>
        <v>Sep</v>
      </c>
      <c r="AA894" s="3">
        <f>DAY(Table1[[#This Row],[Order Date]])</f>
        <v>23</v>
      </c>
    </row>
    <row r="895" spans="1:27" x14ac:dyDescent="0.35">
      <c r="A895" s="1">
        <v>894</v>
      </c>
      <c r="B895" s="1" t="s">
        <v>3868</v>
      </c>
      <c r="C895" s="1" t="s">
        <v>3869</v>
      </c>
      <c r="D895" s="1" t="s">
        <v>3870</v>
      </c>
      <c r="E895" t="s">
        <v>115</v>
      </c>
      <c r="F895" t="s">
        <v>3871</v>
      </c>
      <c r="G895" t="s">
        <v>81</v>
      </c>
      <c r="H895" t="s">
        <v>41</v>
      </c>
      <c r="I895" s="1" t="s">
        <v>28</v>
      </c>
      <c r="J895" t="s">
        <v>53</v>
      </c>
      <c r="K895" t="s">
        <v>54</v>
      </c>
      <c r="L895" s="1">
        <v>461157</v>
      </c>
      <c r="M895" s="1" t="s">
        <v>55</v>
      </c>
      <c r="N895" t="s">
        <v>3872</v>
      </c>
      <c r="O895" t="s">
        <v>46</v>
      </c>
      <c r="P895" t="s">
        <v>47</v>
      </c>
      <c r="Q895" t="s">
        <v>48</v>
      </c>
      <c r="R895">
        <v>49275.75</v>
      </c>
      <c r="S895" s="25" t="e">
        <f>IF(Table1[[#This Row],[Sales]]=MIN(Table1[Sales]), Table1[[#This Row],[Sales]], NA())</f>
        <v>#N/A</v>
      </c>
      <c r="T895" s="25">
        <f>IF(AND(Table1[[#This Row],[Sales]]&lt;&gt;MIN(Table1[Sales]),Table1[[#This Row],[Sales]]&lt;&gt;MAX(Table1[Sales])), Table1[[#This Row],[Sales]], NA())</f>
        <v>49275.75</v>
      </c>
      <c r="U895" s="25" t="e">
        <f>IF(Table1[[#This Row],[Sales]]=MAX(Table1[Sales]), Table1[[#This Row],[Sales]], NA())</f>
        <v>#N/A</v>
      </c>
      <c r="V895">
        <v>1</v>
      </c>
      <c r="W895">
        <v>0.3</v>
      </c>
      <c r="X895">
        <v>246.38</v>
      </c>
      <c r="Y895" s="3">
        <f>YEAR(Table1[[#This Row],[Order Date]])</f>
        <v>2021</v>
      </c>
      <c r="Z895" s="3" t="str">
        <f>TEXT(Table1[[#This Row],[Order Date]],"MMM")</f>
        <v>Nov</v>
      </c>
      <c r="AA895" s="3">
        <f>DAY(Table1[[#This Row],[Order Date]])</f>
        <v>21</v>
      </c>
    </row>
    <row r="896" spans="1:27" x14ac:dyDescent="0.35">
      <c r="A896" s="1">
        <v>895</v>
      </c>
      <c r="B896" s="1" t="s">
        <v>3873</v>
      </c>
      <c r="C896" s="1" t="s">
        <v>870</v>
      </c>
      <c r="D896" s="1" t="s">
        <v>3874</v>
      </c>
      <c r="E896" t="s">
        <v>38</v>
      </c>
      <c r="F896" t="s">
        <v>3875</v>
      </c>
      <c r="G896" t="s">
        <v>26</v>
      </c>
      <c r="H896" t="s">
        <v>41</v>
      </c>
      <c r="I896" s="1" t="s">
        <v>28</v>
      </c>
      <c r="J896" t="s">
        <v>128</v>
      </c>
      <c r="K896" t="s">
        <v>129</v>
      </c>
      <c r="L896" s="1">
        <v>888736</v>
      </c>
      <c r="M896" s="1" t="s">
        <v>66</v>
      </c>
      <c r="N896" t="s">
        <v>3876</v>
      </c>
      <c r="O896" t="s">
        <v>32</v>
      </c>
      <c r="P896" t="s">
        <v>33</v>
      </c>
      <c r="Q896" t="s">
        <v>34</v>
      </c>
      <c r="R896">
        <v>67325.52</v>
      </c>
      <c r="S896" s="25" t="e">
        <f>IF(Table1[[#This Row],[Sales]]=MIN(Table1[Sales]), Table1[[#This Row],[Sales]], NA())</f>
        <v>#N/A</v>
      </c>
      <c r="T896" s="25">
        <f>IF(AND(Table1[[#This Row],[Sales]]&lt;&gt;MIN(Table1[Sales]),Table1[[#This Row],[Sales]]&lt;&gt;MAX(Table1[Sales])), Table1[[#This Row],[Sales]], NA())</f>
        <v>67325.52</v>
      </c>
      <c r="U896" s="25" t="e">
        <f>IF(Table1[[#This Row],[Sales]]=MAX(Table1[Sales]), Table1[[#This Row],[Sales]], NA())</f>
        <v>#N/A</v>
      </c>
      <c r="V896">
        <v>3</v>
      </c>
      <c r="W896">
        <v>0.2</v>
      </c>
      <c r="X896">
        <v>2019.77</v>
      </c>
      <c r="Y896" s="3">
        <f>YEAR(Table1[[#This Row],[Order Date]])</f>
        <v>2024</v>
      </c>
      <c r="Z896" s="3" t="str">
        <f>TEXT(Table1[[#This Row],[Order Date]],"MMM")</f>
        <v>Oct</v>
      </c>
      <c r="AA896" s="3">
        <f>DAY(Table1[[#This Row],[Order Date]])</f>
        <v>28</v>
      </c>
    </row>
    <row r="897" spans="1:27" x14ac:dyDescent="0.35">
      <c r="A897" s="1">
        <v>896</v>
      </c>
      <c r="B897" s="1" t="s">
        <v>3877</v>
      </c>
      <c r="C897" s="1" t="s">
        <v>658</v>
      </c>
      <c r="D897" s="1" t="s">
        <v>3452</v>
      </c>
      <c r="E897" t="s">
        <v>62</v>
      </c>
      <c r="F897" t="s">
        <v>3878</v>
      </c>
      <c r="G897" t="s">
        <v>26</v>
      </c>
      <c r="H897" t="s">
        <v>27</v>
      </c>
      <c r="I897" s="1" t="s">
        <v>28</v>
      </c>
      <c r="J897" t="s">
        <v>42</v>
      </c>
      <c r="K897" t="s">
        <v>43</v>
      </c>
      <c r="L897" s="1">
        <v>928863</v>
      </c>
      <c r="M897" s="1" t="s">
        <v>44</v>
      </c>
      <c r="N897" t="s">
        <v>3879</v>
      </c>
      <c r="O897" t="s">
        <v>46</v>
      </c>
      <c r="P897" t="s">
        <v>57</v>
      </c>
      <c r="Q897" t="s">
        <v>58</v>
      </c>
      <c r="R897">
        <v>23437.78</v>
      </c>
      <c r="S897" s="25" t="e">
        <f>IF(Table1[[#This Row],[Sales]]=MIN(Table1[Sales]), Table1[[#This Row],[Sales]], NA())</f>
        <v>#N/A</v>
      </c>
      <c r="T897" s="25">
        <f>IF(AND(Table1[[#This Row],[Sales]]&lt;&gt;MIN(Table1[Sales]),Table1[[#This Row],[Sales]]&lt;&gt;MAX(Table1[Sales])), Table1[[#This Row],[Sales]], NA())</f>
        <v>23437.78</v>
      </c>
      <c r="U897" s="25" t="e">
        <f>IF(Table1[[#This Row],[Sales]]=MAX(Table1[Sales]), Table1[[#This Row],[Sales]], NA())</f>
        <v>#N/A</v>
      </c>
      <c r="V897">
        <v>1</v>
      </c>
      <c r="W897">
        <v>0.1</v>
      </c>
      <c r="X897">
        <v>1289.08</v>
      </c>
      <c r="Y897" s="3">
        <f>YEAR(Table1[[#This Row],[Order Date]])</f>
        <v>2022</v>
      </c>
      <c r="Z897" s="3" t="str">
        <f>TEXT(Table1[[#This Row],[Order Date]],"MMM")</f>
        <v>May</v>
      </c>
      <c r="AA897" s="3">
        <f>DAY(Table1[[#This Row],[Order Date]])</f>
        <v>21</v>
      </c>
    </row>
    <row r="898" spans="1:27" x14ac:dyDescent="0.35">
      <c r="A898" s="1">
        <v>897</v>
      </c>
      <c r="B898" s="1" t="s">
        <v>3880</v>
      </c>
      <c r="C898" s="1" t="s">
        <v>1727</v>
      </c>
      <c r="D898" s="1" t="s">
        <v>611</v>
      </c>
      <c r="E898" t="s">
        <v>38</v>
      </c>
      <c r="F898" t="s">
        <v>3881</v>
      </c>
      <c r="G898" t="s">
        <v>40</v>
      </c>
      <c r="H898" t="s">
        <v>94</v>
      </c>
      <c r="I898" s="1" t="s">
        <v>28</v>
      </c>
      <c r="J898" t="s">
        <v>128</v>
      </c>
      <c r="K898" t="s">
        <v>129</v>
      </c>
      <c r="L898" s="1">
        <v>324155</v>
      </c>
      <c r="M898" s="1" t="s">
        <v>66</v>
      </c>
      <c r="N898" t="s">
        <v>3882</v>
      </c>
      <c r="O898" t="s">
        <v>46</v>
      </c>
      <c r="P898" t="s">
        <v>47</v>
      </c>
      <c r="Q898" t="s">
        <v>48</v>
      </c>
      <c r="R898">
        <v>26001.1</v>
      </c>
      <c r="S898" s="25" t="e">
        <f>IF(Table1[[#This Row],[Sales]]=MIN(Table1[Sales]), Table1[[#This Row],[Sales]], NA())</f>
        <v>#N/A</v>
      </c>
      <c r="T898" s="25">
        <f>IF(AND(Table1[[#This Row],[Sales]]&lt;&gt;MIN(Table1[Sales]),Table1[[#This Row],[Sales]]&lt;&gt;MAX(Table1[Sales])), Table1[[#This Row],[Sales]], NA())</f>
        <v>26001.1</v>
      </c>
      <c r="U898" s="25" t="e">
        <f>IF(Table1[[#This Row],[Sales]]=MAX(Table1[Sales]), Table1[[#This Row],[Sales]], NA())</f>
        <v>#N/A</v>
      </c>
      <c r="V898">
        <v>8</v>
      </c>
      <c r="W898">
        <v>0.3</v>
      </c>
      <c r="X898">
        <v>130.01</v>
      </c>
      <c r="Y898" s="3">
        <f>YEAR(Table1[[#This Row],[Order Date]])</f>
        <v>2024</v>
      </c>
      <c r="Z898" s="3" t="str">
        <f>TEXT(Table1[[#This Row],[Order Date]],"MMM")</f>
        <v>Jun</v>
      </c>
      <c r="AA898" s="3">
        <f>DAY(Table1[[#This Row],[Order Date]])</f>
        <v>1</v>
      </c>
    </row>
    <row r="899" spans="1:27" x14ac:dyDescent="0.35">
      <c r="A899" s="1">
        <v>898</v>
      </c>
      <c r="B899" s="1" t="s">
        <v>3883</v>
      </c>
      <c r="C899" s="1" t="s">
        <v>221</v>
      </c>
      <c r="D899" s="1" t="s">
        <v>3884</v>
      </c>
      <c r="E899" t="s">
        <v>62</v>
      </c>
      <c r="F899" t="s">
        <v>3885</v>
      </c>
      <c r="G899" t="s">
        <v>188</v>
      </c>
      <c r="H899" t="s">
        <v>94</v>
      </c>
      <c r="I899" s="1" t="s">
        <v>28</v>
      </c>
      <c r="J899" t="s">
        <v>128</v>
      </c>
      <c r="K899" t="s">
        <v>129</v>
      </c>
      <c r="L899" s="1">
        <v>385078</v>
      </c>
      <c r="M899" s="1" t="s">
        <v>66</v>
      </c>
      <c r="N899" t="s">
        <v>3886</v>
      </c>
      <c r="O899" t="s">
        <v>46</v>
      </c>
      <c r="P899" t="s">
        <v>57</v>
      </c>
      <c r="Q899" t="s">
        <v>58</v>
      </c>
      <c r="R899">
        <v>5258.92</v>
      </c>
      <c r="S899" s="25" t="e">
        <f>IF(Table1[[#This Row],[Sales]]=MIN(Table1[Sales]), Table1[[#This Row],[Sales]], NA())</f>
        <v>#N/A</v>
      </c>
      <c r="T899" s="25">
        <f>IF(AND(Table1[[#This Row],[Sales]]&lt;&gt;MIN(Table1[Sales]),Table1[[#This Row],[Sales]]&lt;&gt;MAX(Table1[Sales])), Table1[[#This Row],[Sales]], NA())</f>
        <v>5258.92</v>
      </c>
      <c r="U899" s="25" t="e">
        <f>IF(Table1[[#This Row],[Sales]]=MAX(Table1[Sales]), Table1[[#This Row],[Sales]], NA())</f>
        <v>#N/A</v>
      </c>
      <c r="V899">
        <v>7</v>
      </c>
      <c r="W899">
        <v>0.3</v>
      </c>
      <c r="X899">
        <v>26.29</v>
      </c>
      <c r="Y899" s="3">
        <f>YEAR(Table1[[#This Row],[Order Date]])</f>
        <v>2022</v>
      </c>
      <c r="Z899" s="3" t="str">
        <f>TEXT(Table1[[#This Row],[Order Date]],"MMM")</f>
        <v>May</v>
      </c>
      <c r="AA899" s="3">
        <f>DAY(Table1[[#This Row],[Order Date]])</f>
        <v>6</v>
      </c>
    </row>
    <row r="900" spans="1:27" x14ac:dyDescent="0.35">
      <c r="A900" s="1">
        <v>899</v>
      </c>
      <c r="B900" s="1" t="s">
        <v>3887</v>
      </c>
      <c r="C900" s="1" t="s">
        <v>359</v>
      </c>
      <c r="D900" s="1" t="s">
        <v>1888</v>
      </c>
      <c r="E900" t="s">
        <v>115</v>
      </c>
      <c r="F900" t="s">
        <v>3888</v>
      </c>
      <c r="G900" t="s">
        <v>122</v>
      </c>
      <c r="H900" t="s">
        <v>94</v>
      </c>
      <c r="I900" s="1" t="s">
        <v>28</v>
      </c>
      <c r="J900" t="s">
        <v>29</v>
      </c>
      <c r="K900" t="s">
        <v>29</v>
      </c>
      <c r="L900" s="1">
        <v>260908</v>
      </c>
      <c r="M900" s="1" t="s">
        <v>30</v>
      </c>
      <c r="N900" t="s">
        <v>3889</v>
      </c>
      <c r="O900" t="s">
        <v>68</v>
      </c>
      <c r="P900" t="s">
        <v>69</v>
      </c>
      <c r="Q900" t="s">
        <v>70</v>
      </c>
      <c r="R900">
        <v>33982.86</v>
      </c>
      <c r="S900" s="25" t="e">
        <f>IF(Table1[[#This Row],[Sales]]=MIN(Table1[Sales]), Table1[[#This Row],[Sales]], NA())</f>
        <v>#N/A</v>
      </c>
      <c r="T900" s="25">
        <f>IF(AND(Table1[[#This Row],[Sales]]&lt;&gt;MIN(Table1[Sales]),Table1[[#This Row],[Sales]]&lt;&gt;MAX(Table1[Sales])), Table1[[#This Row],[Sales]], NA())</f>
        <v>33982.86</v>
      </c>
      <c r="U900" s="25" t="e">
        <f>IF(Table1[[#This Row],[Sales]]=MAX(Table1[Sales]), Table1[[#This Row],[Sales]], NA())</f>
        <v>#N/A</v>
      </c>
      <c r="V900">
        <v>9</v>
      </c>
      <c r="W900">
        <v>0.1</v>
      </c>
      <c r="X900">
        <v>1869.06</v>
      </c>
      <c r="Y900" s="3">
        <f>YEAR(Table1[[#This Row],[Order Date]])</f>
        <v>2025</v>
      </c>
      <c r="Z900" s="3" t="str">
        <f>TEXT(Table1[[#This Row],[Order Date]],"MMM")</f>
        <v>Mar</v>
      </c>
      <c r="AA900" s="3">
        <f>DAY(Table1[[#This Row],[Order Date]])</f>
        <v>11</v>
      </c>
    </row>
    <row r="901" spans="1:27" x14ac:dyDescent="0.35">
      <c r="A901" s="1">
        <v>900</v>
      </c>
      <c r="B901" s="1" t="s">
        <v>3890</v>
      </c>
      <c r="C901" s="1" t="s">
        <v>914</v>
      </c>
      <c r="D901" s="1" t="s">
        <v>2658</v>
      </c>
      <c r="E901" t="s">
        <v>24</v>
      </c>
      <c r="F901" t="s">
        <v>3891</v>
      </c>
      <c r="G901" t="s">
        <v>87</v>
      </c>
      <c r="H901" t="s">
        <v>94</v>
      </c>
      <c r="I901" s="1" t="s">
        <v>28</v>
      </c>
      <c r="J901" t="s">
        <v>64</v>
      </c>
      <c r="K901" t="s">
        <v>65</v>
      </c>
      <c r="L901" s="1">
        <v>505445</v>
      </c>
      <c r="M901" s="1" t="s">
        <v>66</v>
      </c>
      <c r="N901" t="s">
        <v>3892</v>
      </c>
      <c r="O901" t="s">
        <v>32</v>
      </c>
      <c r="P901" t="s">
        <v>33</v>
      </c>
      <c r="Q901" t="s">
        <v>34</v>
      </c>
      <c r="R901">
        <v>51515.54</v>
      </c>
      <c r="S901" s="25" t="e">
        <f>IF(Table1[[#This Row],[Sales]]=MIN(Table1[Sales]), Table1[[#This Row],[Sales]], NA())</f>
        <v>#N/A</v>
      </c>
      <c r="T901" s="25">
        <f>IF(AND(Table1[[#This Row],[Sales]]&lt;&gt;MIN(Table1[Sales]),Table1[[#This Row],[Sales]]&lt;&gt;MAX(Table1[Sales])), Table1[[#This Row],[Sales]], NA())</f>
        <v>51515.54</v>
      </c>
      <c r="U901" s="25" t="e">
        <f>IF(Table1[[#This Row],[Sales]]=MAX(Table1[Sales]), Table1[[#This Row],[Sales]], NA())</f>
        <v>#N/A</v>
      </c>
      <c r="V901">
        <v>7</v>
      </c>
      <c r="W901">
        <v>0.2</v>
      </c>
      <c r="X901">
        <v>1545.47</v>
      </c>
      <c r="Y901" s="3">
        <f>YEAR(Table1[[#This Row],[Order Date]])</f>
        <v>2022</v>
      </c>
      <c r="Z901" s="3" t="str">
        <f>TEXT(Table1[[#This Row],[Order Date]],"MMM")</f>
        <v>Nov</v>
      </c>
      <c r="AA901" s="3">
        <f>DAY(Table1[[#This Row],[Order Date]])</f>
        <v>18</v>
      </c>
    </row>
    <row r="902" spans="1:27" x14ac:dyDescent="0.35">
      <c r="A902" s="1">
        <v>901</v>
      </c>
      <c r="B902" s="1" t="s">
        <v>3893</v>
      </c>
      <c r="C902" s="1" t="s">
        <v>3894</v>
      </c>
      <c r="D902" s="1" t="s">
        <v>2356</v>
      </c>
      <c r="E902" t="s">
        <v>38</v>
      </c>
      <c r="F902" t="s">
        <v>3895</v>
      </c>
      <c r="G902" t="s">
        <v>87</v>
      </c>
      <c r="H902" t="s">
        <v>41</v>
      </c>
      <c r="I902" s="1" t="s">
        <v>28</v>
      </c>
      <c r="J902" t="s">
        <v>42</v>
      </c>
      <c r="K902" t="s">
        <v>43</v>
      </c>
      <c r="L902" s="1">
        <v>262584</v>
      </c>
      <c r="M902" s="1" t="s">
        <v>44</v>
      </c>
      <c r="N902" t="s">
        <v>3896</v>
      </c>
      <c r="O902" t="s">
        <v>46</v>
      </c>
      <c r="P902" t="s">
        <v>57</v>
      </c>
      <c r="Q902" t="s">
        <v>58</v>
      </c>
      <c r="R902">
        <v>64110.77</v>
      </c>
      <c r="S902" s="25" t="e">
        <f>IF(Table1[[#This Row],[Sales]]=MIN(Table1[Sales]), Table1[[#This Row],[Sales]], NA())</f>
        <v>#N/A</v>
      </c>
      <c r="T902" s="25">
        <f>IF(AND(Table1[[#This Row],[Sales]]&lt;&gt;MIN(Table1[Sales]),Table1[[#This Row],[Sales]]&lt;&gt;MAX(Table1[Sales])), Table1[[#This Row],[Sales]], NA())</f>
        <v>64110.77</v>
      </c>
      <c r="U902" s="25" t="e">
        <f>IF(Table1[[#This Row],[Sales]]=MAX(Table1[Sales]), Table1[[#This Row],[Sales]], NA())</f>
        <v>#N/A</v>
      </c>
      <c r="V902">
        <v>9</v>
      </c>
      <c r="W902">
        <v>0.3</v>
      </c>
      <c r="X902">
        <v>320.55</v>
      </c>
      <c r="Y902" s="3">
        <f>YEAR(Table1[[#This Row],[Order Date]])</f>
        <v>2023</v>
      </c>
      <c r="Z902" s="3" t="str">
        <f>TEXT(Table1[[#This Row],[Order Date]],"MMM")</f>
        <v>Feb</v>
      </c>
      <c r="AA902" s="3">
        <f>DAY(Table1[[#This Row],[Order Date]])</f>
        <v>4</v>
      </c>
    </row>
    <row r="903" spans="1:27" x14ac:dyDescent="0.35">
      <c r="A903" s="1">
        <v>902</v>
      </c>
      <c r="B903" s="1" t="s">
        <v>3897</v>
      </c>
      <c r="C903" s="1" t="s">
        <v>143</v>
      </c>
      <c r="D903" s="1" t="s">
        <v>1228</v>
      </c>
      <c r="E903" t="s">
        <v>62</v>
      </c>
      <c r="F903" t="s">
        <v>3898</v>
      </c>
      <c r="G903" t="s">
        <v>188</v>
      </c>
      <c r="H903" t="s">
        <v>41</v>
      </c>
      <c r="I903" s="1" t="s">
        <v>28</v>
      </c>
      <c r="J903" t="s">
        <v>128</v>
      </c>
      <c r="K903" t="s">
        <v>129</v>
      </c>
      <c r="L903" s="1">
        <v>448956</v>
      </c>
      <c r="M903" s="1" t="s">
        <v>66</v>
      </c>
      <c r="N903" t="s">
        <v>3899</v>
      </c>
      <c r="O903" t="s">
        <v>68</v>
      </c>
      <c r="P903" t="s">
        <v>69</v>
      </c>
      <c r="Q903" t="s">
        <v>70</v>
      </c>
      <c r="R903">
        <v>74517.25</v>
      </c>
      <c r="S903" s="25" t="e">
        <f>IF(Table1[[#This Row],[Sales]]=MIN(Table1[Sales]), Table1[[#This Row],[Sales]], NA())</f>
        <v>#N/A</v>
      </c>
      <c r="T903" s="25">
        <f>IF(AND(Table1[[#This Row],[Sales]]&lt;&gt;MIN(Table1[Sales]),Table1[[#This Row],[Sales]]&lt;&gt;MAX(Table1[Sales])), Table1[[#This Row],[Sales]], NA())</f>
        <v>74517.25</v>
      </c>
      <c r="U903" s="25" t="e">
        <f>IF(Table1[[#This Row],[Sales]]=MAX(Table1[Sales]), Table1[[#This Row],[Sales]], NA())</f>
        <v>#N/A</v>
      </c>
      <c r="V903">
        <v>6</v>
      </c>
      <c r="W903">
        <v>0.2</v>
      </c>
      <c r="X903">
        <v>2235.52</v>
      </c>
      <c r="Y903" s="3">
        <f>YEAR(Table1[[#This Row],[Order Date]])</f>
        <v>2025</v>
      </c>
      <c r="Z903" s="3" t="str">
        <f>TEXT(Table1[[#This Row],[Order Date]],"MMM")</f>
        <v>Oct</v>
      </c>
      <c r="AA903" s="3">
        <f>DAY(Table1[[#This Row],[Order Date]])</f>
        <v>24</v>
      </c>
    </row>
    <row r="904" spans="1:27" x14ac:dyDescent="0.35">
      <c r="A904" s="1">
        <v>903</v>
      </c>
      <c r="B904" s="1" t="s">
        <v>3900</v>
      </c>
      <c r="C904" s="1" t="s">
        <v>3901</v>
      </c>
      <c r="D904" s="1" t="s">
        <v>438</v>
      </c>
      <c r="E904" t="s">
        <v>24</v>
      </c>
      <c r="F904" t="s">
        <v>3902</v>
      </c>
      <c r="G904" t="s">
        <v>122</v>
      </c>
      <c r="H904" t="s">
        <v>27</v>
      </c>
      <c r="I904" s="1" t="s">
        <v>28</v>
      </c>
      <c r="J904" t="s">
        <v>64</v>
      </c>
      <c r="K904" t="s">
        <v>65</v>
      </c>
      <c r="L904" s="1">
        <v>927743</v>
      </c>
      <c r="M904" s="1" t="s">
        <v>66</v>
      </c>
      <c r="N904" t="s">
        <v>3903</v>
      </c>
      <c r="O904" t="s">
        <v>46</v>
      </c>
      <c r="P904" t="s">
        <v>47</v>
      </c>
      <c r="Q904" t="s">
        <v>48</v>
      </c>
      <c r="R904">
        <v>92244.94</v>
      </c>
      <c r="S904" s="25" t="e">
        <f>IF(Table1[[#This Row],[Sales]]=MIN(Table1[Sales]), Table1[[#This Row],[Sales]], NA())</f>
        <v>#N/A</v>
      </c>
      <c r="T904" s="25">
        <f>IF(AND(Table1[[#This Row],[Sales]]&lt;&gt;MIN(Table1[Sales]),Table1[[#This Row],[Sales]]&lt;&gt;MAX(Table1[Sales])), Table1[[#This Row],[Sales]], NA())</f>
        <v>92244.94</v>
      </c>
      <c r="U904" s="25" t="e">
        <f>IF(Table1[[#This Row],[Sales]]=MAX(Table1[Sales]), Table1[[#This Row],[Sales]], NA())</f>
        <v>#N/A</v>
      </c>
      <c r="V904">
        <v>3</v>
      </c>
      <c r="W904">
        <v>0.3</v>
      </c>
      <c r="X904">
        <v>461.22</v>
      </c>
      <c r="Y904" s="3">
        <f>YEAR(Table1[[#This Row],[Order Date]])</f>
        <v>2022</v>
      </c>
      <c r="Z904" s="3" t="str">
        <f>TEXT(Table1[[#This Row],[Order Date]],"MMM")</f>
        <v>Feb</v>
      </c>
      <c r="AA904" s="3">
        <f>DAY(Table1[[#This Row],[Order Date]])</f>
        <v>27</v>
      </c>
    </row>
    <row r="905" spans="1:27" x14ac:dyDescent="0.35">
      <c r="A905" s="1">
        <v>904</v>
      </c>
      <c r="B905" s="1" t="s">
        <v>3904</v>
      </c>
      <c r="C905" s="1" t="s">
        <v>1370</v>
      </c>
      <c r="D905" s="1" t="s">
        <v>1248</v>
      </c>
      <c r="E905" t="s">
        <v>38</v>
      </c>
      <c r="F905" t="s">
        <v>3905</v>
      </c>
      <c r="G905" t="s">
        <v>122</v>
      </c>
      <c r="H905" t="s">
        <v>94</v>
      </c>
      <c r="I905" s="1" t="s">
        <v>28</v>
      </c>
      <c r="J905" t="s">
        <v>128</v>
      </c>
      <c r="K905" t="s">
        <v>129</v>
      </c>
      <c r="L905" s="1">
        <v>712295</v>
      </c>
      <c r="M905" s="1" t="s">
        <v>66</v>
      </c>
      <c r="N905" t="s">
        <v>3906</v>
      </c>
      <c r="O905" t="s">
        <v>46</v>
      </c>
      <c r="P905" t="s">
        <v>47</v>
      </c>
      <c r="Q905" t="s">
        <v>48</v>
      </c>
      <c r="R905">
        <v>22126.47</v>
      </c>
      <c r="S905" s="25" t="e">
        <f>IF(Table1[[#This Row],[Sales]]=MIN(Table1[Sales]), Table1[[#This Row],[Sales]], NA())</f>
        <v>#N/A</v>
      </c>
      <c r="T905" s="25">
        <f>IF(AND(Table1[[#This Row],[Sales]]&lt;&gt;MIN(Table1[Sales]),Table1[[#This Row],[Sales]]&lt;&gt;MAX(Table1[Sales])), Table1[[#This Row],[Sales]], NA())</f>
        <v>22126.47</v>
      </c>
      <c r="U905" s="25" t="e">
        <f>IF(Table1[[#This Row],[Sales]]=MAX(Table1[Sales]), Table1[[#This Row],[Sales]], NA())</f>
        <v>#N/A</v>
      </c>
      <c r="V905">
        <v>5</v>
      </c>
      <c r="W905">
        <v>0</v>
      </c>
      <c r="X905">
        <v>1770.12</v>
      </c>
      <c r="Y905" s="3">
        <f>YEAR(Table1[[#This Row],[Order Date]])</f>
        <v>2024</v>
      </c>
      <c r="Z905" s="3" t="str">
        <f>TEXT(Table1[[#This Row],[Order Date]],"MMM")</f>
        <v>Jun</v>
      </c>
      <c r="AA905" s="3">
        <f>DAY(Table1[[#This Row],[Order Date]])</f>
        <v>6</v>
      </c>
    </row>
    <row r="906" spans="1:27" x14ac:dyDescent="0.35">
      <c r="A906" s="1">
        <v>905</v>
      </c>
      <c r="B906" s="1" t="s">
        <v>3907</v>
      </c>
      <c r="C906" s="1" t="s">
        <v>2936</v>
      </c>
      <c r="D906" s="1" t="s">
        <v>1340</v>
      </c>
      <c r="E906" t="s">
        <v>62</v>
      </c>
      <c r="F906" t="s">
        <v>3908</v>
      </c>
      <c r="G906" t="s">
        <v>40</v>
      </c>
      <c r="H906" t="s">
        <v>94</v>
      </c>
      <c r="I906" s="1" t="s">
        <v>28</v>
      </c>
      <c r="J906" t="s">
        <v>29</v>
      </c>
      <c r="K906" t="s">
        <v>29</v>
      </c>
      <c r="L906" s="1">
        <v>322461</v>
      </c>
      <c r="M906" s="1" t="s">
        <v>30</v>
      </c>
      <c r="N906" t="s">
        <v>3909</v>
      </c>
      <c r="O906" t="s">
        <v>46</v>
      </c>
      <c r="P906" t="s">
        <v>47</v>
      </c>
      <c r="Q906" t="s">
        <v>48</v>
      </c>
      <c r="R906">
        <v>25649.49</v>
      </c>
      <c r="S906" s="25" t="e">
        <f>IF(Table1[[#This Row],[Sales]]=MIN(Table1[Sales]), Table1[[#This Row],[Sales]], NA())</f>
        <v>#N/A</v>
      </c>
      <c r="T906" s="25">
        <f>IF(AND(Table1[[#This Row],[Sales]]&lt;&gt;MIN(Table1[Sales]),Table1[[#This Row],[Sales]]&lt;&gt;MAX(Table1[Sales])), Table1[[#This Row],[Sales]], NA())</f>
        <v>25649.49</v>
      </c>
      <c r="U906" s="25" t="e">
        <f>IF(Table1[[#This Row],[Sales]]=MAX(Table1[Sales]), Table1[[#This Row],[Sales]], NA())</f>
        <v>#N/A</v>
      </c>
      <c r="V906">
        <v>3</v>
      </c>
      <c r="W906">
        <v>0.3</v>
      </c>
      <c r="X906">
        <v>128.25</v>
      </c>
      <c r="Y906" s="3">
        <f>YEAR(Table1[[#This Row],[Order Date]])</f>
        <v>2021</v>
      </c>
      <c r="Z906" s="3" t="str">
        <f>TEXT(Table1[[#This Row],[Order Date]],"MMM")</f>
        <v>Apr</v>
      </c>
      <c r="AA906" s="3">
        <f>DAY(Table1[[#This Row],[Order Date]])</f>
        <v>6</v>
      </c>
    </row>
    <row r="907" spans="1:27" x14ac:dyDescent="0.35">
      <c r="A907" s="1">
        <v>906</v>
      </c>
      <c r="B907" s="1" t="s">
        <v>3910</v>
      </c>
      <c r="C907" s="1" t="s">
        <v>1427</v>
      </c>
      <c r="D907" s="1" t="s">
        <v>2234</v>
      </c>
      <c r="E907" t="s">
        <v>115</v>
      </c>
      <c r="F907" t="s">
        <v>3911</v>
      </c>
      <c r="G907" t="s">
        <v>26</v>
      </c>
      <c r="H907" t="s">
        <v>27</v>
      </c>
      <c r="I907" s="1" t="s">
        <v>28</v>
      </c>
      <c r="J907" t="s">
        <v>64</v>
      </c>
      <c r="K907" t="s">
        <v>65</v>
      </c>
      <c r="L907" s="1">
        <v>179393</v>
      </c>
      <c r="M907" s="1" t="s">
        <v>66</v>
      </c>
      <c r="N907" t="s">
        <v>3912</v>
      </c>
      <c r="O907" t="s">
        <v>68</v>
      </c>
      <c r="P907" t="s">
        <v>69</v>
      </c>
      <c r="Q907" t="s">
        <v>70</v>
      </c>
      <c r="R907">
        <v>30908.639999999999</v>
      </c>
      <c r="S907" s="25" t="e">
        <f>IF(Table1[[#This Row],[Sales]]=MIN(Table1[Sales]), Table1[[#This Row],[Sales]], NA())</f>
        <v>#N/A</v>
      </c>
      <c r="T907" s="25">
        <f>IF(AND(Table1[[#This Row],[Sales]]&lt;&gt;MIN(Table1[Sales]),Table1[[#This Row],[Sales]]&lt;&gt;MAX(Table1[Sales])), Table1[[#This Row],[Sales]], NA())</f>
        <v>30908.639999999999</v>
      </c>
      <c r="U907" s="25" t="e">
        <f>IF(Table1[[#This Row],[Sales]]=MAX(Table1[Sales]), Table1[[#This Row],[Sales]], NA())</f>
        <v>#N/A</v>
      </c>
      <c r="V907">
        <v>6</v>
      </c>
      <c r="W907">
        <v>0.2</v>
      </c>
      <c r="X907">
        <v>927.26</v>
      </c>
      <c r="Y907" s="3">
        <f>YEAR(Table1[[#This Row],[Order Date]])</f>
        <v>2024</v>
      </c>
      <c r="Z907" s="3" t="str">
        <f>TEXT(Table1[[#This Row],[Order Date]],"MMM")</f>
        <v>Aug</v>
      </c>
      <c r="AA907" s="3">
        <f>DAY(Table1[[#This Row],[Order Date]])</f>
        <v>28</v>
      </c>
    </row>
    <row r="908" spans="1:27" x14ac:dyDescent="0.35">
      <c r="A908" s="1">
        <v>907</v>
      </c>
      <c r="B908" s="1" t="s">
        <v>3913</v>
      </c>
      <c r="C908" s="1" t="s">
        <v>919</v>
      </c>
      <c r="D908" s="1" t="s">
        <v>2119</v>
      </c>
      <c r="E908" t="s">
        <v>38</v>
      </c>
      <c r="F908" t="s">
        <v>3914</v>
      </c>
      <c r="G908" t="s">
        <v>93</v>
      </c>
      <c r="H908" t="s">
        <v>27</v>
      </c>
      <c r="I908" s="1" t="s">
        <v>28</v>
      </c>
      <c r="J908" t="s">
        <v>42</v>
      </c>
      <c r="K908" t="s">
        <v>43</v>
      </c>
      <c r="L908" s="1">
        <v>929652</v>
      </c>
      <c r="M908" s="1" t="s">
        <v>44</v>
      </c>
      <c r="N908" t="s">
        <v>3915</v>
      </c>
      <c r="O908" t="s">
        <v>32</v>
      </c>
      <c r="P908" t="s">
        <v>33</v>
      </c>
      <c r="Q908" t="s">
        <v>34</v>
      </c>
      <c r="R908">
        <v>85182.55</v>
      </c>
      <c r="S908" s="25" t="e">
        <f>IF(Table1[[#This Row],[Sales]]=MIN(Table1[Sales]), Table1[[#This Row],[Sales]], NA())</f>
        <v>#N/A</v>
      </c>
      <c r="T908" s="25">
        <f>IF(AND(Table1[[#This Row],[Sales]]&lt;&gt;MIN(Table1[Sales]),Table1[[#This Row],[Sales]]&lt;&gt;MAX(Table1[Sales])), Table1[[#This Row],[Sales]], NA())</f>
        <v>85182.55</v>
      </c>
      <c r="U908" s="25" t="e">
        <f>IF(Table1[[#This Row],[Sales]]=MAX(Table1[Sales]), Table1[[#This Row],[Sales]], NA())</f>
        <v>#N/A</v>
      </c>
      <c r="V908">
        <v>10</v>
      </c>
      <c r="W908">
        <v>0</v>
      </c>
      <c r="X908">
        <v>6814.6</v>
      </c>
      <c r="Y908" s="3">
        <f>YEAR(Table1[[#This Row],[Order Date]])</f>
        <v>2023</v>
      </c>
      <c r="Z908" s="3" t="str">
        <f>TEXT(Table1[[#This Row],[Order Date]],"MMM")</f>
        <v>Jul</v>
      </c>
      <c r="AA908" s="3">
        <f>DAY(Table1[[#This Row],[Order Date]])</f>
        <v>16</v>
      </c>
    </row>
    <row r="909" spans="1:27" x14ac:dyDescent="0.35">
      <c r="A909" s="1">
        <v>908</v>
      </c>
      <c r="B909" s="1" t="s">
        <v>3916</v>
      </c>
      <c r="C909" s="1" t="s">
        <v>2833</v>
      </c>
      <c r="D909" s="1" t="s">
        <v>2182</v>
      </c>
      <c r="E909" t="s">
        <v>62</v>
      </c>
      <c r="F909" t="s">
        <v>3917</v>
      </c>
      <c r="G909" t="s">
        <v>122</v>
      </c>
      <c r="H909" t="s">
        <v>41</v>
      </c>
      <c r="I909" s="1" t="s">
        <v>28</v>
      </c>
      <c r="J909" t="s">
        <v>53</v>
      </c>
      <c r="K909" t="s">
        <v>54</v>
      </c>
      <c r="L909" s="1">
        <v>125997</v>
      </c>
      <c r="M909" s="1" t="s">
        <v>55</v>
      </c>
      <c r="N909" t="s">
        <v>3918</v>
      </c>
      <c r="O909" t="s">
        <v>46</v>
      </c>
      <c r="P909" t="s">
        <v>57</v>
      </c>
      <c r="Q909" t="s">
        <v>58</v>
      </c>
      <c r="R909">
        <v>81494.600000000006</v>
      </c>
      <c r="S909" s="25" t="e">
        <f>IF(Table1[[#This Row],[Sales]]=MIN(Table1[Sales]), Table1[[#This Row],[Sales]], NA())</f>
        <v>#N/A</v>
      </c>
      <c r="T909" s="25">
        <f>IF(AND(Table1[[#This Row],[Sales]]&lt;&gt;MIN(Table1[Sales]),Table1[[#This Row],[Sales]]&lt;&gt;MAX(Table1[Sales])), Table1[[#This Row],[Sales]], NA())</f>
        <v>81494.600000000006</v>
      </c>
      <c r="U909" s="25" t="e">
        <f>IF(Table1[[#This Row],[Sales]]=MAX(Table1[Sales]), Table1[[#This Row],[Sales]], NA())</f>
        <v>#N/A</v>
      </c>
      <c r="V909">
        <v>1</v>
      </c>
      <c r="W909">
        <v>0.2</v>
      </c>
      <c r="X909">
        <v>2444.84</v>
      </c>
      <c r="Y909" s="3">
        <f>YEAR(Table1[[#This Row],[Order Date]])</f>
        <v>2021</v>
      </c>
      <c r="Z909" s="3" t="str">
        <f>TEXT(Table1[[#This Row],[Order Date]],"MMM")</f>
        <v>Feb</v>
      </c>
      <c r="AA909" s="3">
        <f>DAY(Table1[[#This Row],[Order Date]])</f>
        <v>5</v>
      </c>
    </row>
    <row r="910" spans="1:27" x14ac:dyDescent="0.35">
      <c r="A910" s="1">
        <v>909</v>
      </c>
      <c r="B910" s="1" t="s">
        <v>3919</v>
      </c>
      <c r="C910" s="1" t="s">
        <v>3920</v>
      </c>
      <c r="D910" s="1" t="s">
        <v>1150</v>
      </c>
      <c r="E910" t="s">
        <v>62</v>
      </c>
      <c r="F910" t="s">
        <v>3921</v>
      </c>
      <c r="G910" t="s">
        <v>81</v>
      </c>
      <c r="H910" t="s">
        <v>41</v>
      </c>
      <c r="I910" s="1" t="s">
        <v>28</v>
      </c>
      <c r="J910" t="s">
        <v>53</v>
      </c>
      <c r="K910" t="s">
        <v>54</v>
      </c>
      <c r="L910" s="1">
        <v>967840</v>
      </c>
      <c r="M910" s="1" t="s">
        <v>55</v>
      </c>
      <c r="N910" t="s">
        <v>3922</v>
      </c>
      <c r="O910" t="s">
        <v>46</v>
      </c>
      <c r="P910" t="s">
        <v>47</v>
      </c>
      <c r="Q910" t="s">
        <v>48</v>
      </c>
      <c r="R910">
        <v>42037.599999999999</v>
      </c>
      <c r="S910" s="25" t="e">
        <f>IF(Table1[[#This Row],[Sales]]=MIN(Table1[Sales]), Table1[[#This Row],[Sales]], NA())</f>
        <v>#N/A</v>
      </c>
      <c r="T910" s="25">
        <f>IF(AND(Table1[[#This Row],[Sales]]&lt;&gt;MIN(Table1[Sales]),Table1[[#This Row],[Sales]]&lt;&gt;MAX(Table1[Sales])), Table1[[#This Row],[Sales]], NA())</f>
        <v>42037.599999999999</v>
      </c>
      <c r="U910" s="25" t="e">
        <f>IF(Table1[[#This Row],[Sales]]=MAX(Table1[Sales]), Table1[[#This Row],[Sales]], NA())</f>
        <v>#N/A</v>
      </c>
      <c r="V910">
        <v>3</v>
      </c>
      <c r="W910">
        <v>0.1</v>
      </c>
      <c r="X910">
        <v>2312.0700000000002</v>
      </c>
      <c r="Y910" s="3">
        <f>YEAR(Table1[[#This Row],[Order Date]])</f>
        <v>2021</v>
      </c>
      <c r="Z910" s="3" t="str">
        <f>TEXT(Table1[[#This Row],[Order Date]],"MMM")</f>
        <v>Apr</v>
      </c>
      <c r="AA910" s="3">
        <f>DAY(Table1[[#This Row],[Order Date]])</f>
        <v>24</v>
      </c>
    </row>
    <row r="911" spans="1:27" x14ac:dyDescent="0.35">
      <c r="A911" s="1">
        <v>910</v>
      </c>
      <c r="B911" s="1" t="s">
        <v>3923</v>
      </c>
      <c r="C911" s="1" t="s">
        <v>775</v>
      </c>
      <c r="D911" s="1" t="s">
        <v>3086</v>
      </c>
      <c r="E911" t="s">
        <v>115</v>
      </c>
      <c r="F911" t="s">
        <v>3924</v>
      </c>
      <c r="G911" t="s">
        <v>81</v>
      </c>
      <c r="H911" t="s">
        <v>27</v>
      </c>
      <c r="I911" s="1" t="s">
        <v>28</v>
      </c>
      <c r="J911" t="s">
        <v>42</v>
      </c>
      <c r="K911" t="s">
        <v>43</v>
      </c>
      <c r="L911" s="1">
        <v>129667</v>
      </c>
      <c r="M911" s="1" t="s">
        <v>44</v>
      </c>
      <c r="N911" t="s">
        <v>3925</v>
      </c>
      <c r="O911" t="s">
        <v>46</v>
      </c>
      <c r="P911" t="s">
        <v>57</v>
      </c>
      <c r="Q911" t="s">
        <v>58</v>
      </c>
      <c r="R911">
        <v>47957.06</v>
      </c>
      <c r="S911" s="25" t="e">
        <f>IF(Table1[[#This Row],[Sales]]=MIN(Table1[Sales]), Table1[[#This Row],[Sales]], NA())</f>
        <v>#N/A</v>
      </c>
      <c r="T911" s="25">
        <f>IF(AND(Table1[[#This Row],[Sales]]&lt;&gt;MIN(Table1[Sales]),Table1[[#This Row],[Sales]]&lt;&gt;MAX(Table1[Sales])), Table1[[#This Row],[Sales]], NA())</f>
        <v>47957.06</v>
      </c>
      <c r="U911" s="25" t="e">
        <f>IF(Table1[[#This Row],[Sales]]=MAX(Table1[Sales]), Table1[[#This Row],[Sales]], NA())</f>
        <v>#N/A</v>
      </c>
      <c r="V911">
        <v>6</v>
      </c>
      <c r="W911">
        <v>0.1</v>
      </c>
      <c r="X911">
        <v>2637.64</v>
      </c>
      <c r="Y911" s="3">
        <f>YEAR(Table1[[#This Row],[Order Date]])</f>
        <v>2022</v>
      </c>
      <c r="Z911" s="3" t="str">
        <f>TEXT(Table1[[#This Row],[Order Date]],"MMM")</f>
        <v>Jun</v>
      </c>
      <c r="AA911" s="3">
        <f>DAY(Table1[[#This Row],[Order Date]])</f>
        <v>8</v>
      </c>
    </row>
    <row r="912" spans="1:27" x14ac:dyDescent="0.35">
      <c r="A912" s="1">
        <v>911</v>
      </c>
      <c r="B912" s="1" t="s">
        <v>3926</v>
      </c>
      <c r="C912" s="1" t="s">
        <v>3077</v>
      </c>
      <c r="D912" s="1" t="s">
        <v>2787</v>
      </c>
      <c r="E912" t="s">
        <v>24</v>
      </c>
      <c r="F912" t="s">
        <v>3927</v>
      </c>
      <c r="G912" t="s">
        <v>188</v>
      </c>
      <c r="H912" t="s">
        <v>94</v>
      </c>
      <c r="I912" s="1" t="s">
        <v>28</v>
      </c>
      <c r="J912" t="s">
        <v>53</v>
      </c>
      <c r="K912" t="s">
        <v>54</v>
      </c>
      <c r="L912" s="1">
        <v>260046</v>
      </c>
      <c r="M912" s="1" t="s">
        <v>55</v>
      </c>
      <c r="N912" t="s">
        <v>3928</v>
      </c>
      <c r="O912" t="s">
        <v>68</v>
      </c>
      <c r="P912" t="s">
        <v>69</v>
      </c>
      <c r="Q912" t="s">
        <v>70</v>
      </c>
      <c r="R912">
        <v>11338.03</v>
      </c>
      <c r="S912" s="25" t="e">
        <f>IF(Table1[[#This Row],[Sales]]=MIN(Table1[Sales]), Table1[[#This Row],[Sales]], NA())</f>
        <v>#N/A</v>
      </c>
      <c r="T912" s="25">
        <f>IF(AND(Table1[[#This Row],[Sales]]&lt;&gt;MIN(Table1[Sales]),Table1[[#This Row],[Sales]]&lt;&gt;MAX(Table1[Sales])), Table1[[#This Row],[Sales]], NA())</f>
        <v>11338.03</v>
      </c>
      <c r="U912" s="25" t="e">
        <f>IF(Table1[[#This Row],[Sales]]=MAX(Table1[Sales]), Table1[[#This Row],[Sales]], NA())</f>
        <v>#N/A</v>
      </c>
      <c r="V912">
        <v>4</v>
      </c>
      <c r="W912">
        <v>0.3</v>
      </c>
      <c r="X912">
        <v>56.69</v>
      </c>
      <c r="Y912" s="3">
        <f>YEAR(Table1[[#This Row],[Order Date]])</f>
        <v>2021</v>
      </c>
      <c r="Z912" s="3" t="str">
        <f>TEXT(Table1[[#This Row],[Order Date]],"MMM")</f>
        <v>May</v>
      </c>
      <c r="AA912" s="3">
        <f>DAY(Table1[[#This Row],[Order Date]])</f>
        <v>13</v>
      </c>
    </row>
    <row r="913" spans="1:27" x14ac:dyDescent="0.35">
      <c r="A913" s="1">
        <v>912</v>
      </c>
      <c r="B913" s="1" t="s">
        <v>3929</v>
      </c>
      <c r="C913" s="1" t="s">
        <v>3227</v>
      </c>
      <c r="D913" s="1" t="s">
        <v>602</v>
      </c>
      <c r="E913" t="s">
        <v>38</v>
      </c>
      <c r="F913" t="s">
        <v>3930</v>
      </c>
      <c r="G913" t="s">
        <v>81</v>
      </c>
      <c r="H913" t="s">
        <v>94</v>
      </c>
      <c r="I913" s="1" t="s">
        <v>28</v>
      </c>
      <c r="J913" t="s">
        <v>42</v>
      </c>
      <c r="K913" t="s">
        <v>43</v>
      </c>
      <c r="L913" s="1">
        <v>962599</v>
      </c>
      <c r="M913" s="1" t="s">
        <v>44</v>
      </c>
      <c r="N913" t="s">
        <v>3931</v>
      </c>
      <c r="O913" t="s">
        <v>68</v>
      </c>
      <c r="P913" t="s">
        <v>69</v>
      </c>
      <c r="Q913" t="s">
        <v>70</v>
      </c>
      <c r="R913">
        <v>4355.2299999999996</v>
      </c>
      <c r="S913" s="25" t="e">
        <f>IF(Table1[[#This Row],[Sales]]=MIN(Table1[Sales]), Table1[[#This Row],[Sales]], NA())</f>
        <v>#N/A</v>
      </c>
      <c r="T913" s="25">
        <f>IF(AND(Table1[[#This Row],[Sales]]&lt;&gt;MIN(Table1[Sales]),Table1[[#This Row],[Sales]]&lt;&gt;MAX(Table1[Sales])), Table1[[#This Row],[Sales]], NA())</f>
        <v>4355.2299999999996</v>
      </c>
      <c r="U913" s="25" t="e">
        <f>IF(Table1[[#This Row],[Sales]]=MAX(Table1[Sales]), Table1[[#This Row],[Sales]], NA())</f>
        <v>#N/A</v>
      </c>
      <c r="V913">
        <v>9</v>
      </c>
      <c r="W913">
        <v>0.2</v>
      </c>
      <c r="X913">
        <v>130.66</v>
      </c>
      <c r="Y913" s="3">
        <f>YEAR(Table1[[#This Row],[Order Date]])</f>
        <v>2022</v>
      </c>
      <c r="Z913" s="3" t="str">
        <f>TEXT(Table1[[#This Row],[Order Date]],"MMM")</f>
        <v>Aug</v>
      </c>
      <c r="AA913" s="3">
        <f>DAY(Table1[[#This Row],[Order Date]])</f>
        <v>8</v>
      </c>
    </row>
    <row r="914" spans="1:27" x14ac:dyDescent="0.35">
      <c r="A914" s="1">
        <v>913</v>
      </c>
      <c r="B914" s="1" t="s">
        <v>3932</v>
      </c>
      <c r="C914" s="1" t="s">
        <v>3933</v>
      </c>
      <c r="D914" s="1" t="s">
        <v>443</v>
      </c>
      <c r="E914" t="s">
        <v>62</v>
      </c>
      <c r="F914" t="s">
        <v>3934</v>
      </c>
      <c r="G914" t="s">
        <v>81</v>
      </c>
      <c r="H914" t="s">
        <v>27</v>
      </c>
      <c r="I914" s="1" t="s">
        <v>28</v>
      </c>
      <c r="J914" t="s">
        <v>64</v>
      </c>
      <c r="K914" t="s">
        <v>65</v>
      </c>
      <c r="L914" s="1">
        <v>866863</v>
      </c>
      <c r="M914" s="1" t="s">
        <v>66</v>
      </c>
      <c r="N914" t="s">
        <v>3935</v>
      </c>
      <c r="O914" t="s">
        <v>46</v>
      </c>
      <c r="P914" t="s">
        <v>47</v>
      </c>
      <c r="Q914" t="s">
        <v>48</v>
      </c>
      <c r="R914">
        <v>93914.63</v>
      </c>
      <c r="S914" s="25" t="e">
        <f>IF(Table1[[#This Row],[Sales]]=MIN(Table1[Sales]), Table1[[#This Row],[Sales]], NA())</f>
        <v>#N/A</v>
      </c>
      <c r="T914" s="25">
        <f>IF(AND(Table1[[#This Row],[Sales]]&lt;&gt;MIN(Table1[Sales]),Table1[[#This Row],[Sales]]&lt;&gt;MAX(Table1[Sales])), Table1[[#This Row],[Sales]], NA())</f>
        <v>93914.63</v>
      </c>
      <c r="U914" s="25" t="e">
        <f>IF(Table1[[#This Row],[Sales]]=MAX(Table1[Sales]), Table1[[#This Row],[Sales]], NA())</f>
        <v>#N/A</v>
      </c>
      <c r="V914">
        <v>2</v>
      </c>
      <c r="W914">
        <v>0.1</v>
      </c>
      <c r="X914">
        <v>5165.3</v>
      </c>
      <c r="Y914" s="3">
        <f>YEAR(Table1[[#This Row],[Order Date]])</f>
        <v>2024</v>
      </c>
      <c r="Z914" s="3" t="str">
        <f>TEXT(Table1[[#This Row],[Order Date]],"MMM")</f>
        <v>Jul</v>
      </c>
      <c r="AA914" s="3">
        <f>DAY(Table1[[#This Row],[Order Date]])</f>
        <v>5</v>
      </c>
    </row>
    <row r="915" spans="1:27" x14ac:dyDescent="0.35">
      <c r="A915" s="1">
        <v>914</v>
      </c>
      <c r="B915" s="1" t="s">
        <v>3936</v>
      </c>
      <c r="C915" s="1" t="s">
        <v>3937</v>
      </c>
      <c r="D915" s="1" t="s">
        <v>3938</v>
      </c>
      <c r="E915" t="s">
        <v>62</v>
      </c>
      <c r="F915" t="s">
        <v>3939</v>
      </c>
      <c r="G915" t="s">
        <v>188</v>
      </c>
      <c r="H915" t="s">
        <v>27</v>
      </c>
      <c r="I915" s="1" t="s">
        <v>28</v>
      </c>
      <c r="J915" t="s">
        <v>128</v>
      </c>
      <c r="K915" t="s">
        <v>129</v>
      </c>
      <c r="L915" s="1">
        <v>552199</v>
      </c>
      <c r="M915" s="1" t="s">
        <v>66</v>
      </c>
      <c r="N915" t="s">
        <v>3940</v>
      </c>
      <c r="O915" t="s">
        <v>46</v>
      </c>
      <c r="P915" t="s">
        <v>47</v>
      </c>
      <c r="Q915" t="s">
        <v>48</v>
      </c>
      <c r="R915">
        <v>41794.26</v>
      </c>
      <c r="S915" s="25" t="e">
        <f>IF(Table1[[#This Row],[Sales]]=MIN(Table1[Sales]), Table1[[#This Row],[Sales]], NA())</f>
        <v>#N/A</v>
      </c>
      <c r="T915" s="25">
        <f>IF(AND(Table1[[#This Row],[Sales]]&lt;&gt;MIN(Table1[Sales]),Table1[[#This Row],[Sales]]&lt;&gt;MAX(Table1[Sales])), Table1[[#This Row],[Sales]], NA())</f>
        <v>41794.26</v>
      </c>
      <c r="U915" s="25" t="e">
        <f>IF(Table1[[#This Row],[Sales]]=MAX(Table1[Sales]), Table1[[#This Row],[Sales]], NA())</f>
        <v>#N/A</v>
      </c>
      <c r="V915">
        <v>8</v>
      </c>
      <c r="W915">
        <v>0</v>
      </c>
      <c r="X915">
        <v>3343.54</v>
      </c>
      <c r="Y915" s="3">
        <f>YEAR(Table1[[#This Row],[Order Date]])</f>
        <v>2023</v>
      </c>
      <c r="Z915" s="3" t="str">
        <f>TEXT(Table1[[#This Row],[Order Date]],"MMM")</f>
        <v>Nov</v>
      </c>
      <c r="AA915" s="3">
        <f>DAY(Table1[[#This Row],[Order Date]])</f>
        <v>17</v>
      </c>
    </row>
    <row r="916" spans="1:27" x14ac:dyDescent="0.35">
      <c r="A916" s="1">
        <v>915</v>
      </c>
      <c r="B916" s="1" t="s">
        <v>3941</v>
      </c>
      <c r="C916" s="1" t="s">
        <v>1166</v>
      </c>
      <c r="D916" s="1" t="s">
        <v>3942</v>
      </c>
      <c r="E916" t="s">
        <v>62</v>
      </c>
      <c r="F916" t="s">
        <v>3943</v>
      </c>
      <c r="G916" t="s">
        <v>122</v>
      </c>
      <c r="H916" t="s">
        <v>94</v>
      </c>
      <c r="I916" s="1" t="s">
        <v>28</v>
      </c>
      <c r="J916" t="s">
        <v>53</v>
      </c>
      <c r="K916" t="s">
        <v>54</v>
      </c>
      <c r="L916" s="1">
        <v>889491</v>
      </c>
      <c r="M916" s="1" t="s">
        <v>55</v>
      </c>
      <c r="N916" t="s">
        <v>3944</v>
      </c>
      <c r="O916" t="s">
        <v>32</v>
      </c>
      <c r="P916" t="s">
        <v>33</v>
      </c>
      <c r="Q916" t="s">
        <v>34</v>
      </c>
      <c r="R916">
        <v>6707.97</v>
      </c>
      <c r="S916" s="25" t="e">
        <f>IF(Table1[[#This Row],[Sales]]=MIN(Table1[Sales]), Table1[[#This Row],[Sales]], NA())</f>
        <v>#N/A</v>
      </c>
      <c r="T916" s="25">
        <f>IF(AND(Table1[[#This Row],[Sales]]&lt;&gt;MIN(Table1[Sales]),Table1[[#This Row],[Sales]]&lt;&gt;MAX(Table1[Sales])), Table1[[#This Row],[Sales]], NA())</f>
        <v>6707.97</v>
      </c>
      <c r="U916" s="25" t="e">
        <f>IF(Table1[[#This Row],[Sales]]=MAX(Table1[Sales]), Table1[[#This Row],[Sales]], NA())</f>
        <v>#N/A</v>
      </c>
      <c r="V916">
        <v>10</v>
      </c>
      <c r="W916">
        <v>0.2</v>
      </c>
      <c r="X916">
        <v>201.24</v>
      </c>
      <c r="Y916" s="3">
        <f>YEAR(Table1[[#This Row],[Order Date]])</f>
        <v>2021</v>
      </c>
      <c r="Z916" s="3" t="str">
        <f>TEXT(Table1[[#This Row],[Order Date]],"MMM")</f>
        <v>Feb</v>
      </c>
      <c r="AA916" s="3">
        <f>DAY(Table1[[#This Row],[Order Date]])</f>
        <v>24</v>
      </c>
    </row>
    <row r="917" spans="1:27" x14ac:dyDescent="0.35">
      <c r="A917" s="1">
        <v>916</v>
      </c>
      <c r="B917" s="1" t="s">
        <v>3945</v>
      </c>
      <c r="C917" s="1" t="s">
        <v>3946</v>
      </c>
      <c r="D917" s="1" t="s">
        <v>3947</v>
      </c>
      <c r="E917" t="s">
        <v>62</v>
      </c>
      <c r="F917" t="s">
        <v>3948</v>
      </c>
      <c r="G917" t="s">
        <v>26</v>
      </c>
      <c r="H917" t="s">
        <v>94</v>
      </c>
      <c r="I917" s="1" t="s">
        <v>28</v>
      </c>
      <c r="J917" t="s">
        <v>29</v>
      </c>
      <c r="K917" t="s">
        <v>29</v>
      </c>
      <c r="L917" s="1">
        <v>926000</v>
      </c>
      <c r="M917" s="1" t="s">
        <v>30</v>
      </c>
      <c r="N917" t="s">
        <v>3949</v>
      </c>
      <c r="O917" t="s">
        <v>68</v>
      </c>
      <c r="P917" t="s">
        <v>69</v>
      </c>
      <c r="Q917" t="s">
        <v>70</v>
      </c>
      <c r="R917">
        <v>80623.14</v>
      </c>
      <c r="S917" s="25" t="e">
        <f>IF(Table1[[#This Row],[Sales]]=MIN(Table1[Sales]), Table1[[#This Row],[Sales]], NA())</f>
        <v>#N/A</v>
      </c>
      <c r="T917" s="25">
        <f>IF(AND(Table1[[#This Row],[Sales]]&lt;&gt;MIN(Table1[Sales]),Table1[[#This Row],[Sales]]&lt;&gt;MAX(Table1[Sales])), Table1[[#This Row],[Sales]], NA())</f>
        <v>80623.14</v>
      </c>
      <c r="U917" s="25" t="e">
        <f>IF(Table1[[#This Row],[Sales]]=MAX(Table1[Sales]), Table1[[#This Row],[Sales]], NA())</f>
        <v>#N/A</v>
      </c>
      <c r="V917">
        <v>4</v>
      </c>
      <c r="W917">
        <v>0.3</v>
      </c>
      <c r="X917">
        <v>403.12</v>
      </c>
      <c r="Y917" s="3">
        <f>YEAR(Table1[[#This Row],[Order Date]])</f>
        <v>2023</v>
      </c>
      <c r="Z917" s="3" t="str">
        <f>TEXT(Table1[[#This Row],[Order Date]],"MMM")</f>
        <v>Sep</v>
      </c>
      <c r="AA917" s="3">
        <f>DAY(Table1[[#This Row],[Order Date]])</f>
        <v>5</v>
      </c>
    </row>
    <row r="918" spans="1:27" x14ac:dyDescent="0.35">
      <c r="A918" s="1">
        <v>917</v>
      </c>
      <c r="B918" s="1" t="s">
        <v>3950</v>
      </c>
      <c r="C918" s="1" t="s">
        <v>251</v>
      </c>
      <c r="D918" s="1" t="s">
        <v>97</v>
      </c>
      <c r="E918" t="s">
        <v>38</v>
      </c>
      <c r="F918" t="s">
        <v>3951</v>
      </c>
      <c r="G918" t="s">
        <v>75</v>
      </c>
      <c r="H918" t="s">
        <v>27</v>
      </c>
      <c r="I918" s="1" t="s">
        <v>28</v>
      </c>
      <c r="J918" t="s">
        <v>42</v>
      </c>
      <c r="K918" t="s">
        <v>43</v>
      </c>
      <c r="L918" s="1">
        <v>512385</v>
      </c>
      <c r="M918" s="1" t="s">
        <v>44</v>
      </c>
      <c r="N918" t="s">
        <v>3952</v>
      </c>
      <c r="O918" t="s">
        <v>32</v>
      </c>
      <c r="P918" t="s">
        <v>33</v>
      </c>
      <c r="Q918" t="s">
        <v>34</v>
      </c>
      <c r="R918">
        <v>49729.120000000003</v>
      </c>
      <c r="S918" s="25" t="e">
        <f>IF(Table1[[#This Row],[Sales]]=MIN(Table1[Sales]), Table1[[#This Row],[Sales]], NA())</f>
        <v>#N/A</v>
      </c>
      <c r="T918" s="25">
        <f>IF(AND(Table1[[#This Row],[Sales]]&lt;&gt;MIN(Table1[Sales]),Table1[[#This Row],[Sales]]&lt;&gt;MAX(Table1[Sales])), Table1[[#This Row],[Sales]], NA())</f>
        <v>49729.120000000003</v>
      </c>
      <c r="U918" s="25" t="e">
        <f>IF(Table1[[#This Row],[Sales]]=MAX(Table1[Sales]), Table1[[#This Row],[Sales]], NA())</f>
        <v>#N/A</v>
      </c>
      <c r="V918">
        <v>2</v>
      </c>
      <c r="W918">
        <v>0.1</v>
      </c>
      <c r="X918">
        <v>2735.1</v>
      </c>
      <c r="Y918" s="3">
        <f>YEAR(Table1[[#This Row],[Order Date]])</f>
        <v>2024</v>
      </c>
      <c r="Z918" s="3" t="str">
        <f>TEXT(Table1[[#This Row],[Order Date]],"MMM")</f>
        <v>Mar</v>
      </c>
      <c r="AA918" s="3">
        <f>DAY(Table1[[#This Row],[Order Date]])</f>
        <v>4</v>
      </c>
    </row>
    <row r="919" spans="1:27" x14ac:dyDescent="0.35">
      <c r="A919" s="1">
        <v>918</v>
      </c>
      <c r="B919" s="1" t="s">
        <v>3953</v>
      </c>
      <c r="C919" s="1" t="s">
        <v>3540</v>
      </c>
      <c r="D919" s="1" t="s">
        <v>3954</v>
      </c>
      <c r="E919" t="s">
        <v>62</v>
      </c>
      <c r="F919" t="s">
        <v>3955</v>
      </c>
      <c r="G919" t="s">
        <v>81</v>
      </c>
      <c r="H919" t="s">
        <v>27</v>
      </c>
      <c r="I919" s="1" t="s">
        <v>28</v>
      </c>
      <c r="J919" t="s">
        <v>29</v>
      </c>
      <c r="K919" t="s">
        <v>29</v>
      </c>
      <c r="L919" s="1">
        <v>331486</v>
      </c>
      <c r="M919" s="1" t="s">
        <v>30</v>
      </c>
      <c r="N919" t="s">
        <v>3956</v>
      </c>
      <c r="O919" t="s">
        <v>46</v>
      </c>
      <c r="P919" t="s">
        <v>47</v>
      </c>
      <c r="Q919" t="s">
        <v>48</v>
      </c>
      <c r="R919">
        <v>52927.25</v>
      </c>
      <c r="S919" s="25" t="e">
        <f>IF(Table1[[#This Row],[Sales]]=MIN(Table1[Sales]), Table1[[#This Row],[Sales]], NA())</f>
        <v>#N/A</v>
      </c>
      <c r="T919" s="25">
        <f>IF(AND(Table1[[#This Row],[Sales]]&lt;&gt;MIN(Table1[Sales]),Table1[[#This Row],[Sales]]&lt;&gt;MAX(Table1[Sales])), Table1[[#This Row],[Sales]], NA())</f>
        <v>52927.25</v>
      </c>
      <c r="U919" s="25" t="e">
        <f>IF(Table1[[#This Row],[Sales]]=MAX(Table1[Sales]), Table1[[#This Row],[Sales]], NA())</f>
        <v>#N/A</v>
      </c>
      <c r="V919">
        <v>3</v>
      </c>
      <c r="W919">
        <v>0.3</v>
      </c>
      <c r="X919">
        <v>264.64</v>
      </c>
      <c r="Y919" s="3">
        <f>YEAR(Table1[[#This Row],[Order Date]])</f>
        <v>2023</v>
      </c>
      <c r="Z919" s="3" t="str">
        <f>TEXT(Table1[[#This Row],[Order Date]],"MMM")</f>
        <v>Apr</v>
      </c>
      <c r="AA919" s="3">
        <f>DAY(Table1[[#This Row],[Order Date]])</f>
        <v>18</v>
      </c>
    </row>
    <row r="920" spans="1:27" x14ac:dyDescent="0.35">
      <c r="A920" s="1">
        <v>919</v>
      </c>
      <c r="B920" s="1" t="s">
        <v>3957</v>
      </c>
      <c r="C920" s="1" t="s">
        <v>3958</v>
      </c>
      <c r="D920" s="1" t="s">
        <v>2076</v>
      </c>
      <c r="E920" t="s">
        <v>24</v>
      </c>
      <c r="F920" t="s">
        <v>3959</v>
      </c>
      <c r="G920" t="s">
        <v>26</v>
      </c>
      <c r="H920" t="s">
        <v>94</v>
      </c>
      <c r="I920" s="1" t="s">
        <v>28</v>
      </c>
      <c r="J920" t="s">
        <v>128</v>
      </c>
      <c r="K920" t="s">
        <v>129</v>
      </c>
      <c r="L920" s="1">
        <v>626178</v>
      </c>
      <c r="M920" s="1" t="s">
        <v>66</v>
      </c>
      <c r="N920" t="s">
        <v>3960</v>
      </c>
      <c r="O920" t="s">
        <v>68</v>
      </c>
      <c r="P920" t="s">
        <v>69</v>
      </c>
      <c r="Q920" t="s">
        <v>70</v>
      </c>
      <c r="R920">
        <v>64843.93</v>
      </c>
      <c r="S920" s="25" t="e">
        <f>IF(Table1[[#This Row],[Sales]]=MIN(Table1[Sales]), Table1[[#This Row],[Sales]], NA())</f>
        <v>#N/A</v>
      </c>
      <c r="T920" s="25">
        <f>IF(AND(Table1[[#This Row],[Sales]]&lt;&gt;MIN(Table1[Sales]),Table1[[#This Row],[Sales]]&lt;&gt;MAX(Table1[Sales])), Table1[[#This Row],[Sales]], NA())</f>
        <v>64843.93</v>
      </c>
      <c r="U920" s="25" t="e">
        <f>IF(Table1[[#This Row],[Sales]]=MAX(Table1[Sales]), Table1[[#This Row],[Sales]], NA())</f>
        <v>#N/A</v>
      </c>
      <c r="V920">
        <v>6</v>
      </c>
      <c r="W920">
        <v>0</v>
      </c>
      <c r="X920">
        <v>5187.51</v>
      </c>
      <c r="Y920" s="3">
        <f>YEAR(Table1[[#This Row],[Order Date]])</f>
        <v>2025</v>
      </c>
      <c r="Z920" s="3" t="str">
        <f>TEXT(Table1[[#This Row],[Order Date]],"MMM")</f>
        <v>Jan</v>
      </c>
      <c r="AA920" s="3">
        <f>DAY(Table1[[#This Row],[Order Date]])</f>
        <v>16</v>
      </c>
    </row>
    <row r="921" spans="1:27" x14ac:dyDescent="0.35">
      <c r="A921" s="1">
        <v>920</v>
      </c>
      <c r="B921" s="1" t="s">
        <v>3961</v>
      </c>
      <c r="C921" s="1" t="s">
        <v>181</v>
      </c>
      <c r="D921" s="1" t="s">
        <v>1037</v>
      </c>
      <c r="E921" t="s">
        <v>115</v>
      </c>
      <c r="F921" t="s">
        <v>3962</v>
      </c>
      <c r="G921" t="s">
        <v>122</v>
      </c>
      <c r="H921" t="s">
        <v>27</v>
      </c>
      <c r="I921" s="1" t="s">
        <v>28</v>
      </c>
      <c r="J921" t="s">
        <v>53</v>
      </c>
      <c r="K921" t="s">
        <v>54</v>
      </c>
      <c r="L921" s="1">
        <v>963951</v>
      </c>
      <c r="M921" s="1" t="s">
        <v>55</v>
      </c>
      <c r="N921" t="s">
        <v>3963</v>
      </c>
      <c r="O921" t="s">
        <v>68</v>
      </c>
      <c r="P921" t="s">
        <v>69</v>
      </c>
      <c r="Q921" t="s">
        <v>70</v>
      </c>
      <c r="R921">
        <v>84247.15</v>
      </c>
      <c r="S921" s="25" t="e">
        <f>IF(Table1[[#This Row],[Sales]]=MIN(Table1[Sales]), Table1[[#This Row],[Sales]], NA())</f>
        <v>#N/A</v>
      </c>
      <c r="T921" s="25">
        <f>IF(AND(Table1[[#This Row],[Sales]]&lt;&gt;MIN(Table1[Sales]),Table1[[#This Row],[Sales]]&lt;&gt;MAX(Table1[Sales])), Table1[[#This Row],[Sales]], NA())</f>
        <v>84247.15</v>
      </c>
      <c r="U921" s="25" t="e">
        <f>IF(Table1[[#This Row],[Sales]]=MAX(Table1[Sales]), Table1[[#This Row],[Sales]], NA())</f>
        <v>#N/A</v>
      </c>
      <c r="V921">
        <v>9</v>
      </c>
      <c r="W921">
        <v>0.3</v>
      </c>
      <c r="X921">
        <v>421.24</v>
      </c>
      <c r="Y921" s="3">
        <f>YEAR(Table1[[#This Row],[Order Date]])</f>
        <v>2022</v>
      </c>
      <c r="Z921" s="3" t="str">
        <f>TEXT(Table1[[#This Row],[Order Date]],"MMM")</f>
        <v>Apr</v>
      </c>
      <c r="AA921" s="3">
        <f>DAY(Table1[[#This Row],[Order Date]])</f>
        <v>1</v>
      </c>
    </row>
    <row r="922" spans="1:27" x14ac:dyDescent="0.35">
      <c r="A922" s="1">
        <v>921</v>
      </c>
      <c r="B922" s="1" t="s">
        <v>3964</v>
      </c>
      <c r="C922" s="1" t="s">
        <v>3965</v>
      </c>
      <c r="D922" s="1" t="s">
        <v>3966</v>
      </c>
      <c r="E922" t="s">
        <v>24</v>
      </c>
      <c r="F922" t="s">
        <v>3967</v>
      </c>
      <c r="G922" t="s">
        <v>40</v>
      </c>
      <c r="H922" t="s">
        <v>41</v>
      </c>
      <c r="I922" s="1" t="s">
        <v>28</v>
      </c>
      <c r="J922" t="s">
        <v>53</v>
      </c>
      <c r="K922" t="s">
        <v>54</v>
      </c>
      <c r="L922" s="1">
        <v>507638</v>
      </c>
      <c r="M922" s="1" t="s">
        <v>55</v>
      </c>
      <c r="N922" t="s">
        <v>3968</v>
      </c>
      <c r="O922" t="s">
        <v>32</v>
      </c>
      <c r="P922" t="s">
        <v>33</v>
      </c>
      <c r="Q922" t="s">
        <v>34</v>
      </c>
      <c r="R922">
        <v>57722.41</v>
      </c>
      <c r="S922" s="25" t="e">
        <f>IF(Table1[[#This Row],[Sales]]=MIN(Table1[Sales]), Table1[[#This Row],[Sales]], NA())</f>
        <v>#N/A</v>
      </c>
      <c r="T922" s="25">
        <f>IF(AND(Table1[[#This Row],[Sales]]&lt;&gt;MIN(Table1[Sales]),Table1[[#This Row],[Sales]]&lt;&gt;MAX(Table1[Sales])), Table1[[#This Row],[Sales]], NA())</f>
        <v>57722.41</v>
      </c>
      <c r="U922" s="25" t="e">
        <f>IF(Table1[[#This Row],[Sales]]=MAX(Table1[Sales]), Table1[[#This Row],[Sales]], NA())</f>
        <v>#N/A</v>
      </c>
      <c r="V922">
        <v>3</v>
      </c>
      <c r="W922">
        <v>0.2</v>
      </c>
      <c r="X922">
        <v>1731.67</v>
      </c>
      <c r="Y922" s="3">
        <f>YEAR(Table1[[#This Row],[Order Date]])</f>
        <v>2023</v>
      </c>
      <c r="Z922" s="3" t="str">
        <f>TEXT(Table1[[#This Row],[Order Date]],"MMM")</f>
        <v>Nov</v>
      </c>
      <c r="AA922" s="3">
        <f>DAY(Table1[[#This Row],[Order Date]])</f>
        <v>14</v>
      </c>
    </row>
    <row r="923" spans="1:27" x14ac:dyDescent="0.35">
      <c r="A923" s="1">
        <v>922</v>
      </c>
      <c r="B923" s="1" t="s">
        <v>3969</v>
      </c>
      <c r="C923" s="1" t="s">
        <v>727</v>
      </c>
      <c r="D923" s="1" t="s">
        <v>582</v>
      </c>
      <c r="E923" t="s">
        <v>24</v>
      </c>
      <c r="F923" t="s">
        <v>3970</v>
      </c>
      <c r="G923" t="s">
        <v>81</v>
      </c>
      <c r="H923" t="s">
        <v>27</v>
      </c>
      <c r="I923" s="1" t="s">
        <v>28</v>
      </c>
      <c r="J923" t="s">
        <v>64</v>
      </c>
      <c r="K923" t="s">
        <v>65</v>
      </c>
      <c r="L923" s="1">
        <v>267903</v>
      </c>
      <c r="M923" s="1" t="s">
        <v>66</v>
      </c>
      <c r="N923" t="s">
        <v>3971</v>
      </c>
      <c r="O923" t="s">
        <v>46</v>
      </c>
      <c r="P923" t="s">
        <v>47</v>
      </c>
      <c r="Q923" t="s">
        <v>48</v>
      </c>
      <c r="R923">
        <v>3804.01</v>
      </c>
      <c r="S923" s="25" t="e">
        <f>IF(Table1[[#This Row],[Sales]]=MIN(Table1[Sales]), Table1[[#This Row],[Sales]], NA())</f>
        <v>#N/A</v>
      </c>
      <c r="T923" s="25">
        <f>IF(AND(Table1[[#This Row],[Sales]]&lt;&gt;MIN(Table1[Sales]),Table1[[#This Row],[Sales]]&lt;&gt;MAX(Table1[Sales])), Table1[[#This Row],[Sales]], NA())</f>
        <v>3804.01</v>
      </c>
      <c r="U923" s="25" t="e">
        <f>IF(Table1[[#This Row],[Sales]]=MAX(Table1[Sales]), Table1[[#This Row],[Sales]], NA())</f>
        <v>#N/A</v>
      </c>
      <c r="V923">
        <v>4</v>
      </c>
      <c r="W923">
        <v>0.2</v>
      </c>
      <c r="X923">
        <v>114.12</v>
      </c>
      <c r="Y923" s="3">
        <f>YEAR(Table1[[#This Row],[Order Date]])</f>
        <v>2022</v>
      </c>
      <c r="Z923" s="3" t="str">
        <f>TEXT(Table1[[#This Row],[Order Date]],"MMM")</f>
        <v>Apr</v>
      </c>
      <c r="AA923" s="3">
        <f>DAY(Table1[[#This Row],[Order Date]])</f>
        <v>21</v>
      </c>
    </row>
    <row r="924" spans="1:27" x14ac:dyDescent="0.35">
      <c r="A924" s="1">
        <v>923</v>
      </c>
      <c r="B924" s="1" t="s">
        <v>3972</v>
      </c>
      <c r="C924" s="1" t="s">
        <v>1067</v>
      </c>
      <c r="D924" s="1" t="s">
        <v>50</v>
      </c>
      <c r="E924" t="s">
        <v>38</v>
      </c>
      <c r="F924" t="s">
        <v>3973</v>
      </c>
      <c r="G924" t="s">
        <v>93</v>
      </c>
      <c r="H924" t="s">
        <v>94</v>
      </c>
      <c r="I924" s="1" t="s">
        <v>28</v>
      </c>
      <c r="J924" t="s">
        <v>29</v>
      </c>
      <c r="K924" t="s">
        <v>29</v>
      </c>
      <c r="L924" s="1">
        <v>646972</v>
      </c>
      <c r="M924" s="1" t="s">
        <v>30</v>
      </c>
      <c r="N924" t="s">
        <v>3974</v>
      </c>
      <c r="O924" t="s">
        <v>46</v>
      </c>
      <c r="P924" t="s">
        <v>47</v>
      </c>
      <c r="Q924" t="s">
        <v>48</v>
      </c>
      <c r="R924">
        <v>6749.99</v>
      </c>
      <c r="S924" s="25" t="e">
        <f>IF(Table1[[#This Row],[Sales]]=MIN(Table1[Sales]), Table1[[#This Row],[Sales]], NA())</f>
        <v>#N/A</v>
      </c>
      <c r="T924" s="25">
        <f>IF(AND(Table1[[#This Row],[Sales]]&lt;&gt;MIN(Table1[Sales]),Table1[[#This Row],[Sales]]&lt;&gt;MAX(Table1[Sales])), Table1[[#This Row],[Sales]], NA())</f>
        <v>6749.99</v>
      </c>
      <c r="U924" s="25" t="e">
        <f>IF(Table1[[#This Row],[Sales]]=MAX(Table1[Sales]), Table1[[#This Row],[Sales]], NA())</f>
        <v>#N/A</v>
      </c>
      <c r="V924">
        <v>6</v>
      </c>
      <c r="W924">
        <v>0.3</v>
      </c>
      <c r="X924">
        <v>33.75</v>
      </c>
      <c r="Y924" s="3">
        <f>YEAR(Table1[[#This Row],[Order Date]])</f>
        <v>2021</v>
      </c>
      <c r="Z924" s="3" t="str">
        <f>TEXT(Table1[[#This Row],[Order Date]],"MMM")</f>
        <v>Dec</v>
      </c>
      <c r="AA924" s="3">
        <f>DAY(Table1[[#This Row],[Order Date]])</f>
        <v>20</v>
      </c>
    </row>
    <row r="925" spans="1:27" x14ac:dyDescent="0.35">
      <c r="A925" s="1">
        <v>924</v>
      </c>
      <c r="B925" s="1" t="s">
        <v>3975</v>
      </c>
      <c r="C925" s="1" t="s">
        <v>1838</v>
      </c>
      <c r="D925" s="1" t="s">
        <v>2874</v>
      </c>
      <c r="E925" t="s">
        <v>38</v>
      </c>
      <c r="F925" t="s">
        <v>3976</v>
      </c>
      <c r="G925" t="s">
        <v>93</v>
      </c>
      <c r="H925" t="s">
        <v>41</v>
      </c>
      <c r="I925" s="1" t="s">
        <v>28</v>
      </c>
      <c r="J925" t="s">
        <v>64</v>
      </c>
      <c r="K925" t="s">
        <v>65</v>
      </c>
      <c r="L925" s="1">
        <v>264398</v>
      </c>
      <c r="M925" s="1" t="s">
        <v>66</v>
      </c>
      <c r="N925" t="s">
        <v>3977</v>
      </c>
      <c r="O925" t="s">
        <v>46</v>
      </c>
      <c r="P925" t="s">
        <v>47</v>
      </c>
      <c r="Q925" t="s">
        <v>48</v>
      </c>
      <c r="R925">
        <v>98384.77</v>
      </c>
      <c r="S925" s="25" t="e">
        <f>IF(Table1[[#This Row],[Sales]]=MIN(Table1[Sales]), Table1[[#This Row],[Sales]], NA())</f>
        <v>#N/A</v>
      </c>
      <c r="T925" s="25">
        <f>IF(AND(Table1[[#This Row],[Sales]]&lt;&gt;MIN(Table1[Sales]),Table1[[#This Row],[Sales]]&lt;&gt;MAX(Table1[Sales])), Table1[[#This Row],[Sales]], NA())</f>
        <v>98384.77</v>
      </c>
      <c r="U925" s="25" t="e">
        <f>IF(Table1[[#This Row],[Sales]]=MAX(Table1[Sales]), Table1[[#This Row],[Sales]], NA())</f>
        <v>#N/A</v>
      </c>
      <c r="V925">
        <v>4</v>
      </c>
      <c r="W925">
        <v>0</v>
      </c>
      <c r="X925">
        <v>7870.78</v>
      </c>
      <c r="Y925" s="3">
        <f>YEAR(Table1[[#This Row],[Order Date]])</f>
        <v>2021</v>
      </c>
      <c r="Z925" s="3" t="str">
        <f>TEXT(Table1[[#This Row],[Order Date]],"MMM")</f>
        <v>Aug</v>
      </c>
      <c r="AA925" s="3">
        <f>DAY(Table1[[#This Row],[Order Date]])</f>
        <v>30</v>
      </c>
    </row>
    <row r="926" spans="1:27" x14ac:dyDescent="0.35">
      <c r="A926" s="1">
        <v>925</v>
      </c>
      <c r="B926" s="1" t="s">
        <v>3978</v>
      </c>
      <c r="C926" s="1" t="s">
        <v>3979</v>
      </c>
      <c r="D926" s="1" t="s">
        <v>3980</v>
      </c>
      <c r="E926" t="s">
        <v>115</v>
      </c>
      <c r="F926" t="s">
        <v>3981</v>
      </c>
      <c r="G926" t="s">
        <v>140</v>
      </c>
      <c r="H926" t="s">
        <v>94</v>
      </c>
      <c r="I926" s="1" t="s">
        <v>28</v>
      </c>
      <c r="J926" t="s">
        <v>128</v>
      </c>
      <c r="K926" t="s">
        <v>129</v>
      </c>
      <c r="L926" s="1">
        <v>610239</v>
      </c>
      <c r="M926" s="1" t="s">
        <v>66</v>
      </c>
      <c r="N926" t="s">
        <v>3982</v>
      </c>
      <c r="O926" t="s">
        <v>68</v>
      </c>
      <c r="P926" t="s">
        <v>69</v>
      </c>
      <c r="Q926" t="s">
        <v>70</v>
      </c>
      <c r="R926">
        <v>94149.119999999995</v>
      </c>
      <c r="S926" s="25" t="e">
        <f>IF(Table1[[#This Row],[Sales]]=MIN(Table1[Sales]), Table1[[#This Row],[Sales]], NA())</f>
        <v>#N/A</v>
      </c>
      <c r="T926" s="25">
        <f>IF(AND(Table1[[#This Row],[Sales]]&lt;&gt;MIN(Table1[Sales]),Table1[[#This Row],[Sales]]&lt;&gt;MAX(Table1[Sales])), Table1[[#This Row],[Sales]], NA())</f>
        <v>94149.119999999995</v>
      </c>
      <c r="U926" s="25" t="e">
        <f>IF(Table1[[#This Row],[Sales]]=MAX(Table1[Sales]), Table1[[#This Row],[Sales]], NA())</f>
        <v>#N/A</v>
      </c>
      <c r="V926">
        <v>1</v>
      </c>
      <c r="W926">
        <v>0</v>
      </c>
      <c r="X926">
        <v>7531.93</v>
      </c>
      <c r="Y926" s="3">
        <f>YEAR(Table1[[#This Row],[Order Date]])</f>
        <v>2023</v>
      </c>
      <c r="Z926" s="3" t="str">
        <f>TEXT(Table1[[#This Row],[Order Date]],"MMM")</f>
        <v>Feb</v>
      </c>
      <c r="AA926" s="3">
        <f>DAY(Table1[[#This Row],[Order Date]])</f>
        <v>5</v>
      </c>
    </row>
    <row r="927" spans="1:27" x14ac:dyDescent="0.35">
      <c r="A927" s="1">
        <v>926</v>
      </c>
      <c r="B927" s="1" t="s">
        <v>3983</v>
      </c>
      <c r="C927" s="1" t="s">
        <v>938</v>
      </c>
      <c r="D927" s="1" t="s">
        <v>330</v>
      </c>
      <c r="E927" t="s">
        <v>38</v>
      </c>
      <c r="F927" t="s">
        <v>3984</v>
      </c>
      <c r="G927" t="s">
        <v>26</v>
      </c>
      <c r="H927" t="s">
        <v>27</v>
      </c>
      <c r="I927" s="1" t="s">
        <v>28</v>
      </c>
      <c r="J927" t="s">
        <v>53</v>
      </c>
      <c r="K927" t="s">
        <v>54</v>
      </c>
      <c r="L927" s="1">
        <v>968381</v>
      </c>
      <c r="M927" s="1" t="s">
        <v>55</v>
      </c>
      <c r="N927" t="s">
        <v>3985</v>
      </c>
      <c r="O927" t="s">
        <v>46</v>
      </c>
      <c r="P927" t="s">
        <v>47</v>
      </c>
      <c r="Q927" t="s">
        <v>48</v>
      </c>
      <c r="R927">
        <v>29817.77</v>
      </c>
      <c r="S927" s="25" t="e">
        <f>IF(Table1[[#This Row],[Sales]]=MIN(Table1[Sales]), Table1[[#This Row],[Sales]], NA())</f>
        <v>#N/A</v>
      </c>
      <c r="T927" s="25">
        <f>IF(AND(Table1[[#This Row],[Sales]]&lt;&gt;MIN(Table1[Sales]),Table1[[#This Row],[Sales]]&lt;&gt;MAX(Table1[Sales])), Table1[[#This Row],[Sales]], NA())</f>
        <v>29817.77</v>
      </c>
      <c r="U927" s="25" t="e">
        <f>IF(Table1[[#This Row],[Sales]]=MAX(Table1[Sales]), Table1[[#This Row],[Sales]], NA())</f>
        <v>#N/A</v>
      </c>
      <c r="V927">
        <v>7</v>
      </c>
      <c r="W927">
        <v>0.1</v>
      </c>
      <c r="X927">
        <v>1639.98</v>
      </c>
      <c r="Y927" s="3">
        <f>YEAR(Table1[[#This Row],[Order Date]])</f>
        <v>2024</v>
      </c>
      <c r="Z927" s="3" t="str">
        <f>TEXT(Table1[[#This Row],[Order Date]],"MMM")</f>
        <v>Sep</v>
      </c>
      <c r="AA927" s="3">
        <f>DAY(Table1[[#This Row],[Order Date]])</f>
        <v>8</v>
      </c>
    </row>
    <row r="928" spans="1:27" x14ac:dyDescent="0.35">
      <c r="A928" s="1">
        <v>927</v>
      </c>
      <c r="B928" s="1" t="s">
        <v>3986</v>
      </c>
      <c r="C928" s="1" t="s">
        <v>3987</v>
      </c>
      <c r="D928" s="1" t="s">
        <v>1653</v>
      </c>
      <c r="E928" t="s">
        <v>38</v>
      </c>
      <c r="F928" t="s">
        <v>3988</v>
      </c>
      <c r="G928" t="s">
        <v>40</v>
      </c>
      <c r="H928" t="s">
        <v>27</v>
      </c>
      <c r="I928" s="1" t="s">
        <v>28</v>
      </c>
      <c r="J928" t="s">
        <v>42</v>
      </c>
      <c r="K928" t="s">
        <v>43</v>
      </c>
      <c r="L928" s="1">
        <v>225810</v>
      </c>
      <c r="M928" s="1" t="s">
        <v>44</v>
      </c>
      <c r="N928" t="s">
        <v>3989</v>
      </c>
      <c r="O928" t="s">
        <v>46</v>
      </c>
      <c r="P928" t="s">
        <v>47</v>
      </c>
      <c r="Q928" t="s">
        <v>48</v>
      </c>
      <c r="R928">
        <v>17280.39</v>
      </c>
      <c r="S928" s="25" t="e">
        <f>IF(Table1[[#This Row],[Sales]]=MIN(Table1[Sales]), Table1[[#This Row],[Sales]], NA())</f>
        <v>#N/A</v>
      </c>
      <c r="T928" s="25">
        <f>IF(AND(Table1[[#This Row],[Sales]]&lt;&gt;MIN(Table1[Sales]),Table1[[#This Row],[Sales]]&lt;&gt;MAX(Table1[Sales])), Table1[[#This Row],[Sales]], NA())</f>
        <v>17280.39</v>
      </c>
      <c r="U928" s="25" t="e">
        <f>IF(Table1[[#This Row],[Sales]]=MAX(Table1[Sales]), Table1[[#This Row],[Sales]], NA())</f>
        <v>#N/A</v>
      </c>
      <c r="V928">
        <v>9</v>
      </c>
      <c r="W928">
        <v>0.1</v>
      </c>
      <c r="X928">
        <v>950.42</v>
      </c>
      <c r="Y928" s="3">
        <f>YEAR(Table1[[#This Row],[Order Date]])</f>
        <v>2021</v>
      </c>
      <c r="Z928" s="3" t="str">
        <f>TEXT(Table1[[#This Row],[Order Date]],"MMM")</f>
        <v>Nov</v>
      </c>
      <c r="AA928" s="3">
        <f>DAY(Table1[[#This Row],[Order Date]])</f>
        <v>10</v>
      </c>
    </row>
    <row r="929" spans="1:27" x14ac:dyDescent="0.35">
      <c r="A929" s="1">
        <v>928</v>
      </c>
      <c r="B929" s="1" t="s">
        <v>3990</v>
      </c>
      <c r="C929" s="1" t="s">
        <v>3991</v>
      </c>
      <c r="D929" s="1" t="s">
        <v>3331</v>
      </c>
      <c r="E929" t="s">
        <v>38</v>
      </c>
      <c r="F929" t="s">
        <v>3992</v>
      </c>
      <c r="G929" t="s">
        <v>75</v>
      </c>
      <c r="H929" t="s">
        <v>94</v>
      </c>
      <c r="I929" s="1" t="s">
        <v>28</v>
      </c>
      <c r="J929" t="s">
        <v>128</v>
      </c>
      <c r="K929" t="s">
        <v>129</v>
      </c>
      <c r="L929" s="1">
        <v>146128</v>
      </c>
      <c r="M929" s="1" t="s">
        <v>66</v>
      </c>
      <c r="N929" t="s">
        <v>3993</v>
      </c>
      <c r="O929" t="s">
        <v>46</v>
      </c>
      <c r="P929" t="s">
        <v>57</v>
      </c>
      <c r="Q929" t="s">
        <v>58</v>
      </c>
      <c r="R929">
        <v>54343.53</v>
      </c>
      <c r="S929" s="25" t="e">
        <f>IF(Table1[[#This Row],[Sales]]=MIN(Table1[Sales]), Table1[[#This Row],[Sales]], NA())</f>
        <v>#N/A</v>
      </c>
      <c r="T929" s="25">
        <f>IF(AND(Table1[[#This Row],[Sales]]&lt;&gt;MIN(Table1[Sales]),Table1[[#This Row],[Sales]]&lt;&gt;MAX(Table1[Sales])), Table1[[#This Row],[Sales]], NA())</f>
        <v>54343.53</v>
      </c>
      <c r="U929" s="25" t="e">
        <f>IF(Table1[[#This Row],[Sales]]=MAX(Table1[Sales]), Table1[[#This Row],[Sales]], NA())</f>
        <v>#N/A</v>
      </c>
      <c r="V929">
        <v>2</v>
      </c>
      <c r="W929">
        <v>0.1</v>
      </c>
      <c r="X929">
        <v>2988.89</v>
      </c>
      <c r="Y929" s="3">
        <f>YEAR(Table1[[#This Row],[Order Date]])</f>
        <v>2024</v>
      </c>
      <c r="Z929" s="3" t="str">
        <f>TEXT(Table1[[#This Row],[Order Date]],"MMM")</f>
        <v>Nov</v>
      </c>
      <c r="AA929" s="3">
        <f>DAY(Table1[[#This Row],[Order Date]])</f>
        <v>22</v>
      </c>
    </row>
    <row r="930" spans="1:27" x14ac:dyDescent="0.35">
      <c r="A930" s="1">
        <v>929</v>
      </c>
      <c r="B930" s="1" t="s">
        <v>3994</v>
      </c>
      <c r="C930" s="1" t="s">
        <v>2976</v>
      </c>
      <c r="D930" s="1" t="s">
        <v>3995</v>
      </c>
      <c r="E930" t="s">
        <v>24</v>
      </c>
      <c r="F930" t="s">
        <v>3996</v>
      </c>
      <c r="G930" t="s">
        <v>110</v>
      </c>
      <c r="H930" t="s">
        <v>41</v>
      </c>
      <c r="I930" s="1" t="s">
        <v>28</v>
      </c>
      <c r="J930" t="s">
        <v>64</v>
      </c>
      <c r="K930" t="s">
        <v>65</v>
      </c>
      <c r="L930" s="1">
        <v>487301</v>
      </c>
      <c r="M930" s="1" t="s">
        <v>66</v>
      </c>
      <c r="N930" t="s">
        <v>3997</v>
      </c>
      <c r="O930" t="s">
        <v>46</v>
      </c>
      <c r="P930" t="s">
        <v>47</v>
      </c>
      <c r="Q930" t="s">
        <v>48</v>
      </c>
      <c r="R930">
        <v>3961.89</v>
      </c>
      <c r="S930" s="25" t="e">
        <f>IF(Table1[[#This Row],[Sales]]=MIN(Table1[Sales]), Table1[[#This Row],[Sales]], NA())</f>
        <v>#N/A</v>
      </c>
      <c r="T930" s="25">
        <f>IF(AND(Table1[[#This Row],[Sales]]&lt;&gt;MIN(Table1[Sales]),Table1[[#This Row],[Sales]]&lt;&gt;MAX(Table1[Sales])), Table1[[#This Row],[Sales]], NA())</f>
        <v>3961.89</v>
      </c>
      <c r="U930" s="25" t="e">
        <f>IF(Table1[[#This Row],[Sales]]=MAX(Table1[Sales]), Table1[[#This Row],[Sales]], NA())</f>
        <v>#N/A</v>
      </c>
      <c r="V930">
        <v>8</v>
      </c>
      <c r="W930">
        <v>0</v>
      </c>
      <c r="X930">
        <v>316.95</v>
      </c>
      <c r="Y930" s="3">
        <f>YEAR(Table1[[#This Row],[Order Date]])</f>
        <v>2024</v>
      </c>
      <c r="Z930" s="3" t="str">
        <f>TEXT(Table1[[#This Row],[Order Date]],"MMM")</f>
        <v>Jan</v>
      </c>
      <c r="AA930" s="3">
        <f>DAY(Table1[[#This Row],[Order Date]])</f>
        <v>19</v>
      </c>
    </row>
    <row r="931" spans="1:27" x14ac:dyDescent="0.35">
      <c r="A931" s="1">
        <v>930</v>
      </c>
      <c r="B931" s="1" t="s">
        <v>3998</v>
      </c>
      <c r="C931" s="1" t="s">
        <v>3999</v>
      </c>
      <c r="D931" s="1" t="s">
        <v>2386</v>
      </c>
      <c r="E931" t="s">
        <v>24</v>
      </c>
      <c r="F931" t="s">
        <v>4000</v>
      </c>
      <c r="G931" t="s">
        <v>93</v>
      </c>
      <c r="H931" t="s">
        <v>27</v>
      </c>
      <c r="I931" s="1" t="s">
        <v>28</v>
      </c>
      <c r="J931" t="s">
        <v>53</v>
      </c>
      <c r="K931" t="s">
        <v>54</v>
      </c>
      <c r="L931" s="1">
        <v>451838</v>
      </c>
      <c r="M931" s="1" t="s">
        <v>55</v>
      </c>
      <c r="N931" t="s">
        <v>4001</v>
      </c>
      <c r="O931" t="s">
        <v>68</v>
      </c>
      <c r="P931" t="s">
        <v>69</v>
      </c>
      <c r="Q931" t="s">
        <v>70</v>
      </c>
      <c r="R931">
        <v>6823.67</v>
      </c>
      <c r="S931" s="25" t="e">
        <f>IF(Table1[[#This Row],[Sales]]=MIN(Table1[Sales]), Table1[[#This Row],[Sales]], NA())</f>
        <v>#N/A</v>
      </c>
      <c r="T931" s="25">
        <f>IF(AND(Table1[[#This Row],[Sales]]&lt;&gt;MIN(Table1[Sales]),Table1[[#This Row],[Sales]]&lt;&gt;MAX(Table1[Sales])), Table1[[#This Row],[Sales]], NA())</f>
        <v>6823.67</v>
      </c>
      <c r="U931" s="25" t="e">
        <f>IF(Table1[[#This Row],[Sales]]=MAX(Table1[Sales]), Table1[[#This Row],[Sales]], NA())</f>
        <v>#N/A</v>
      </c>
      <c r="V931">
        <v>5</v>
      </c>
      <c r="W931">
        <v>0</v>
      </c>
      <c r="X931">
        <v>545.89</v>
      </c>
      <c r="Y931" s="3">
        <f>YEAR(Table1[[#This Row],[Order Date]])</f>
        <v>2022</v>
      </c>
      <c r="Z931" s="3" t="str">
        <f>TEXT(Table1[[#This Row],[Order Date]],"MMM")</f>
        <v>Jan</v>
      </c>
      <c r="AA931" s="3">
        <f>DAY(Table1[[#This Row],[Order Date]])</f>
        <v>1</v>
      </c>
    </row>
    <row r="932" spans="1:27" x14ac:dyDescent="0.35">
      <c r="A932" s="1">
        <v>931</v>
      </c>
      <c r="B932" s="1" t="s">
        <v>4002</v>
      </c>
      <c r="C932" s="1" t="s">
        <v>3065</v>
      </c>
      <c r="D932" s="1" t="s">
        <v>3331</v>
      </c>
      <c r="E932" t="s">
        <v>115</v>
      </c>
      <c r="F932" t="s">
        <v>4003</v>
      </c>
      <c r="G932" t="s">
        <v>110</v>
      </c>
      <c r="H932" t="s">
        <v>94</v>
      </c>
      <c r="I932" s="1" t="s">
        <v>28</v>
      </c>
      <c r="J932" t="s">
        <v>128</v>
      </c>
      <c r="K932" t="s">
        <v>129</v>
      </c>
      <c r="L932" s="1">
        <v>536983</v>
      </c>
      <c r="M932" s="1" t="s">
        <v>66</v>
      </c>
      <c r="N932" t="s">
        <v>4004</v>
      </c>
      <c r="O932" t="s">
        <v>32</v>
      </c>
      <c r="P932" t="s">
        <v>33</v>
      </c>
      <c r="Q932" t="s">
        <v>34</v>
      </c>
      <c r="R932">
        <v>79973.55</v>
      </c>
      <c r="S932" s="25" t="e">
        <f>IF(Table1[[#This Row],[Sales]]=MIN(Table1[Sales]), Table1[[#This Row],[Sales]], NA())</f>
        <v>#N/A</v>
      </c>
      <c r="T932" s="25">
        <f>IF(AND(Table1[[#This Row],[Sales]]&lt;&gt;MIN(Table1[Sales]),Table1[[#This Row],[Sales]]&lt;&gt;MAX(Table1[Sales])), Table1[[#This Row],[Sales]], NA())</f>
        <v>79973.55</v>
      </c>
      <c r="U932" s="25" t="e">
        <f>IF(Table1[[#This Row],[Sales]]=MAX(Table1[Sales]), Table1[[#This Row],[Sales]], NA())</f>
        <v>#N/A</v>
      </c>
      <c r="V932">
        <v>8</v>
      </c>
      <c r="W932">
        <v>0.3</v>
      </c>
      <c r="X932">
        <v>399.87</v>
      </c>
      <c r="Y932" s="3">
        <f>YEAR(Table1[[#This Row],[Order Date]])</f>
        <v>2024</v>
      </c>
      <c r="Z932" s="3" t="str">
        <f>TEXT(Table1[[#This Row],[Order Date]],"MMM")</f>
        <v>Nov</v>
      </c>
      <c r="AA932" s="3">
        <f>DAY(Table1[[#This Row],[Order Date]])</f>
        <v>25</v>
      </c>
    </row>
    <row r="933" spans="1:27" x14ac:dyDescent="0.35">
      <c r="A933" s="1">
        <v>932</v>
      </c>
      <c r="B933" s="1" t="s">
        <v>4005</v>
      </c>
      <c r="C933" s="1" t="s">
        <v>186</v>
      </c>
      <c r="D933" s="1" t="s">
        <v>2256</v>
      </c>
      <c r="E933" t="s">
        <v>24</v>
      </c>
      <c r="F933" t="s">
        <v>4006</v>
      </c>
      <c r="G933" t="s">
        <v>188</v>
      </c>
      <c r="H933" t="s">
        <v>94</v>
      </c>
      <c r="I933" s="1" t="s">
        <v>28</v>
      </c>
      <c r="J933" t="s">
        <v>53</v>
      </c>
      <c r="K933" t="s">
        <v>54</v>
      </c>
      <c r="L933" s="1">
        <v>909065</v>
      </c>
      <c r="M933" s="1" t="s">
        <v>55</v>
      </c>
      <c r="N933" t="s">
        <v>4007</v>
      </c>
      <c r="O933" t="s">
        <v>46</v>
      </c>
      <c r="P933" t="s">
        <v>47</v>
      </c>
      <c r="Q933" t="s">
        <v>48</v>
      </c>
      <c r="R933">
        <v>21736.55</v>
      </c>
      <c r="S933" s="25" t="e">
        <f>IF(Table1[[#This Row],[Sales]]=MIN(Table1[Sales]), Table1[[#This Row],[Sales]], NA())</f>
        <v>#N/A</v>
      </c>
      <c r="T933" s="25">
        <f>IF(AND(Table1[[#This Row],[Sales]]&lt;&gt;MIN(Table1[Sales]),Table1[[#This Row],[Sales]]&lt;&gt;MAX(Table1[Sales])), Table1[[#This Row],[Sales]], NA())</f>
        <v>21736.55</v>
      </c>
      <c r="U933" s="25" t="e">
        <f>IF(Table1[[#This Row],[Sales]]=MAX(Table1[Sales]), Table1[[#This Row],[Sales]], NA())</f>
        <v>#N/A</v>
      </c>
      <c r="V933">
        <v>8</v>
      </c>
      <c r="W933">
        <v>0.2</v>
      </c>
      <c r="X933">
        <v>652.1</v>
      </c>
      <c r="Y933" s="3">
        <f>YEAR(Table1[[#This Row],[Order Date]])</f>
        <v>2022</v>
      </c>
      <c r="Z933" s="3" t="str">
        <f>TEXT(Table1[[#This Row],[Order Date]],"MMM")</f>
        <v>Feb</v>
      </c>
      <c r="AA933" s="3">
        <f>DAY(Table1[[#This Row],[Order Date]])</f>
        <v>11</v>
      </c>
    </row>
    <row r="934" spans="1:27" x14ac:dyDescent="0.35">
      <c r="A934" s="1">
        <v>933</v>
      </c>
      <c r="B934" s="1" t="s">
        <v>4008</v>
      </c>
      <c r="C934" s="1" t="s">
        <v>113</v>
      </c>
      <c r="D934" s="1" t="s">
        <v>4009</v>
      </c>
      <c r="E934" t="s">
        <v>38</v>
      </c>
      <c r="F934" t="s">
        <v>4010</v>
      </c>
      <c r="G934" t="s">
        <v>140</v>
      </c>
      <c r="H934" t="s">
        <v>41</v>
      </c>
      <c r="I934" s="1" t="s">
        <v>28</v>
      </c>
      <c r="J934" t="s">
        <v>128</v>
      </c>
      <c r="K934" t="s">
        <v>129</v>
      </c>
      <c r="L934" s="1">
        <v>819799</v>
      </c>
      <c r="M934" s="1" t="s">
        <v>66</v>
      </c>
      <c r="N934" t="s">
        <v>4011</v>
      </c>
      <c r="O934" t="s">
        <v>46</v>
      </c>
      <c r="P934" t="s">
        <v>57</v>
      </c>
      <c r="Q934" t="s">
        <v>58</v>
      </c>
      <c r="R934">
        <v>91107.06</v>
      </c>
      <c r="S934" s="25" t="e">
        <f>IF(Table1[[#This Row],[Sales]]=MIN(Table1[Sales]), Table1[[#This Row],[Sales]], NA())</f>
        <v>#N/A</v>
      </c>
      <c r="T934" s="25">
        <f>IF(AND(Table1[[#This Row],[Sales]]&lt;&gt;MIN(Table1[Sales]),Table1[[#This Row],[Sales]]&lt;&gt;MAX(Table1[Sales])), Table1[[#This Row],[Sales]], NA())</f>
        <v>91107.06</v>
      </c>
      <c r="U934" s="25" t="e">
        <f>IF(Table1[[#This Row],[Sales]]=MAX(Table1[Sales]), Table1[[#This Row],[Sales]], NA())</f>
        <v>#N/A</v>
      </c>
      <c r="V934">
        <v>8</v>
      </c>
      <c r="W934">
        <v>0.3</v>
      </c>
      <c r="X934">
        <v>455.54</v>
      </c>
      <c r="Y934" s="3">
        <f>YEAR(Table1[[#This Row],[Order Date]])</f>
        <v>2021</v>
      </c>
      <c r="Z934" s="3" t="str">
        <f>TEXT(Table1[[#This Row],[Order Date]],"MMM")</f>
        <v>Oct</v>
      </c>
      <c r="AA934" s="3">
        <f>DAY(Table1[[#This Row],[Order Date]])</f>
        <v>1</v>
      </c>
    </row>
    <row r="935" spans="1:27" x14ac:dyDescent="0.35">
      <c r="A935" s="1">
        <v>934</v>
      </c>
      <c r="B935" s="1" t="s">
        <v>4012</v>
      </c>
      <c r="C935" s="1" t="s">
        <v>1205</v>
      </c>
      <c r="D935" s="1" t="s">
        <v>3813</v>
      </c>
      <c r="E935" t="s">
        <v>38</v>
      </c>
      <c r="F935" t="s">
        <v>4013</v>
      </c>
      <c r="G935" t="s">
        <v>93</v>
      </c>
      <c r="H935" t="s">
        <v>41</v>
      </c>
      <c r="I935" s="1" t="s">
        <v>28</v>
      </c>
      <c r="J935" t="s">
        <v>29</v>
      </c>
      <c r="K935" t="s">
        <v>29</v>
      </c>
      <c r="L935" s="1">
        <v>811384</v>
      </c>
      <c r="M935" s="1" t="s">
        <v>30</v>
      </c>
      <c r="N935" t="s">
        <v>4014</v>
      </c>
      <c r="O935" t="s">
        <v>68</v>
      </c>
      <c r="P935" t="s">
        <v>69</v>
      </c>
      <c r="Q935" t="s">
        <v>70</v>
      </c>
      <c r="R935">
        <v>57317.4</v>
      </c>
      <c r="S935" s="25" t="e">
        <f>IF(Table1[[#This Row],[Sales]]=MIN(Table1[Sales]), Table1[[#This Row],[Sales]], NA())</f>
        <v>#N/A</v>
      </c>
      <c r="T935" s="25">
        <f>IF(AND(Table1[[#This Row],[Sales]]&lt;&gt;MIN(Table1[Sales]),Table1[[#This Row],[Sales]]&lt;&gt;MAX(Table1[Sales])), Table1[[#This Row],[Sales]], NA())</f>
        <v>57317.4</v>
      </c>
      <c r="U935" s="25" t="e">
        <f>IF(Table1[[#This Row],[Sales]]=MAX(Table1[Sales]), Table1[[#This Row],[Sales]], NA())</f>
        <v>#N/A</v>
      </c>
      <c r="V935">
        <v>6</v>
      </c>
      <c r="W935">
        <v>0.2</v>
      </c>
      <c r="X935">
        <v>1719.52</v>
      </c>
      <c r="Y935" s="3">
        <f>YEAR(Table1[[#This Row],[Order Date]])</f>
        <v>2025</v>
      </c>
      <c r="Z935" s="3" t="str">
        <f>TEXT(Table1[[#This Row],[Order Date]],"MMM")</f>
        <v>Mar</v>
      </c>
      <c r="AA935" s="3">
        <f>DAY(Table1[[#This Row],[Order Date]])</f>
        <v>12</v>
      </c>
    </row>
    <row r="936" spans="1:27" x14ac:dyDescent="0.35">
      <c r="A936" s="1">
        <v>935</v>
      </c>
      <c r="B936" s="1" t="s">
        <v>4015</v>
      </c>
      <c r="C936" s="1" t="s">
        <v>3670</v>
      </c>
      <c r="D936" s="1" t="s">
        <v>4016</v>
      </c>
      <c r="E936" t="s">
        <v>62</v>
      </c>
      <c r="F936" t="s">
        <v>4017</v>
      </c>
      <c r="G936" t="s">
        <v>110</v>
      </c>
      <c r="H936" t="s">
        <v>27</v>
      </c>
      <c r="I936" s="1" t="s">
        <v>28</v>
      </c>
      <c r="J936" t="s">
        <v>128</v>
      </c>
      <c r="K936" t="s">
        <v>129</v>
      </c>
      <c r="L936" s="1">
        <v>800040</v>
      </c>
      <c r="M936" s="1" t="s">
        <v>66</v>
      </c>
      <c r="N936" t="s">
        <v>4018</v>
      </c>
      <c r="O936" t="s">
        <v>68</v>
      </c>
      <c r="P936" t="s">
        <v>69</v>
      </c>
      <c r="Q936" t="s">
        <v>70</v>
      </c>
      <c r="R936">
        <v>5280.45</v>
      </c>
      <c r="S936" s="25" t="e">
        <f>IF(Table1[[#This Row],[Sales]]=MIN(Table1[Sales]), Table1[[#This Row],[Sales]], NA())</f>
        <v>#N/A</v>
      </c>
      <c r="T936" s="25">
        <f>IF(AND(Table1[[#This Row],[Sales]]&lt;&gt;MIN(Table1[Sales]),Table1[[#This Row],[Sales]]&lt;&gt;MAX(Table1[Sales])), Table1[[#This Row],[Sales]], NA())</f>
        <v>5280.45</v>
      </c>
      <c r="U936" s="25" t="e">
        <f>IF(Table1[[#This Row],[Sales]]=MAX(Table1[Sales]), Table1[[#This Row],[Sales]], NA())</f>
        <v>#N/A</v>
      </c>
      <c r="V936">
        <v>8</v>
      </c>
      <c r="W936">
        <v>0.3</v>
      </c>
      <c r="X936">
        <v>26.4</v>
      </c>
      <c r="Y936" s="3">
        <f>YEAR(Table1[[#This Row],[Order Date]])</f>
        <v>2022</v>
      </c>
      <c r="Z936" s="3" t="str">
        <f>TEXT(Table1[[#This Row],[Order Date]],"MMM")</f>
        <v>Oct</v>
      </c>
      <c r="AA936" s="3">
        <f>DAY(Table1[[#This Row],[Order Date]])</f>
        <v>24</v>
      </c>
    </row>
    <row r="937" spans="1:27" x14ac:dyDescent="0.35">
      <c r="A937" s="1">
        <v>936</v>
      </c>
      <c r="B937" s="1" t="s">
        <v>4019</v>
      </c>
      <c r="C937" s="1" t="s">
        <v>673</v>
      </c>
      <c r="D937" s="1" t="s">
        <v>4020</v>
      </c>
      <c r="E937" t="s">
        <v>38</v>
      </c>
      <c r="F937" t="s">
        <v>4021</v>
      </c>
      <c r="G937" t="s">
        <v>188</v>
      </c>
      <c r="H937" t="s">
        <v>94</v>
      </c>
      <c r="I937" s="1" t="s">
        <v>28</v>
      </c>
      <c r="J937" t="s">
        <v>64</v>
      </c>
      <c r="K937" t="s">
        <v>65</v>
      </c>
      <c r="L937" s="1">
        <v>695641</v>
      </c>
      <c r="M937" s="1" t="s">
        <v>66</v>
      </c>
      <c r="N937" t="s">
        <v>4022</v>
      </c>
      <c r="O937" t="s">
        <v>32</v>
      </c>
      <c r="P937" t="s">
        <v>33</v>
      </c>
      <c r="Q937" t="s">
        <v>34</v>
      </c>
      <c r="R937">
        <v>54892.94</v>
      </c>
      <c r="S937" s="25" t="e">
        <f>IF(Table1[[#This Row],[Sales]]=MIN(Table1[Sales]), Table1[[#This Row],[Sales]], NA())</f>
        <v>#N/A</v>
      </c>
      <c r="T937" s="25">
        <f>IF(AND(Table1[[#This Row],[Sales]]&lt;&gt;MIN(Table1[Sales]),Table1[[#This Row],[Sales]]&lt;&gt;MAX(Table1[Sales])), Table1[[#This Row],[Sales]], NA())</f>
        <v>54892.94</v>
      </c>
      <c r="U937" s="25" t="e">
        <f>IF(Table1[[#This Row],[Sales]]=MAX(Table1[Sales]), Table1[[#This Row],[Sales]], NA())</f>
        <v>#N/A</v>
      </c>
      <c r="V937">
        <v>1</v>
      </c>
      <c r="W937">
        <v>0.3</v>
      </c>
      <c r="X937">
        <v>274.45999999999998</v>
      </c>
      <c r="Y937" s="3">
        <f>YEAR(Table1[[#This Row],[Order Date]])</f>
        <v>2021</v>
      </c>
      <c r="Z937" s="3" t="str">
        <f>TEXT(Table1[[#This Row],[Order Date]],"MMM")</f>
        <v>Jun</v>
      </c>
      <c r="AA937" s="3">
        <f>DAY(Table1[[#This Row],[Order Date]])</f>
        <v>2</v>
      </c>
    </row>
    <row r="938" spans="1:27" x14ac:dyDescent="0.35">
      <c r="A938" s="1">
        <v>937</v>
      </c>
      <c r="B938" s="1" t="s">
        <v>4023</v>
      </c>
      <c r="C938" s="1" t="s">
        <v>222</v>
      </c>
      <c r="D938" s="1" t="s">
        <v>3115</v>
      </c>
      <c r="E938" t="s">
        <v>24</v>
      </c>
      <c r="F938" t="s">
        <v>4024</v>
      </c>
      <c r="G938" t="s">
        <v>75</v>
      </c>
      <c r="H938" t="s">
        <v>27</v>
      </c>
      <c r="I938" s="1" t="s">
        <v>28</v>
      </c>
      <c r="J938" t="s">
        <v>128</v>
      </c>
      <c r="K938" t="s">
        <v>129</v>
      </c>
      <c r="L938" s="1">
        <v>772632</v>
      </c>
      <c r="M938" s="1" t="s">
        <v>66</v>
      </c>
      <c r="N938" t="s">
        <v>4025</v>
      </c>
      <c r="O938" t="s">
        <v>46</v>
      </c>
      <c r="P938" t="s">
        <v>47</v>
      </c>
      <c r="Q938" t="s">
        <v>48</v>
      </c>
      <c r="R938">
        <v>81598.52</v>
      </c>
      <c r="S938" s="25" t="e">
        <f>IF(Table1[[#This Row],[Sales]]=MIN(Table1[Sales]), Table1[[#This Row],[Sales]], NA())</f>
        <v>#N/A</v>
      </c>
      <c r="T938" s="25">
        <f>IF(AND(Table1[[#This Row],[Sales]]&lt;&gt;MIN(Table1[Sales]),Table1[[#This Row],[Sales]]&lt;&gt;MAX(Table1[Sales])), Table1[[#This Row],[Sales]], NA())</f>
        <v>81598.52</v>
      </c>
      <c r="U938" s="25" t="e">
        <f>IF(Table1[[#This Row],[Sales]]=MAX(Table1[Sales]), Table1[[#This Row],[Sales]], NA())</f>
        <v>#N/A</v>
      </c>
      <c r="V938">
        <v>9</v>
      </c>
      <c r="W938">
        <v>0.2</v>
      </c>
      <c r="X938">
        <v>2447.96</v>
      </c>
      <c r="Y938" s="3">
        <f>YEAR(Table1[[#This Row],[Order Date]])</f>
        <v>2022</v>
      </c>
      <c r="Z938" s="3" t="str">
        <f>TEXT(Table1[[#This Row],[Order Date]],"MMM")</f>
        <v>May</v>
      </c>
      <c r="AA938" s="3">
        <f>DAY(Table1[[#This Row],[Order Date]])</f>
        <v>9</v>
      </c>
    </row>
    <row r="939" spans="1:27" x14ac:dyDescent="0.35">
      <c r="A939" s="1">
        <v>938</v>
      </c>
      <c r="B939" s="1" t="s">
        <v>4026</v>
      </c>
      <c r="C939" s="1" t="s">
        <v>2377</v>
      </c>
      <c r="D939" s="1" t="s">
        <v>4027</v>
      </c>
      <c r="E939" t="s">
        <v>115</v>
      </c>
      <c r="F939" t="s">
        <v>4028</v>
      </c>
      <c r="G939" t="s">
        <v>188</v>
      </c>
      <c r="H939" t="s">
        <v>94</v>
      </c>
      <c r="I939" s="1" t="s">
        <v>28</v>
      </c>
      <c r="J939" t="s">
        <v>53</v>
      </c>
      <c r="K939" t="s">
        <v>54</v>
      </c>
      <c r="L939" s="1">
        <v>683576</v>
      </c>
      <c r="M939" s="1" t="s">
        <v>55</v>
      </c>
      <c r="N939" t="s">
        <v>4029</v>
      </c>
      <c r="O939" t="s">
        <v>68</v>
      </c>
      <c r="P939" t="s">
        <v>69</v>
      </c>
      <c r="Q939" t="s">
        <v>70</v>
      </c>
      <c r="R939">
        <v>48546.82</v>
      </c>
      <c r="S939" s="25" t="e">
        <f>IF(Table1[[#This Row],[Sales]]=MIN(Table1[Sales]), Table1[[#This Row],[Sales]], NA())</f>
        <v>#N/A</v>
      </c>
      <c r="T939" s="25">
        <f>IF(AND(Table1[[#This Row],[Sales]]&lt;&gt;MIN(Table1[Sales]),Table1[[#This Row],[Sales]]&lt;&gt;MAX(Table1[Sales])), Table1[[#This Row],[Sales]], NA())</f>
        <v>48546.82</v>
      </c>
      <c r="U939" s="25" t="e">
        <f>IF(Table1[[#This Row],[Sales]]=MAX(Table1[Sales]), Table1[[#This Row],[Sales]], NA())</f>
        <v>#N/A</v>
      </c>
      <c r="V939">
        <v>7</v>
      </c>
      <c r="W939">
        <v>0.1</v>
      </c>
      <c r="X939">
        <v>2670.08</v>
      </c>
      <c r="Y939" s="3">
        <f>YEAR(Table1[[#This Row],[Order Date]])</f>
        <v>2023</v>
      </c>
      <c r="Z939" s="3" t="str">
        <f>TEXT(Table1[[#This Row],[Order Date]],"MMM")</f>
        <v>Jan</v>
      </c>
      <c r="AA939" s="3">
        <f>DAY(Table1[[#This Row],[Order Date]])</f>
        <v>2</v>
      </c>
    </row>
    <row r="940" spans="1:27" x14ac:dyDescent="0.35">
      <c r="A940" s="1">
        <v>939</v>
      </c>
      <c r="B940" s="1" t="s">
        <v>4030</v>
      </c>
      <c r="C940" s="1" t="s">
        <v>4031</v>
      </c>
      <c r="D940" s="1" t="s">
        <v>4032</v>
      </c>
      <c r="E940" t="s">
        <v>38</v>
      </c>
      <c r="F940" t="s">
        <v>4033</v>
      </c>
      <c r="G940" t="s">
        <v>140</v>
      </c>
      <c r="H940" t="s">
        <v>41</v>
      </c>
      <c r="I940" s="1" t="s">
        <v>28</v>
      </c>
      <c r="J940" t="s">
        <v>128</v>
      </c>
      <c r="K940" t="s">
        <v>129</v>
      </c>
      <c r="L940" s="1">
        <v>320289</v>
      </c>
      <c r="M940" s="1" t="s">
        <v>66</v>
      </c>
      <c r="N940" t="s">
        <v>4034</v>
      </c>
      <c r="O940" t="s">
        <v>46</v>
      </c>
      <c r="P940" t="s">
        <v>57</v>
      </c>
      <c r="Q940" t="s">
        <v>58</v>
      </c>
      <c r="R940">
        <v>95990.33</v>
      </c>
      <c r="S940" s="25" t="e">
        <f>IF(Table1[[#This Row],[Sales]]=MIN(Table1[Sales]), Table1[[#This Row],[Sales]], NA())</f>
        <v>#N/A</v>
      </c>
      <c r="T940" s="25">
        <f>IF(AND(Table1[[#This Row],[Sales]]&lt;&gt;MIN(Table1[Sales]),Table1[[#This Row],[Sales]]&lt;&gt;MAX(Table1[Sales])), Table1[[#This Row],[Sales]], NA())</f>
        <v>95990.33</v>
      </c>
      <c r="U940" s="25" t="e">
        <f>IF(Table1[[#This Row],[Sales]]=MAX(Table1[Sales]), Table1[[#This Row],[Sales]], NA())</f>
        <v>#N/A</v>
      </c>
      <c r="V940">
        <v>3</v>
      </c>
      <c r="W940">
        <v>0.1</v>
      </c>
      <c r="X940">
        <v>5279.47</v>
      </c>
      <c r="Y940" s="3">
        <f>YEAR(Table1[[#This Row],[Order Date]])</f>
        <v>2021</v>
      </c>
      <c r="Z940" s="3" t="str">
        <f>TEXT(Table1[[#This Row],[Order Date]],"MMM")</f>
        <v>Aug</v>
      </c>
      <c r="AA940" s="3">
        <f>DAY(Table1[[#This Row],[Order Date]])</f>
        <v>16</v>
      </c>
    </row>
    <row r="941" spans="1:27" x14ac:dyDescent="0.35">
      <c r="A941" s="1">
        <v>940</v>
      </c>
      <c r="B941" s="1" t="s">
        <v>4035</v>
      </c>
      <c r="C941" s="1" t="s">
        <v>4036</v>
      </c>
      <c r="D941" s="1" t="s">
        <v>4037</v>
      </c>
      <c r="E941" t="s">
        <v>115</v>
      </c>
      <c r="F941" t="s">
        <v>4038</v>
      </c>
      <c r="G941" t="s">
        <v>87</v>
      </c>
      <c r="H941" t="s">
        <v>27</v>
      </c>
      <c r="I941" s="1" t="s">
        <v>28</v>
      </c>
      <c r="J941" t="s">
        <v>128</v>
      </c>
      <c r="K941" t="s">
        <v>129</v>
      </c>
      <c r="L941" s="1">
        <v>394643</v>
      </c>
      <c r="M941" s="1" t="s">
        <v>66</v>
      </c>
      <c r="N941" t="s">
        <v>4039</v>
      </c>
      <c r="O941" t="s">
        <v>68</v>
      </c>
      <c r="P941" t="s">
        <v>69</v>
      </c>
      <c r="Q941" t="s">
        <v>70</v>
      </c>
      <c r="R941">
        <v>10733.12</v>
      </c>
      <c r="S941" s="25" t="e">
        <f>IF(Table1[[#This Row],[Sales]]=MIN(Table1[Sales]), Table1[[#This Row],[Sales]], NA())</f>
        <v>#N/A</v>
      </c>
      <c r="T941" s="25">
        <f>IF(AND(Table1[[#This Row],[Sales]]&lt;&gt;MIN(Table1[Sales]),Table1[[#This Row],[Sales]]&lt;&gt;MAX(Table1[Sales])), Table1[[#This Row],[Sales]], NA())</f>
        <v>10733.12</v>
      </c>
      <c r="U941" s="25" t="e">
        <f>IF(Table1[[#This Row],[Sales]]=MAX(Table1[Sales]), Table1[[#This Row],[Sales]], NA())</f>
        <v>#N/A</v>
      </c>
      <c r="V941">
        <v>9</v>
      </c>
      <c r="W941">
        <v>0.3</v>
      </c>
      <c r="X941">
        <v>53.67</v>
      </c>
      <c r="Y941" s="3">
        <f>YEAR(Table1[[#This Row],[Order Date]])</f>
        <v>2023</v>
      </c>
      <c r="Z941" s="3" t="str">
        <f>TEXT(Table1[[#This Row],[Order Date]],"MMM")</f>
        <v>Dec</v>
      </c>
      <c r="AA941" s="3">
        <f>DAY(Table1[[#This Row],[Order Date]])</f>
        <v>30</v>
      </c>
    </row>
    <row r="942" spans="1:27" x14ac:dyDescent="0.35">
      <c r="A942" s="1">
        <v>941</v>
      </c>
      <c r="B942" s="1" t="s">
        <v>4040</v>
      </c>
      <c r="C942" s="1" t="s">
        <v>1105</v>
      </c>
      <c r="D942" s="1" t="s">
        <v>2609</v>
      </c>
      <c r="E942" t="s">
        <v>115</v>
      </c>
      <c r="F942" t="s">
        <v>4041</v>
      </c>
      <c r="G942" t="s">
        <v>26</v>
      </c>
      <c r="H942" t="s">
        <v>94</v>
      </c>
      <c r="I942" s="1" t="s">
        <v>28</v>
      </c>
      <c r="J942" t="s">
        <v>53</v>
      </c>
      <c r="K942" t="s">
        <v>54</v>
      </c>
      <c r="L942" s="1">
        <v>931040</v>
      </c>
      <c r="M942" s="1" t="s">
        <v>55</v>
      </c>
      <c r="N942" t="s">
        <v>4042</v>
      </c>
      <c r="O942" t="s">
        <v>32</v>
      </c>
      <c r="P942" t="s">
        <v>33</v>
      </c>
      <c r="Q942" t="s">
        <v>34</v>
      </c>
      <c r="R942">
        <v>64232.71</v>
      </c>
      <c r="S942" s="25" t="e">
        <f>IF(Table1[[#This Row],[Sales]]=MIN(Table1[Sales]), Table1[[#This Row],[Sales]], NA())</f>
        <v>#N/A</v>
      </c>
      <c r="T942" s="25">
        <f>IF(AND(Table1[[#This Row],[Sales]]&lt;&gt;MIN(Table1[Sales]),Table1[[#This Row],[Sales]]&lt;&gt;MAX(Table1[Sales])), Table1[[#This Row],[Sales]], NA())</f>
        <v>64232.71</v>
      </c>
      <c r="U942" s="25" t="e">
        <f>IF(Table1[[#This Row],[Sales]]=MAX(Table1[Sales]), Table1[[#This Row],[Sales]], NA())</f>
        <v>#N/A</v>
      </c>
      <c r="V942">
        <v>3</v>
      </c>
      <c r="W942">
        <v>0.3</v>
      </c>
      <c r="X942">
        <v>321.16000000000003</v>
      </c>
      <c r="Y942" s="3">
        <f>YEAR(Table1[[#This Row],[Order Date]])</f>
        <v>2022</v>
      </c>
      <c r="Z942" s="3" t="str">
        <f>TEXT(Table1[[#This Row],[Order Date]],"MMM")</f>
        <v>Feb</v>
      </c>
      <c r="AA942" s="3">
        <f>DAY(Table1[[#This Row],[Order Date]])</f>
        <v>4</v>
      </c>
    </row>
    <row r="943" spans="1:27" x14ac:dyDescent="0.35">
      <c r="A943" s="1">
        <v>942</v>
      </c>
      <c r="B943" s="1" t="s">
        <v>4043</v>
      </c>
      <c r="C943" s="1" t="s">
        <v>884</v>
      </c>
      <c r="D943" s="1" t="s">
        <v>2025</v>
      </c>
      <c r="E943" t="s">
        <v>24</v>
      </c>
      <c r="F943" t="s">
        <v>4044</v>
      </c>
      <c r="G943" t="s">
        <v>188</v>
      </c>
      <c r="H943" t="s">
        <v>41</v>
      </c>
      <c r="I943" s="1" t="s">
        <v>28</v>
      </c>
      <c r="J943" t="s">
        <v>29</v>
      </c>
      <c r="K943" t="s">
        <v>29</v>
      </c>
      <c r="L943" s="1">
        <v>692042</v>
      </c>
      <c r="M943" s="1" t="s">
        <v>30</v>
      </c>
      <c r="N943" t="s">
        <v>4045</v>
      </c>
      <c r="O943" t="s">
        <v>46</v>
      </c>
      <c r="P943" t="s">
        <v>57</v>
      </c>
      <c r="Q943" t="s">
        <v>58</v>
      </c>
      <c r="R943">
        <v>92635.45</v>
      </c>
      <c r="S943" s="25" t="e">
        <f>IF(Table1[[#This Row],[Sales]]=MIN(Table1[Sales]), Table1[[#This Row],[Sales]], NA())</f>
        <v>#N/A</v>
      </c>
      <c r="T943" s="25">
        <f>IF(AND(Table1[[#This Row],[Sales]]&lt;&gt;MIN(Table1[Sales]),Table1[[#This Row],[Sales]]&lt;&gt;MAX(Table1[Sales])), Table1[[#This Row],[Sales]], NA())</f>
        <v>92635.45</v>
      </c>
      <c r="U943" s="25" t="e">
        <f>IF(Table1[[#This Row],[Sales]]=MAX(Table1[Sales]), Table1[[#This Row],[Sales]], NA())</f>
        <v>#N/A</v>
      </c>
      <c r="V943">
        <v>3</v>
      </c>
      <c r="W943">
        <v>0.1</v>
      </c>
      <c r="X943">
        <v>5094.95</v>
      </c>
      <c r="Y943" s="3">
        <f>YEAR(Table1[[#This Row],[Order Date]])</f>
        <v>2023</v>
      </c>
      <c r="Z943" s="3" t="str">
        <f>TEXT(Table1[[#This Row],[Order Date]],"MMM")</f>
        <v>Oct</v>
      </c>
      <c r="AA943" s="3">
        <f>DAY(Table1[[#This Row],[Order Date]])</f>
        <v>10</v>
      </c>
    </row>
    <row r="944" spans="1:27" x14ac:dyDescent="0.35">
      <c r="A944" s="1">
        <v>943</v>
      </c>
      <c r="B944" s="1" t="s">
        <v>4046</v>
      </c>
      <c r="C944" s="1" t="s">
        <v>4047</v>
      </c>
      <c r="D944" s="1" t="s">
        <v>845</v>
      </c>
      <c r="E944" t="s">
        <v>62</v>
      </c>
      <c r="F944" t="s">
        <v>4048</v>
      </c>
      <c r="G944" t="s">
        <v>40</v>
      </c>
      <c r="H944" t="s">
        <v>41</v>
      </c>
      <c r="I944" s="1" t="s">
        <v>28</v>
      </c>
      <c r="J944" t="s">
        <v>128</v>
      </c>
      <c r="K944" t="s">
        <v>129</v>
      </c>
      <c r="L944" s="1">
        <v>284408</v>
      </c>
      <c r="M944" s="1" t="s">
        <v>66</v>
      </c>
      <c r="N944" t="s">
        <v>4049</v>
      </c>
      <c r="O944" t="s">
        <v>68</v>
      </c>
      <c r="P944" t="s">
        <v>69</v>
      </c>
      <c r="Q944" t="s">
        <v>70</v>
      </c>
      <c r="R944">
        <v>84635.21</v>
      </c>
      <c r="S944" s="25" t="e">
        <f>IF(Table1[[#This Row],[Sales]]=MIN(Table1[Sales]), Table1[[#This Row],[Sales]], NA())</f>
        <v>#N/A</v>
      </c>
      <c r="T944" s="25">
        <f>IF(AND(Table1[[#This Row],[Sales]]&lt;&gt;MIN(Table1[Sales]),Table1[[#This Row],[Sales]]&lt;&gt;MAX(Table1[Sales])), Table1[[#This Row],[Sales]], NA())</f>
        <v>84635.21</v>
      </c>
      <c r="U944" s="25" t="e">
        <f>IF(Table1[[#This Row],[Sales]]=MAX(Table1[Sales]), Table1[[#This Row],[Sales]], NA())</f>
        <v>#N/A</v>
      </c>
      <c r="V944">
        <v>7</v>
      </c>
      <c r="W944">
        <v>0.2</v>
      </c>
      <c r="X944">
        <v>2539.06</v>
      </c>
      <c r="Y944" s="3">
        <f>YEAR(Table1[[#This Row],[Order Date]])</f>
        <v>2025</v>
      </c>
      <c r="Z944" s="3" t="str">
        <f>TEXT(Table1[[#This Row],[Order Date]],"MMM")</f>
        <v>Dec</v>
      </c>
      <c r="AA944" s="3">
        <f>DAY(Table1[[#This Row],[Order Date]])</f>
        <v>1</v>
      </c>
    </row>
    <row r="945" spans="1:27" x14ac:dyDescent="0.35">
      <c r="A945" s="1">
        <v>944</v>
      </c>
      <c r="B945" s="1" t="s">
        <v>4050</v>
      </c>
      <c r="C945" s="1" t="s">
        <v>4051</v>
      </c>
      <c r="D945" s="1" t="s">
        <v>712</v>
      </c>
      <c r="E945" t="s">
        <v>38</v>
      </c>
      <c r="F945" t="s">
        <v>4052</v>
      </c>
      <c r="G945" t="s">
        <v>26</v>
      </c>
      <c r="H945" t="s">
        <v>94</v>
      </c>
      <c r="I945" s="1" t="s">
        <v>28</v>
      </c>
      <c r="J945" t="s">
        <v>29</v>
      </c>
      <c r="K945" t="s">
        <v>29</v>
      </c>
      <c r="L945" s="1">
        <v>215576</v>
      </c>
      <c r="M945" s="1" t="s">
        <v>30</v>
      </c>
      <c r="N945" t="s">
        <v>4053</v>
      </c>
      <c r="O945" t="s">
        <v>46</v>
      </c>
      <c r="P945" t="s">
        <v>47</v>
      </c>
      <c r="Q945" t="s">
        <v>48</v>
      </c>
      <c r="R945">
        <v>78531.570000000007</v>
      </c>
      <c r="S945" s="25" t="e">
        <f>IF(Table1[[#This Row],[Sales]]=MIN(Table1[Sales]), Table1[[#This Row],[Sales]], NA())</f>
        <v>#N/A</v>
      </c>
      <c r="T945" s="25">
        <f>IF(AND(Table1[[#This Row],[Sales]]&lt;&gt;MIN(Table1[Sales]),Table1[[#This Row],[Sales]]&lt;&gt;MAX(Table1[Sales])), Table1[[#This Row],[Sales]], NA())</f>
        <v>78531.570000000007</v>
      </c>
      <c r="U945" s="25" t="e">
        <f>IF(Table1[[#This Row],[Sales]]=MAX(Table1[Sales]), Table1[[#This Row],[Sales]], NA())</f>
        <v>#N/A</v>
      </c>
      <c r="V945">
        <v>2</v>
      </c>
      <c r="W945">
        <v>0.1</v>
      </c>
      <c r="X945">
        <v>4319.24</v>
      </c>
      <c r="Y945" s="3">
        <f>YEAR(Table1[[#This Row],[Order Date]])</f>
        <v>2025</v>
      </c>
      <c r="Z945" s="3" t="str">
        <f>TEXT(Table1[[#This Row],[Order Date]],"MMM")</f>
        <v>Nov</v>
      </c>
      <c r="AA945" s="3">
        <f>DAY(Table1[[#This Row],[Order Date]])</f>
        <v>24</v>
      </c>
    </row>
    <row r="946" spans="1:27" x14ac:dyDescent="0.35">
      <c r="A946" s="1">
        <v>945</v>
      </c>
      <c r="B946" s="1" t="s">
        <v>4054</v>
      </c>
      <c r="C946" s="1" t="s">
        <v>3966</v>
      </c>
      <c r="D946" s="1" t="s">
        <v>683</v>
      </c>
      <c r="E946" t="s">
        <v>62</v>
      </c>
      <c r="F946" t="s">
        <v>4055</v>
      </c>
      <c r="G946" t="s">
        <v>75</v>
      </c>
      <c r="H946" t="s">
        <v>41</v>
      </c>
      <c r="I946" s="1" t="s">
        <v>28</v>
      </c>
      <c r="J946" t="s">
        <v>42</v>
      </c>
      <c r="K946" t="s">
        <v>43</v>
      </c>
      <c r="L946" s="1">
        <v>994497</v>
      </c>
      <c r="M946" s="1" t="s">
        <v>44</v>
      </c>
      <c r="N946" t="s">
        <v>4056</v>
      </c>
      <c r="O946" t="s">
        <v>32</v>
      </c>
      <c r="P946" t="s">
        <v>33</v>
      </c>
      <c r="Q946" t="s">
        <v>34</v>
      </c>
      <c r="R946">
        <v>1799.91</v>
      </c>
      <c r="S946" s="25" t="e">
        <f>IF(Table1[[#This Row],[Sales]]=MIN(Table1[Sales]), Table1[[#This Row],[Sales]], NA())</f>
        <v>#N/A</v>
      </c>
      <c r="T946" s="25">
        <f>IF(AND(Table1[[#This Row],[Sales]]&lt;&gt;MIN(Table1[Sales]),Table1[[#This Row],[Sales]]&lt;&gt;MAX(Table1[Sales])), Table1[[#This Row],[Sales]], NA())</f>
        <v>1799.91</v>
      </c>
      <c r="U946" s="25" t="e">
        <f>IF(Table1[[#This Row],[Sales]]=MAX(Table1[Sales]), Table1[[#This Row],[Sales]], NA())</f>
        <v>#N/A</v>
      </c>
      <c r="V946">
        <v>10</v>
      </c>
      <c r="W946">
        <v>0.2</v>
      </c>
      <c r="X946">
        <v>54</v>
      </c>
      <c r="Y946" s="3">
        <f>YEAR(Table1[[#This Row],[Order Date]])</f>
        <v>2023</v>
      </c>
      <c r="Z946" s="3" t="str">
        <f>TEXT(Table1[[#This Row],[Order Date]],"MMM")</f>
        <v>Nov</v>
      </c>
      <c r="AA946" s="3">
        <f>DAY(Table1[[#This Row],[Order Date]])</f>
        <v>15</v>
      </c>
    </row>
    <row r="947" spans="1:27" x14ac:dyDescent="0.35">
      <c r="A947" s="1">
        <v>946</v>
      </c>
      <c r="B947" s="1" t="s">
        <v>4057</v>
      </c>
      <c r="C947" s="1" t="s">
        <v>2442</v>
      </c>
      <c r="D947" s="1" t="s">
        <v>4058</v>
      </c>
      <c r="E947" t="s">
        <v>62</v>
      </c>
      <c r="F947" t="s">
        <v>4059</v>
      </c>
      <c r="G947" t="s">
        <v>93</v>
      </c>
      <c r="H947" t="s">
        <v>94</v>
      </c>
      <c r="I947" s="1" t="s">
        <v>28</v>
      </c>
      <c r="J947" t="s">
        <v>42</v>
      </c>
      <c r="K947" t="s">
        <v>43</v>
      </c>
      <c r="L947" s="1">
        <v>860345</v>
      </c>
      <c r="M947" s="1" t="s">
        <v>44</v>
      </c>
      <c r="N947" t="s">
        <v>4060</v>
      </c>
      <c r="O947" t="s">
        <v>46</v>
      </c>
      <c r="P947" t="s">
        <v>57</v>
      </c>
      <c r="Q947" t="s">
        <v>58</v>
      </c>
      <c r="R947">
        <v>41116.120000000003</v>
      </c>
      <c r="S947" s="25" t="e">
        <f>IF(Table1[[#This Row],[Sales]]=MIN(Table1[Sales]), Table1[[#This Row],[Sales]], NA())</f>
        <v>#N/A</v>
      </c>
      <c r="T947" s="25">
        <f>IF(AND(Table1[[#This Row],[Sales]]&lt;&gt;MIN(Table1[Sales]),Table1[[#This Row],[Sales]]&lt;&gt;MAX(Table1[Sales])), Table1[[#This Row],[Sales]], NA())</f>
        <v>41116.120000000003</v>
      </c>
      <c r="U947" s="25" t="e">
        <f>IF(Table1[[#This Row],[Sales]]=MAX(Table1[Sales]), Table1[[#This Row],[Sales]], NA())</f>
        <v>#N/A</v>
      </c>
      <c r="V947">
        <v>2</v>
      </c>
      <c r="W947">
        <v>0.2</v>
      </c>
      <c r="X947">
        <v>1233.48</v>
      </c>
      <c r="Y947" s="3">
        <f>YEAR(Table1[[#This Row],[Order Date]])</f>
        <v>2022</v>
      </c>
      <c r="Z947" s="3" t="str">
        <f>TEXT(Table1[[#This Row],[Order Date]],"MMM")</f>
        <v>Oct</v>
      </c>
      <c r="AA947" s="3">
        <f>DAY(Table1[[#This Row],[Order Date]])</f>
        <v>3</v>
      </c>
    </row>
    <row r="948" spans="1:27" x14ac:dyDescent="0.35">
      <c r="A948" s="1">
        <v>947</v>
      </c>
      <c r="B948" s="1" t="s">
        <v>4061</v>
      </c>
      <c r="C948" s="1" t="s">
        <v>3111</v>
      </c>
      <c r="D948" s="1" t="s">
        <v>2524</v>
      </c>
      <c r="E948" t="s">
        <v>38</v>
      </c>
      <c r="F948" t="s">
        <v>4062</v>
      </c>
      <c r="G948" t="s">
        <v>188</v>
      </c>
      <c r="H948" t="s">
        <v>27</v>
      </c>
      <c r="I948" s="1" t="s">
        <v>28</v>
      </c>
      <c r="J948" t="s">
        <v>42</v>
      </c>
      <c r="K948" t="s">
        <v>43</v>
      </c>
      <c r="L948" s="1">
        <v>105162</v>
      </c>
      <c r="M948" s="1" t="s">
        <v>44</v>
      </c>
      <c r="N948" t="s">
        <v>4063</v>
      </c>
      <c r="O948" t="s">
        <v>46</v>
      </c>
      <c r="P948" t="s">
        <v>57</v>
      </c>
      <c r="Q948" t="s">
        <v>58</v>
      </c>
      <c r="R948">
        <v>17866.830000000002</v>
      </c>
      <c r="S948" s="25" t="e">
        <f>IF(Table1[[#This Row],[Sales]]=MIN(Table1[Sales]), Table1[[#This Row],[Sales]], NA())</f>
        <v>#N/A</v>
      </c>
      <c r="T948" s="25">
        <f>IF(AND(Table1[[#This Row],[Sales]]&lt;&gt;MIN(Table1[Sales]),Table1[[#This Row],[Sales]]&lt;&gt;MAX(Table1[Sales])), Table1[[#This Row],[Sales]], NA())</f>
        <v>17866.830000000002</v>
      </c>
      <c r="U948" s="25" t="e">
        <f>IF(Table1[[#This Row],[Sales]]=MAX(Table1[Sales]), Table1[[#This Row],[Sales]], NA())</f>
        <v>#N/A</v>
      </c>
      <c r="V948">
        <v>6</v>
      </c>
      <c r="W948">
        <v>0.3</v>
      </c>
      <c r="X948">
        <v>89.33</v>
      </c>
      <c r="Y948" s="3">
        <f>YEAR(Table1[[#This Row],[Order Date]])</f>
        <v>2023</v>
      </c>
      <c r="Z948" s="3" t="str">
        <f>TEXT(Table1[[#This Row],[Order Date]],"MMM")</f>
        <v>Feb</v>
      </c>
      <c r="AA948" s="3">
        <f>DAY(Table1[[#This Row],[Order Date]])</f>
        <v>23</v>
      </c>
    </row>
    <row r="949" spans="1:27" x14ac:dyDescent="0.35">
      <c r="A949" s="1">
        <v>948</v>
      </c>
      <c r="B949" s="1" t="s">
        <v>4064</v>
      </c>
      <c r="C949" s="1" t="s">
        <v>2734</v>
      </c>
      <c r="D949" s="1" t="s">
        <v>4065</v>
      </c>
      <c r="E949" t="s">
        <v>24</v>
      </c>
      <c r="F949" t="s">
        <v>4066</v>
      </c>
      <c r="G949" t="s">
        <v>40</v>
      </c>
      <c r="H949" t="s">
        <v>27</v>
      </c>
      <c r="I949" s="1" t="s">
        <v>28</v>
      </c>
      <c r="J949" t="s">
        <v>53</v>
      </c>
      <c r="K949" t="s">
        <v>54</v>
      </c>
      <c r="L949" s="1">
        <v>343661</v>
      </c>
      <c r="M949" s="1" t="s">
        <v>55</v>
      </c>
      <c r="N949" t="s">
        <v>4067</v>
      </c>
      <c r="O949" t="s">
        <v>32</v>
      </c>
      <c r="P949" t="s">
        <v>33</v>
      </c>
      <c r="Q949" t="s">
        <v>34</v>
      </c>
      <c r="R949">
        <v>78489.38</v>
      </c>
      <c r="S949" s="25" t="e">
        <f>IF(Table1[[#This Row],[Sales]]=MIN(Table1[Sales]), Table1[[#This Row],[Sales]], NA())</f>
        <v>#N/A</v>
      </c>
      <c r="T949" s="25">
        <f>IF(AND(Table1[[#This Row],[Sales]]&lt;&gt;MIN(Table1[Sales]),Table1[[#This Row],[Sales]]&lt;&gt;MAX(Table1[Sales])), Table1[[#This Row],[Sales]], NA())</f>
        <v>78489.38</v>
      </c>
      <c r="U949" s="25" t="e">
        <f>IF(Table1[[#This Row],[Sales]]=MAX(Table1[Sales]), Table1[[#This Row],[Sales]], NA())</f>
        <v>#N/A</v>
      </c>
      <c r="V949">
        <v>2</v>
      </c>
      <c r="W949">
        <v>0.1</v>
      </c>
      <c r="X949">
        <v>4316.92</v>
      </c>
      <c r="Y949" s="3">
        <f>YEAR(Table1[[#This Row],[Order Date]])</f>
        <v>2021</v>
      </c>
      <c r="Z949" s="3" t="str">
        <f>TEXT(Table1[[#This Row],[Order Date]],"MMM")</f>
        <v>Jul</v>
      </c>
      <c r="AA949" s="3">
        <f>DAY(Table1[[#This Row],[Order Date]])</f>
        <v>25</v>
      </c>
    </row>
    <row r="950" spans="1:27" x14ac:dyDescent="0.35">
      <c r="A950" s="1">
        <v>949</v>
      </c>
      <c r="B950" s="1" t="s">
        <v>4068</v>
      </c>
      <c r="C950" s="1" t="s">
        <v>2241</v>
      </c>
      <c r="D950" s="1" t="s">
        <v>3416</v>
      </c>
      <c r="E950" t="s">
        <v>38</v>
      </c>
      <c r="F950" t="s">
        <v>4069</v>
      </c>
      <c r="G950" t="s">
        <v>110</v>
      </c>
      <c r="H950" t="s">
        <v>27</v>
      </c>
      <c r="I950" s="1" t="s">
        <v>28</v>
      </c>
      <c r="J950" t="s">
        <v>29</v>
      </c>
      <c r="K950" t="s">
        <v>29</v>
      </c>
      <c r="L950" s="1">
        <v>769221</v>
      </c>
      <c r="M950" s="1" t="s">
        <v>30</v>
      </c>
      <c r="N950" t="s">
        <v>4070</v>
      </c>
      <c r="O950" t="s">
        <v>46</v>
      </c>
      <c r="P950" t="s">
        <v>57</v>
      </c>
      <c r="Q950" t="s">
        <v>58</v>
      </c>
      <c r="R950">
        <v>46085.919999999998</v>
      </c>
      <c r="S950" s="25" t="e">
        <f>IF(Table1[[#This Row],[Sales]]=MIN(Table1[Sales]), Table1[[#This Row],[Sales]], NA())</f>
        <v>#N/A</v>
      </c>
      <c r="T950" s="25">
        <f>IF(AND(Table1[[#This Row],[Sales]]&lt;&gt;MIN(Table1[Sales]),Table1[[#This Row],[Sales]]&lt;&gt;MAX(Table1[Sales])), Table1[[#This Row],[Sales]], NA())</f>
        <v>46085.919999999998</v>
      </c>
      <c r="U950" s="25" t="e">
        <f>IF(Table1[[#This Row],[Sales]]=MAX(Table1[Sales]), Table1[[#This Row],[Sales]], NA())</f>
        <v>#N/A</v>
      </c>
      <c r="V950">
        <v>4</v>
      </c>
      <c r="W950">
        <v>0.3</v>
      </c>
      <c r="X950">
        <v>230.43</v>
      </c>
      <c r="Y950" s="3">
        <f>YEAR(Table1[[#This Row],[Order Date]])</f>
        <v>2023</v>
      </c>
      <c r="Z950" s="3" t="str">
        <f>TEXT(Table1[[#This Row],[Order Date]],"MMM")</f>
        <v>Jul</v>
      </c>
      <c r="AA950" s="3">
        <f>DAY(Table1[[#This Row],[Order Date]])</f>
        <v>21</v>
      </c>
    </row>
    <row r="951" spans="1:27" x14ac:dyDescent="0.35">
      <c r="A951" s="1">
        <v>950</v>
      </c>
      <c r="B951" s="1" t="s">
        <v>4071</v>
      </c>
      <c r="C951" s="1" t="s">
        <v>1314</v>
      </c>
      <c r="D951" s="1" t="s">
        <v>1516</v>
      </c>
      <c r="E951" t="s">
        <v>115</v>
      </c>
      <c r="F951" t="s">
        <v>4072</v>
      </c>
      <c r="G951" t="s">
        <v>75</v>
      </c>
      <c r="H951" t="s">
        <v>94</v>
      </c>
      <c r="I951" s="1" t="s">
        <v>28</v>
      </c>
      <c r="J951" t="s">
        <v>42</v>
      </c>
      <c r="K951" t="s">
        <v>43</v>
      </c>
      <c r="L951" s="1">
        <v>584571</v>
      </c>
      <c r="M951" s="1" t="s">
        <v>44</v>
      </c>
      <c r="N951" t="s">
        <v>4073</v>
      </c>
      <c r="O951" t="s">
        <v>32</v>
      </c>
      <c r="P951" t="s">
        <v>33</v>
      </c>
      <c r="Q951" t="s">
        <v>34</v>
      </c>
      <c r="R951">
        <v>94440.77</v>
      </c>
      <c r="S951" s="25" t="e">
        <f>IF(Table1[[#This Row],[Sales]]=MIN(Table1[Sales]), Table1[[#This Row],[Sales]], NA())</f>
        <v>#N/A</v>
      </c>
      <c r="T951" s="25">
        <f>IF(AND(Table1[[#This Row],[Sales]]&lt;&gt;MIN(Table1[Sales]),Table1[[#This Row],[Sales]]&lt;&gt;MAX(Table1[Sales])), Table1[[#This Row],[Sales]], NA())</f>
        <v>94440.77</v>
      </c>
      <c r="U951" s="25" t="e">
        <f>IF(Table1[[#This Row],[Sales]]=MAX(Table1[Sales]), Table1[[#This Row],[Sales]], NA())</f>
        <v>#N/A</v>
      </c>
      <c r="V951">
        <v>10</v>
      </c>
      <c r="W951">
        <v>0.1</v>
      </c>
      <c r="X951">
        <v>5194.24</v>
      </c>
      <c r="Y951" s="3">
        <f>YEAR(Table1[[#This Row],[Order Date]])</f>
        <v>2024</v>
      </c>
      <c r="Z951" s="3" t="str">
        <f>TEXT(Table1[[#This Row],[Order Date]],"MMM")</f>
        <v>Feb</v>
      </c>
      <c r="AA951" s="3">
        <f>DAY(Table1[[#This Row],[Order Date]])</f>
        <v>12</v>
      </c>
    </row>
    <row r="952" spans="1:27" x14ac:dyDescent="0.35">
      <c r="A952" s="1">
        <v>951</v>
      </c>
      <c r="B952" s="1" t="s">
        <v>4074</v>
      </c>
      <c r="C952" s="1" t="s">
        <v>4075</v>
      </c>
      <c r="D952" s="1" t="s">
        <v>2508</v>
      </c>
      <c r="E952" t="s">
        <v>62</v>
      </c>
      <c r="F952" t="s">
        <v>4076</v>
      </c>
      <c r="G952" t="s">
        <v>26</v>
      </c>
      <c r="H952" t="s">
        <v>41</v>
      </c>
      <c r="I952" s="1" t="s">
        <v>28</v>
      </c>
      <c r="J952" t="s">
        <v>128</v>
      </c>
      <c r="K952" t="s">
        <v>129</v>
      </c>
      <c r="L952" s="1">
        <v>455505</v>
      </c>
      <c r="M952" s="1" t="s">
        <v>66</v>
      </c>
      <c r="N952" t="s">
        <v>4077</v>
      </c>
      <c r="O952" t="s">
        <v>32</v>
      </c>
      <c r="P952" t="s">
        <v>33</v>
      </c>
      <c r="Q952" t="s">
        <v>34</v>
      </c>
      <c r="R952">
        <v>15397.09</v>
      </c>
      <c r="S952" s="25" t="e">
        <f>IF(Table1[[#This Row],[Sales]]=MIN(Table1[Sales]), Table1[[#This Row],[Sales]], NA())</f>
        <v>#N/A</v>
      </c>
      <c r="T952" s="25">
        <f>IF(AND(Table1[[#This Row],[Sales]]&lt;&gt;MIN(Table1[Sales]),Table1[[#This Row],[Sales]]&lt;&gt;MAX(Table1[Sales])), Table1[[#This Row],[Sales]], NA())</f>
        <v>15397.09</v>
      </c>
      <c r="U952" s="25" t="e">
        <f>IF(Table1[[#This Row],[Sales]]=MAX(Table1[Sales]), Table1[[#This Row],[Sales]], NA())</f>
        <v>#N/A</v>
      </c>
      <c r="V952">
        <v>1</v>
      </c>
      <c r="W952">
        <v>0.3</v>
      </c>
      <c r="X952">
        <v>76.989999999999995</v>
      </c>
      <c r="Y952" s="3">
        <f>YEAR(Table1[[#This Row],[Order Date]])</f>
        <v>2025</v>
      </c>
      <c r="Z952" s="3" t="str">
        <f>TEXT(Table1[[#This Row],[Order Date]],"MMM")</f>
        <v>Apr</v>
      </c>
      <c r="AA952" s="3">
        <f>DAY(Table1[[#This Row],[Order Date]])</f>
        <v>20</v>
      </c>
    </row>
    <row r="953" spans="1:27" x14ac:dyDescent="0.35">
      <c r="A953" s="1">
        <v>952</v>
      </c>
      <c r="B953" s="1" t="s">
        <v>4078</v>
      </c>
      <c r="C953" s="1" t="s">
        <v>1740</v>
      </c>
      <c r="D953" s="1" t="s">
        <v>4079</v>
      </c>
      <c r="E953" t="s">
        <v>24</v>
      </c>
      <c r="F953" t="s">
        <v>4080</v>
      </c>
      <c r="G953" t="s">
        <v>93</v>
      </c>
      <c r="H953" t="s">
        <v>41</v>
      </c>
      <c r="I953" s="1" t="s">
        <v>28</v>
      </c>
      <c r="J953" t="s">
        <v>64</v>
      </c>
      <c r="K953" t="s">
        <v>65</v>
      </c>
      <c r="L953" s="1">
        <v>164161</v>
      </c>
      <c r="M953" s="1" t="s">
        <v>66</v>
      </c>
      <c r="N953" t="s">
        <v>4081</v>
      </c>
      <c r="O953" t="s">
        <v>46</v>
      </c>
      <c r="P953" t="s">
        <v>57</v>
      </c>
      <c r="Q953" t="s">
        <v>58</v>
      </c>
      <c r="R953">
        <v>80920.42</v>
      </c>
      <c r="S953" s="25" t="e">
        <f>IF(Table1[[#This Row],[Sales]]=MIN(Table1[Sales]), Table1[[#This Row],[Sales]], NA())</f>
        <v>#N/A</v>
      </c>
      <c r="T953" s="25">
        <f>IF(AND(Table1[[#This Row],[Sales]]&lt;&gt;MIN(Table1[Sales]),Table1[[#This Row],[Sales]]&lt;&gt;MAX(Table1[Sales])), Table1[[#This Row],[Sales]], NA())</f>
        <v>80920.42</v>
      </c>
      <c r="U953" s="25" t="e">
        <f>IF(Table1[[#This Row],[Sales]]=MAX(Table1[Sales]), Table1[[#This Row],[Sales]], NA())</f>
        <v>#N/A</v>
      </c>
      <c r="V953">
        <v>8</v>
      </c>
      <c r="W953">
        <v>0.2</v>
      </c>
      <c r="X953">
        <v>2427.61</v>
      </c>
      <c r="Y953" s="3">
        <f>YEAR(Table1[[#This Row],[Order Date]])</f>
        <v>2025</v>
      </c>
      <c r="Z953" s="3" t="str">
        <f>TEXT(Table1[[#This Row],[Order Date]],"MMM")</f>
        <v>May</v>
      </c>
      <c r="AA953" s="3">
        <f>DAY(Table1[[#This Row],[Order Date]])</f>
        <v>9</v>
      </c>
    </row>
    <row r="954" spans="1:27" x14ac:dyDescent="0.35">
      <c r="A954" s="1">
        <v>953</v>
      </c>
      <c r="B954" s="1" t="s">
        <v>4082</v>
      </c>
      <c r="C954" s="1" t="s">
        <v>340</v>
      </c>
      <c r="D954" s="1" t="s">
        <v>1574</v>
      </c>
      <c r="E954" t="s">
        <v>115</v>
      </c>
      <c r="F954" t="s">
        <v>4083</v>
      </c>
      <c r="G954" t="s">
        <v>110</v>
      </c>
      <c r="H954" t="s">
        <v>41</v>
      </c>
      <c r="I954" s="1" t="s">
        <v>28</v>
      </c>
      <c r="J954" t="s">
        <v>128</v>
      </c>
      <c r="K954" t="s">
        <v>129</v>
      </c>
      <c r="L954" s="1">
        <v>947418</v>
      </c>
      <c r="M954" s="1" t="s">
        <v>66</v>
      </c>
      <c r="N954" t="s">
        <v>4084</v>
      </c>
      <c r="O954" t="s">
        <v>68</v>
      </c>
      <c r="P954" t="s">
        <v>69</v>
      </c>
      <c r="Q954" t="s">
        <v>70</v>
      </c>
      <c r="R954">
        <v>81140.789999999994</v>
      </c>
      <c r="S954" s="25" t="e">
        <f>IF(Table1[[#This Row],[Sales]]=MIN(Table1[Sales]), Table1[[#This Row],[Sales]], NA())</f>
        <v>#N/A</v>
      </c>
      <c r="T954" s="25">
        <f>IF(AND(Table1[[#This Row],[Sales]]&lt;&gt;MIN(Table1[Sales]),Table1[[#This Row],[Sales]]&lt;&gt;MAX(Table1[Sales])), Table1[[#This Row],[Sales]], NA())</f>
        <v>81140.789999999994</v>
      </c>
      <c r="U954" s="25" t="e">
        <f>IF(Table1[[#This Row],[Sales]]=MAX(Table1[Sales]), Table1[[#This Row],[Sales]], NA())</f>
        <v>#N/A</v>
      </c>
      <c r="V954">
        <v>1</v>
      </c>
      <c r="W954">
        <v>0.1</v>
      </c>
      <c r="X954">
        <v>4462.74</v>
      </c>
      <c r="Y954" s="3">
        <f>YEAR(Table1[[#This Row],[Order Date]])</f>
        <v>2021</v>
      </c>
      <c r="Z954" s="3" t="str">
        <f>TEXT(Table1[[#This Row],[Order Date]],"MMM")</f>
        <v>Jan</v>
      </c>
      <c r="AA954" s="3">
        <f>DAY(Table1[[#This Row],[Order Date]])</f>
        <v>1</v>
      </c>
    </row>
    <row r="955" spans="1:27" x14ac:dyDescent="0.35">
      <c r="A955" s="1">
        <v>954</v>
      </c>
      <c r="B955" s="1" t="s">
        <v>4085</v>
      </c>
      <c r="C955" s="1" t="s">
        <v>4086</v>
      </c>
      <c r="D955" s="1" t="s">
        <v>1949</v>
      </c>
      <c r="E955" t="s">
        <v>62</v>
      </c>
      <c r="F955" t="s">
        <v>4087</v>
      </c>
      <c r="G955" t="s">
        <v>122</v>
      </c>
      <c r="H955" t="s">
        <v>27</v>
      </c>
      <c r="I955" s="1" t="s">
        <v>28</v>
      </c>
      <c r="J955" t="s">
        <v>42</v>
      </c>
      <c r="K955" t="s">
        <v>43</v>
      </c>
      <c r="L955" s="1">
        <v>264540</v>
      </c>
      <c r="M955" s="1" t="s">
        <v>44</v>
      </c>
      <c r="N955" t="s">
        <v>4088</v>
      </c>
      <c r="O955" t="s">
        <v>68</v>
      </c>
      <c r="P955" t="s">
        <v>69</v>
      </c>
      <c r="Q955" t="s">
        <v>70</v>
      </c>
      <c r="R955">
        <v>35846.86</v>
      </c>
      <c r="S955" s="25" t="e">
        <f>IF(Table1[[#This Row],[Sales]]=MIN(Table1[Sales]), Table1[[#This Row],[Sales]], NA())</f>
        <v>#N/A</v>
      </c>
      <c r="T955" s="25">
        <f>IF(AND(Table1[[#This Row],[Sales]]&lt;&gt;MIN(Table1[Sales]),Table1[[#This Row],[Sales]]&lt;&gt;MAX(Table1[Sales])), Table1[[#This Row],[Sales]], NA())</f>
        <v>35846.86</v>
      </c>
      <c r="U955" s="25" t="e">
        <f>IF(Table1[[#This Row],[Sales]]=MAX(Table1[Sales]), Table1[[#This Row],[Sales]], NA())</f>
        <v>#N/A</v>
      </c>
      <c r="V955">
        <v>10</v>
      </c>
      <c r="W955">
        <v>0.3</v>
      </c>
      <c r="X955">
        <v>179.23</v>
      </c>
      <c r="Y955" s="3">
        <f>YEAR(Table1[[#This Row],[Order Date]])</f>
        <v>2022</v>
      </c>
      <c r="Z955" s="3" t="str">
        <f>TEXT(Table1[[#This Row],[Order Date]],"MMM")</f>
        <v>Jan</v>
      </c>
      <c r="AA955" s="3">
        <f>DAY(Table1[[#This Row],[Order Date]])</f>
        <v>7</v>
      </c>
    </row>
    <row r="956" spans="1:27" x14ac:dyDescent="0.35">
      <c r="A956" s="1">
        <v>955</v>
      </c>
      <c r="B956" s="1" t="s">
        <v>4089</v>
      </c>
      <c r="C956" s="1" t="s">
        <v>217</v>
      </c>
      <c r="D956" s="1" t="s">
        <v>2787</v>
      </c>
      <c r="E956" t="s">
        <v>24</v>
      </c>
      <c r="F956" t="s">
        <v>4090</v>
      </c>
      <c r="G956" t="s">
        <v>188</v>
      </c>
      <c r="H956" t="s">
        <v>94</v>
      </c>
      <c r="I956" s="1" t="s">
        <v>28</v>
      </c>
      <c r="J956" t="s">
        <v>128</v>
      </c>
      <c r="K956" t="s">
        <v>129</v>
      </c>
      <c r="L956" s="1">
        <v>887002</v>
      </c>
      <c r="M956" s="1" t="s">
        <v>66</v>
      </c>
      <c r="N956" t="s">
        <v>4091</v>
      </c>
      <c r="O956" t="s">
        <v>46</v>
      </c>
      <c r="P956" t="s">
        <v>47</v>
      </c>
      <c r="Q956" t="s">
        <v>48</v>
      </c>
      <c r="R956">
        <v>91252.65</v>
      </c>
      <c r="S956" s="25" t="e">
        <f>IF(Table1[[#This Row],[Sales]]=MIN(Table1[Sales]), Table1[[#This Row],[Sales]], NA())</f>
        <v>#N/A</v>
      </c>
      <c r="T956" s="25">
        <f>IF(AND(Table1[[#This Row],[Sales]]&lt;&gt;MIN(Table1[Sales]),Table1[[#This Row],[Sales]]&lt;&gt;MAX(Table1[Sales])), Table1[[#This Row],[Sales]], NA())</f>
        <v>91252.65</v>
      </c>
      <c r="U956" s="25" t="e">
        <f>IF(Table1[[#This Row],[Sales]]=MAX(Table1[Sales]), Table1[[#This Row],[Sales]], NA())</f>
        <v>#N/A</v>
      </c>
      <c r="V956">
        <v>1</v>
      </c>
      <c r="W956">
        <v>0.3</v>
      </c>
      <c r="X956">
        <v>456.26</v>
      </c>
      <c r="Y956" s="3">
        <f>YEAR(Table1[[#This Row],[Order Date]])</f>
        <v>2021</v>
      </c>
      <c r="Z956" s="3" t="str">
        <f>TEXT(Table1[[#This Row],[Order Date]],"MMM")</f>
        <v>May</v>
      </c>
      <c r="AA956" s="3">
        <f>DAY(Table1[[#This Row],[Order Date]])</f>
        <v>9</v>
      </c>
    </row>
    <row r="957" spans="1:27" x14ac:dyDescent="0.35">
      <c r="A957" s="1">
        <v>956</v>
      </c>
      <c r="B957" s="1" t="s">
        <v>4092</v>
      </c>
      <c r="C957" s="1" t="s">
        <v>85</v>
      </c>
      <c r="D957" s="1" t="s">
        <v>4093</v>
      </c>
      <c r="E957" t="s">
        <v>38</v>
      </c>
      <c r="F957" t="s">
        <v>4094</v>
      </c>
      <c r="G957" t="s">
        <v>110</v>
      </c>
      <c r="H957" t="s">
        <v>27</v>
      </c>
      <c r="I957" s="1" t="s">
        <v>28</v>
      </c>
      <c r="J957" t="s">
        <v>128</v>
      </c>
      <c r="K957" t="s">
        <v>129</v>
      </c>
      <c r="L957" s="1">
        <v>383467</v>
      </c>
      <c r="M957" s="1" t="s">
        <v>66</v>
      </c>
      <c r="N957" t="s">
        <v>4095</v>
      </c>
      <c r="O957" t="s">
        <v>46</v>
      </c>
      <c r="P957" t="s">
        <v>47</v>
      </c>
      <c r="Q957" t="s">
        <v>48</v>
      </c>
      <c r="R957">
        <v>74614.17</v>
      </c>
      <c r="S957" s="25" t="e">
        <f>IF(Table1[[#This Row],[Sales]]=MIN(Table1[Sales]), Table1[[#This Row],[Sales]], NA())</f>
        <v>#N/A</v>
      </c>
      <c r="T957" s="25">
        <f>IF(AND(Table1[[#This Row],[Sales]]&lt;&gt;MIN(Table1[Sales]),Table1[[#This Row],[Sales]]&lt;&gt;MAX(Table1[Sales])), Table1[[#This Row],[Sales]], NA())</f>
        <v>74614.17</v>
      </c>
      <c r="U957" s="25" t="e">
        <f>IF(Table1[[#This Row],[Sales]]=MAX(Table1[Sales]), Table1[[#This Row],[Sales]], NA())</f>
        <v>#N/A</v>
      </c>
      <c r="V957">
        <v>8</v>
      </c>
      <c r="W957">
        <v>0.2</v>
      </c>
      <c r="X957">
        <v>2238.4299999999998</v>
      </c>
      <c r="Y957" s="3">
        <f>YEAR(Table1[[#This Row],[Order Date]])</f>
        <v>2021</v>
      </c>
      <c r="Z957" s="3" t="str">
        <f>TEXT(Table1[[#This Row],[Order Date]],"MMM")</f>
        <v>Apr</v>
      </c>
      <c r="AA957" s="3">
        <f>DAY(Table1[[#This Row],[Order Date]])</f>
        <v>20</v>
      </c>
    </row>
    <row r="958" spans="1:27" x14ac:dyDescent="0.35">
      <c r="A958" s="1">
        <v>957</v>
      </c>
      <c r="B958" s="1" t="s">
        <v>4096</v>
      </c>
      <c r="C958" s="1" t="s">
        <v>3742</v>
      </c>
      <c r="D958" s="1" t="s">
        <v>153</v>
      </c>
      <c r="E958" t="s">
        <v>38</v>
      </c>
      <c r="F958" t="s">
        <v>4097</v>
      </c>
      <c r="G958" t="s">
        <v>122</v>
      </c>
      <c r="H958" t="s">
        <v>41</v>
      </c>
      <c r="I958" s="1" t="s">
        <v>28</v>
      </c>
      <c r="J958" t="s">
        <v>53</v>
      </c>
      <c r="K958" t="s">
        <v>54</v>
      </c>
      <c r="L958" s="1">
        <v>772783</v>
      </c>
      <c r="M958" s="1" t="s">
        <v>55</v>
      </c>
      <c r="N958" t="s">
        <v>4098</v>
      </c>
      <c r="O958" t="s">
        <v>68</v>
      </c>
      <c r="P958" t="s">
        <v>69</v>
      </c>
      <c r="Q958" t="s">
        <v>70</v>
      </c>
      <c r="R958">
        <v>31335.78</v>
      </c>
      <c r="S958" s="25" t="e">
        <f>IF(Table1[[#This Row],[Sales]]=MIN(Table1[Sales]), Table1[[#This Row],[Sales]], NA())</f>
        <v>#N/A</v>
      </c>
      <c r="T958" s="25">
        <f>IF(AND(Table1[[#This Row],[Sales]]&lt;&gt;MIN(Table1[Sales]),Table1[[#This Row],[Sales]]&lt;&gt;MAX(Table1[Sales])), Table1[[#This Row],[Sales]], NA())</f>
        <v>31335.78</v>
      </c>
      <c r="U958" s="25" t="e">
        <f>IF(Table1[[#This Row],[Sales]]=MAX(Table1[Sales]), Table1[[#This Row],[Sales]], NA())</f>
        <v>#N/A</v>
      </c>
      <c r="V958">
        <v>7</v>
      </c>
      <c r="W958">
        <v>0.3</v>
      </c>
      <c r="X958">
        <v>156.68</v>
      </c>
      <c r="Y958" s="3">
        <f>YEAR(Table1[[#This Row],[Order Date]])</f>
        <v>2021</v>
      </c>
      <c r="Z958" s="3" t="str">
        <f>TEXT(Table1[[#This Row],[Order Date]],"MMM")</f>
        <v>Dec</v>
      </c>
      <c r="AA958" s="3">
        <f>DAY(Table1[[#This Row],[Order Date]])</f>
        <v>23</v>
      </c>
    </row>
    <row r="959" spans="1:27" x14ac:dyDescent="0.35">
      <c r="A959" s="1">
        <v>958</v>
      </c>
      <c r="B959" s="1" t="s">
        <v>4099</v>
      </c>
      <c r="C959" s="1" t="s">
        <v>1802</v>
      </c>
      <c r="D959" s="1" t="s">
        <v>476</v>
      </c>
      <c r="E959" t="s">
        <v>38</v>
      </c>
      <c r="F959" t="s">
        <v>4100</v>
      </c>
      <c r="G959" t="s">
        <v>188</v>
      </c>
      <c r="H959" t="s">
        <v>27</v>
      </c>
      <c r="I959" s="1" t="s">
        <v>28</v>
      </c>
      <c r="J959" t="s">
        <v>42</v>
      </c>
      <c r="K959" t="s">
        <v>43</v>
      </c>
      <c r="L959" s="1">
        <v>114306</v>
      </c>
      <c r="M959" s="1" t="s">
        <v>44</v>
      </c>
      <c r="N959" t="s">
        <v>4101</v>
      </c>
      <c r="O959" t="s">
        <v>46</v>
      </c>
      <c r="P959" t="s">
        <v>47</v>
      </c>
      <c r="Q959" t="s">
        <v>48</v>
      </c>
      <c r="R959">
        <v>38491.07</v>
      </c>
      <c r="S959" s="25" t="e">
        <f>IF(Table1[[#This Row],[Sales]]=MIN(Table1[Sales]), Table1[[#This Row],[Sales]], NA())</f>
        <v>#N/A</v>
      </c>
      <c r="T959" s="25">
        <f>IF(AND(Table1[[#This Row],[Sales]]&lt;&gt;MIN(Table1[Sales]),Table1[[#This Row],[Sales]]&lt;&gt;MAX(Table1[Sales])), Table1[[#This Row],[Sales]], NA())</f>
        <v>38491.07</v>
      </c>
      <c r="U959" s="25" t="e">
        <f>IF(Table1[[#This Row],[Sales]]=MAX(Table1[Sales]), Table1[[#This Row],[Sales]], NA())</f>
        <v>#N/A</v>
      </c>
      <c r="V959">
        <v>3</v>
      </c>
      <c r="W959">
        <v>0.1</v>
      </c>
      <c r="X959">
        <v>2117.0100000000002</v>
      </c>
      <c r="Y959" s="3">
        <f>YEAR(Table1[[#This Row],[Order Date]])</f>
        <v>2024</v>
      </c>
      <c r="Z959" s="3" t="str">
        <f>TEXT(Table1[[#This Row],[Order Date]],"MMM")</f>
        <v>Oct</v>
      </c>
      <c r="AA959" s="3">
        <f>DAY(Table1[[#This Row],[Order Date]])</f>
        <v>10</v>
      </c>
    </row>
    <row r="960" spans="1:27" x14ac:dyDescent="0.35">
      <c r="A960" s="1">
        <v>959</v>
      </c>
      <c r="B960" s="1" t="s">
        <v>4102</v>
      </c>
      <c r="C960" s="1" t="s">
        <v>4103</v>
      </c>
      <c r="D960" s="1" t="s">
        <v>456</v>
      </c>
      <c r="E960" t="s">
        <v>62</v>
      </c>
      <c r="F960" t="s">
        <v>4104</v>
      </c>
      <c r="G960" t="s">
        <v>93</v>
      </c>
      <c r="H960" t="s">
        <v>41</v>
      </c>
      <c r="I960" s="1" t="s">
        <v>28</v>
      </c>
      <c r="J960" t="s">
        <v>29</v>
      </c>
      <c r="K960" t="s">
        <v>29</v>
      </c>
      <c r="L960" s="1">
        <v>365397</v>
      </c>
      <c r="M960" s="1" t="s">
        <v>30</v>
      </c>
      <c r="N960" t="s">
        <v>4105</v>
      </c>
      <c r="O960" t="s">
        <v>68</v>
      </c>
      <c r="P960" t="s">
        <v>69</v>
      </c>
      <c r="Q960" t="s">
        <v>70</v>
      </c>
      <c r="R960">
        <v>50072.44</v>
      </c>
      <c r="S960" s="25" t="e">
        <f>IF(Table1[[#This Row],[Sales]]=MIN(Table1[Sales]), Table1[[#This Row],[Sales]], NA())</f>
        <v>#N/A</v>
      </c>
      <c r="T960" s="25">
        <f>IF(AND(Table1[[#This Row],[Sales]]&lt;&gt;MIN(Table1[Sales]),Table1[[#This Row],[Sales]]&lt;&gt;MAX(Table1[Sales])), Table1[[#This Row],[Sales]], NA())</f>
        <v>50072.44</v>
      </c>
      <c r="U960" s="25" t="e">
        <f>IF(Table1[[#This Row],[Sales]]=MAX(Table1[Sales]), Table1[[#This Row],[Sales]], NA())</f>
        <v>#N/A</v>
      </c>
      <c r="V960">
        <v>5</v>
      </c>
      <c r="W960">
        <v>0.2</v>
      </c>
      <c r="X960">
        <v>1502.17</v>
      </c>
      <c r="Y960" s="3">
        <f>YEAR(Table1[[#This Row],[Order Date]])</f>
        <v>2024</v>
      </c>
      <c r="Z960" s="3" t="str">
        <f>TEXT(Table1[[#This Row],[Order Date]],"MMM")</f>
        <v>Nov</v>
      </c>
      <c r="AA960" s="3">
        <f>DAY(Table1[[#This Row],[Order Date]])</f>
        <v>14</v>
      </c>
    </row>
    <row r="961" spans="1:27" x14ac:dyDescent="0.35">
      <c r="A961" s="1">
        <v>960</v>
      </c>
      <c r="B961" s="1" t="s">
        <v>4106</v>
      </c>
      <c r="C961" s="1" t="s">
        <v>3111</v>
      </c>
      <c r="D961" s="1" t="s">
        <v>2524</v>
      </c>
      <c r="E961" t="s">
        <v>24</v>
      </c>
      <c r="F961" t="s">
        <v>4107</v>
      </c>
      <c r="G961" t="s">
        <v>93</v>
      </c>
      <c r="H961" t="s">
        <v>27</v>
      </c>
      <c r="I961" s="1" t="s">
        <v>28</v>
      </c>
      <c r="J961" t="s">
        <v>64</v>
      </c>
      <c r="K961" t="s">
        <v>65</v>
      </c>
      <c r="L961" s="1">
        <v>350265</v>
      </c>
      <c r="M961" s="1" t="s">
        <v>66</v>
      </c>
      <c r="N961" t="s">
        <v>4108</v>
      </c>
      <c r="O961" t="s">
        <v>46</v>
      </c>
      <c r="P961" t="s">
        <v>57</v>
      </c>
      <c r="Q961" t="s">
        <v>58</v>
      </c>
      <c r="R961">
        <v>81749.600000000006</v>
      </c>
      <c r="S961" s="25" t="e">
        <f>IF(Table1[[#This Row],[Sales]]=MIN(Table1[Sales]), Table1[[#This Row],[Sales]], NA())</f>
        <v>#N/A</v>
      </c>
      <c r="T961" s="25">
        <f>IF(AND(Table1[[#This Row],[Sales]]&lt;&gt;MIN(Table1[Sales]),Table1[[#This Row],[Sales]]&lt;&gt;MAX(Table1[Sales])), Table1[[#This Row],[Sales]], NA())</f>
        <v>81749.600000000006</v>
      </c>
      <c r="U961" s="25" t="e">
        <f>IF(Table1[[#This Row],[Sales]]=MAX(Table1[Sales]), Table1[[#This Row],[Sales]], NA())</f>
        <v>#N/A</v>
      </c>
      <c r="V961">
        <v>4</v>
      </c>
      <c r="W961">
        <v>0.2</v>
      </c>
      <c r="X961">
        <v>2452.4899999999998</v>
      </c>
      <c r="Y961" s="3">
        <f>YEAR(Table1[[#This Row],[Order Date]])</f>
        <v>2023</v>
      </c>
      <c r="Z961" s="3" t="str">
        <f>TEXT(Table1[[#This Row],[Order Date]],"MMM")</f>
        <v>Feb</v>
      </c>
      <c r="AA961" s="3">
        <f>DAY(Table1[[#This Row],[Order Date]])</f>
        <v>23</v>
      </c>
    </row>
    <row r="962" spans="1:27" x14ac:dyDescent="0.35">
      <c r="A962" s="1">
        <v>961</v>
      </c>
      <c r="B962" s="1" t="s">
        <v>4109</v>
      </c>
      <c r="C962" s="1" t="s">
        <v>2107</v>
      </c>
      <c r="D962" s="1" t="s">
        <v>653</v>
      </c>
      <c r="E962" t="s">
        <v>24</v>
      </c>
      <c r="F962" t="s">
        <v>4110</v>
      </c>
      <c r="G962" t="s">
        <v>188</v>
      </c>
      <c r="H962" t="s">
        <v>94</v>
      </c>
      <c r="I962" s="1" t="s">
        <v>28</v>
      </c>
      <c r="J962" t="s">
        <v>64</v>
      </c>
      <c r="K962" t="s">
        <v>65</v>
      </c>
      <c r="L962" s="1">
        <v>983430</v>
      </c>
      <c r="M962" s="1" t="s">
        <v>66</v>
      </c>
      <c r="N962" t="s">
        <v>4111</v>
      </c>
      <c r="O962" t="s">
        <v>68</v>
      </c>
      <c r="P962" t="s">
        <v>69</v>
      </c>
      <c r="Q962" t="s">
        <v>70</v>
      </c>
      <c r="R962">
        <v>38092.339999999997</v>
      </c>
      <c r="S962" s="25" t="e">
        <f>IF(Table1[[#This Row],[Sales]]=MIN(Table1[Sales]), Table1[[#This Row],[Sales]], NA())</f>
        <v>#N/A</v>
      </c>
      <c r="T962" s="25">
        <f>IF(AND(Table1[[#This Row],[Sales]]&lt;&gt;MIN(Table1[Sales]),Table1[[#This Row],[Sales]]&lt;&gt;MAX(Table1[Sales])), Table1[[#This Row],[Sales]], NA())</f>
        <v>38092.339999999997</v>
      </c>
      <c r="U962" s="25" t="e">
        <f>IF(Table1[[#This Row],[Sales]]=MAX(Table1[Sales]), Table1[[#This Row],[Sales]], NA())</f>
        <v>#N/A</v>
      </c>
      <c r="V962">
        <v>3</v>
      </c>
      <c r="W962">
        <v>0</v>
      </c>
      <c r="X962">
        <v>3047.39</v>
      </c>
      <c r="Y962" s="3">
        <f>YEAR(Table1[[#This Row],[Order Date]])</f>
        <v>2024</v>
      </c>
      <c r="Z962" s="3" t="str">
        <f>TEXT(Table1[[#This Row],[Order Date]],"MMM")</f>
        <v>May</v>
      </c>
      <c r="AA962" s="3">
        <f>DAY(Table1[[#This Row],[Order Date]])</f>
        <v>3</v>
      </c>
    </row>
    <row r="963" spans="1:27" x14ac:dyDescent="0.35">
      <c r="A963" s="1">
        <v>962</v>
      </c>
      <c r="B963" s="1" t="s">
        <v>4112</v>
      </c>
      <c r="C963" s="1" t="s">
        <v>4113</v>
      </c>
      <c r="D963" s="1" t="s">
        <v>2791</v>
      </c>
      <c r="E963" t="s">
        <v>115</v>
      </c>
      <c r="F963" t="s">
        <v>4114</v>
      </c>
      <c r="G963" t="s">
        <v>87</v>
      </c>
      <c r="H963" t="s">
        <v>94</v>
      </c>
      <c r="I963" s="1" t="s">
        <v>28</v>
      </c>
      <c r="J963" t="s">
        <v>64</v>
      </c>
      <c r="K963" t="s">
        <v>65</v>
      </c>
      <c r="L963" s="1">
        <v>357928</v>
      </c>
      <c r="M963" s="1" t="s">
        <v>66</v>
      </c>
      <c r="N963" t="s">
        <v>4115</v>
      </c>
      <c r="O963" t="s">
        <v>68</v>
      </c>
      <c r="P963" t="s">
        <v>69</v>
      </c>
      <c r="Q963" t="s">
        <v>70</v>
      </c>
      <c r="R963">
        <v>67103.69</v>
      </c>
      <c r="S963" s="25" t="e">
        <f>IF(Table1[[#This Row],[Sales]]=MIN(Table1[Sales]), Table1[[#This Row],[Sales]], NA())</f>
        <v>#N/A</v>
      </c>
      <c r="T963" s="25">
        <f>IF(AND(Table1[[#This Row],[Sales]]&lt;&gt;MIN(Table1[Sales]),Table1[[#This Row],[Sales]]&lt;&gt;MAX(Table1[Sales])), Table1[[#This Row],[Sales]], NA())</f>
        <v>67103.69</v>
      </c>
      <c r="U963" s="25" t="e">
        <f>IF(Table1[[#This Row],[Sales]]=MAX(Table1[Sales]), Table1[[#This Row],[Sales]], NA())</f>
        <v>#N/A</v>
      </c>
      <c r="V963">
        <v>3</v>
      </c>
      <c r="W963">
        <v>0</v>
      </c>
      <c r="X963">
        <v>5368.3</v>
      </c>
      <c r="Y963" s="3">
        <f>YEAR(Table1[[#This Row],[Order Date]])</f>
        <v>2025</v>
      </c>
      <c r="Z963" s="3" t="str">
        <f>TEXT(Table1[[#This Row],[Order Date]],"MMM")</f>
        <v>Jan</v>
      </c>
      <c r="AA963" s="3">
        <f>DAY(Table1[[#This Row],[Order Date]])</f>
        <v>5</v>
      </c>
    </row>
    <row r="964" spans="1:27" x14ac:dyDescent="0.35">
      <c r="A964" s="1">
        <v>963</v>
      </c>
      <c r="B964" s="1" t="s">
        <v>4116</v>
      </c>
      <c r="C964" s="1" t="s">
        <v>1397</v>
      </c>
      <c r="D964" s="1" t="s">
        <v>398</v>
      </c>
      <c r="E964" t="s">
        <v>38</v>
      </c>
      <c r="F964" t="s">
        <v>4117</v>
      </c>
      <c r="G964" t="s">
        <v>40</v>
      </c>
      <c r="H964" t="s">
        <v>41</v>
      </c>
      <c r="I964" s="1" t="s">
        <v>28</v>
      </c>
      <c r="J964" t="s">
        <v>64</v>
      </c>
      <c r="K964" t="s">
        <v>65</v>
      </c>
      <c r="L964" s="1">
        <v>868936</v>
      </c>
      <c r="M964" s="1" t="s">
        <v>66</v>
      </c>
      <c r="N964" t="s">
        <v>4118</v>
      </c>
      <c r="O964" t="s">
        <v>46</v>
      </c>
      <c r="P964" t="s">
        <v>57</v>
      </c>
      <c r="Q964" t="s">
        <v>58</v>
      </c>
      <c r="R964">
        <v>39193.230000000003</v>
      </c>
      <c r="S964" s="25" t="e">
        <f>IF(Table1[[#This Row],[Sales]]=MIN(Table1[Sales]), Table1[[#This Row],[Sales]], NA())</f>
        <v>#N/A</v>
      </c>
      <c r="T964" s="25">
        <f>IF(AND(Table1[[#This Row],[Sales]]&lt;&gt;MIN(Table1[Sales]),Table1[[#This Row],[Sales]]&lt;&gt;MAX(Table1[Sales])), Table1[[#This Row],[Sales]], NA())</f>
        <v>39193.230000000003</v>
      </c>
      <c r="U964" s="25" t="e">
        <f>IF(Table1[[#This Row],[Sales]]=MAX(Table1[Sales]), Table1[[#This Row],[Sales]], NA())</f>
        <v>#N/A</v>
      </c>
      <c r="V964">
        <v>6</v>
      </c>
      <c r="W964">
        <v>0.2</v>
      </c>
      <c r="X964">
        <v>1175.8</v>
      </c>
      <c r="Y964" s="3">
        <f>YEAR(Table1[[#This Row],[Order Date]])</f>
        <v>2021</v>
      </c>
      <c r="Z964" s="3" t="str">
        <f>TEXT(Table1[[#This Row],[Order Date]],"MMM")</f>
        <v>Dec</v>
      </c>
      <c r="AA964" s="3">
        <f>DAY(Table1[[#This Row],[Order Date]])</f>
        <v>2</v>
      </c>
    </row>
    <row r="965" spans="1:27" x14ac:dyDescent="0.35">
      <c r="A965" s="1">
        <v>964</v>
      </c>
      <c r="B965" s="1" t="s">
        <v>4119</v>
      </c>
      <c r="C965" s="1" t="s">
        <v>860</v>
      </c>
      <c r="D965" s="1" t="s">
        <v>537</v>
      </c>
      <c r="E965" t="s">
        <v>38</v>
      </c>
      <c r="F965" t="s">
        <v>4120</v>
      </c>
      <c r="G965" t="s">
        <v>87</v>
      </c>
      <c r="H965" t="s">
        <v>41</v>
      </c>
      <c r="I965" s="1" t="s">
        <v>28</v>
      </c>
      <c r="J965" t="s">
        <v>29</v>
      </c>
      <c r="K965" t="s">
        <v>29</v>
      </c>
      <c r="L965" s="1">
        <v>884046</v>
      </c>
      <c r="M965" s="1" t="s">
        <v>30</v>
      </c>
      <c r="N965" t="s">
        <v>4121</v>
      </c>
      <c r="O965" t="s">
        <v>32</v>
      </c>
      <c r="P965" t="s">
        <v>33</v>
      </c>
      <c r="Q965" t="s">
        <v>34</v>
      </c>
      <c r="R965">
        <v>95035.35</v>
      </c>
      <c r="S965" s="25" t="e">
        <f>IF(Table1[[#This Row],[Sales]]=MIN(Table1[Sales]), Table1[[#This Row],[Sales]], NA())</f>
        <v>#N/A</v>
      </c>
      <c r="T965" s="25">
        <f>IF(AND(Table1[[#This Row],[Sales]]&lt;&gt;MIN(Table1[Sales]),Table1[[#This Row],[Sales]]&lt;&gt;MAX(Table1[Sales])), Table1[[#This Row],[Sales]], NA())</f>
        <v>95035.35</v>
      </c>
      <c r="U965" s="25" t="e">
        <f>IF(Table1[[#This Row],[Sales]]=MAX(Table1[Sales]), Table1[[#This Row],[Sales]], NA())</f>
        <v>#N/A</v>
      </c>
      <c r="V965">
        <v>6</v>
      </c>
      <c r="W965">
        <v>0.1</v>
      </c>
      <c r="X965">
        <v>5226.9399999999996</v>
      </c>
      <c r="Y965" s="3">
        <f>YEAR(Table1[[#This Row],[Order Date]])</f>
        <v>2022</v>
      </c>
      <c r="Z965" s="3" t="str">
        <f>TEXT(Table1[[#This Row],[Order Date]],"MMM")</f>
        <v>Dec</v>
      </c>
      <c r="AA965" s="3">
        <f>DAY(Table1[[#This Row],[Order Date]])</f>
        <v>25</v>
      </c>
    </row>
    <row r="966" spans="1:27" x14ac:dyDescent="0.35">
      <c r="A966" s="1">
        <v>965</v>
      </c>
      <c r="B966" s="1" t="s">
        <v>4122</v>
      </c>
      <c r="C966" s="1" t="s">
        <v>2409</v>
      </c>
      <c r="D966" s="1" t="s">
        <v>4123</v>
      </c>
      <c r="E966" t="s">
        <v>115</v>
      </c>
      <c r="F966" t="s">
        <v>4124</v>
      </c>
      <c r="G966" t="s">
        <v>75</v>
      </c>
      <c r="H966" t="s">
        <v>41</v>
      </c>
      <c r="I966" s="1" t="s">
        <v>28</v>
      </c>
      <c r="J966" t="s">
        <v>53</v>
      </c>
      <c r="K966" t="s">
        <v>54</v>
      </c>
      <c r="L966" s="1">
        <v>545764</v>
      </c>
      <c r="M966" s="1" t="s">
        <v>55</v>
      </c>
      <c r="N966" t="s">
        <v>4125</v>
      </c>
      <c r="O966" t="s">
        <v>46</v>
      </c>
      <c r="P966" t="s">
        <v>57</v>
      </c>
      <c r="Q966" t="s">
        <v>58</v>
      </c>
      <c r="R966">
        <v>31185.45</v>
      </c>
      <c r="S966" s="25" t="e">
        <f>IF(Table1[[#This Row],[Sales]]=MIN(Table1[Sales]), Table1[[#This Row],[Sales]], NA())</f>
        <v>#N/A</v>
      </c>
      <c r="T966" s="25">
        <f>IF(AND(Table1[[#This Row],[Sales]]&lt;&gt;MIN(Table1[Sales]),Table1[[#This Row],[Sales]]&lt;&gt;MAX(Table1[Sales])), Table1[[#This Row],[Sales]], NA())</f>
        <v>31185.45</v>
      </c>
      <c r="U966" s="25" t="e">
        <f>IF(Table1[[#This Row],[Sales]]=MAX(Table1[Sales]), Table1[[#This Row],[Sales]], NA())</f>
        <v>#N/A</v>
      </c>
      <c r="V966">
        <v>4</v>
      </c>
      <c r="W966">
        <v>0</v>
      </c>
      <c r="X966">
        <v>2494.84</v>
      </c>
      <c r="Y966" s="3">
        <f>YEAR(Table1[[#This Row],[Order Date]])</f>
        <v>2025</v>
      </c>
      <c r="Z966" s="3" t="str">
        <f>TEXT(Table1[[#This Row],[Order Date]],"MMM")</f>
        <v>Nov</v>
      </c>
      <c r="AA966" s="3">
        <f>DAY(Table1[[#This Row],[Order Date]])</f>
        <v>7</v>
      </c>
    </row>
    <row r="967" spans="1:27" x14ac:dyDescent="0.35">
      <c r="A967" s="1">
        <v>966</v>
      </c>
      <c r="B967" s="1" t="s">
        <v>4126</v>
      </c>
      <c r="C967" s="1" t="s">
        <v>611</v>
      </c>
      <c r="D967" s="1" t="s">
        <v>1248</v>
      </c>
      <c r="E967" t="s">
        <v>38</v>
      </c>
      <c r="F967" t="s">
        <v>4127</v>
      </c>
      <c r="G967" t="s">
        <v>75</v>
      </c>
      <c r="H967" t="s">
        <v>41</v>
      </c>
      <c r="I967" s="1" t="s">
        <v>28</v>
      </c>
      <c r="J967" t="s">
        <v>64</v>
      </c>
      <c r="K967" t="s">
        <v>65</v>
      </c>
      <c r="L967" s="1">
        <v>664917</v>
      </c>
      <c r="M967" s="1" t="s">
        <v>66</v>
      </c>
      <c r="N967" t="s">
        <v>4128</v>
      </c>
      <c r="O967" t="s">
        <v>46</v>
      </c>
      <c r="P967" t="s">
        <v>47</v>
      </c>
      <c r="Q967" t="s">
        <v>48</v>
      </c>
      <c r="R967">
        <v>50268.59</v>
      </c>
      <c r="S967" s="25" t="e">
        <f>IF(Table1[[#This Row],[Sales]]=MIN(Table1[Sales]), Table1[[#This Row],[Sales]], NA())</f>
        <v>#N/A</v>
      </c>
      <c r="T967" s="25">
        <f>IF(AND(Table1[[#This Row],[Sales]]&lt;&gt;MIN(Table1[Sales]),Table1[[#This Row],[Sales]]&lt;&gt;MAX(Table1[Sales])), Table1[[#This Row],[Sales]], NA())</f>
        <v>50268.59</v>
      </c>
      <c r="U967" s="25" t="e">
        <f>IF(Table1[[#This Row],[Sales]]=MAX(Table1[Sales]), Table1[[#This Row],[Sales]], NA())</f>
        <v>#N/A</v>
      </c>
      <c r="V967">
        <v>9</v>
      </c>
      <c r="W967">
        <v>0.1</v>
      </c>
      <c r="X967">
        <v>2764.77</v>
      </c>
      <c r="Y967" s="3">
        <f>YEAR(Table1[[#This Row],[Order Date]])</f>
        <v>2024</v>
      </c>
      <c r="Z967" s="3" t="str">
        <f>TEXT(Table1[[#This Row],[Order Date]],"MMM")</f>
        <v>Jun</v>
      </c>
      <c r="AA967" s="3">
        <f>DAY(Table1[[#This Row],[Order Date]])</f>
        <v>5</v>
      </c>
    </row>
    <row r="968" spans="1:27" x14ac:dyDescent="0.35">
      <c r="A968" s="1">
        <v>967</v>
      </c>
      <c r="B968" s="1" t="s">
        <v>4129</v>
      </c>
      <c r="C968" s="1" t="s">
        <v>382</v>
      </c>
      <c r="D968" s="1" t="s">
        <v>2467</v>
      </c>
      <c r="E968" t="s">
        <v>24</v>
      </c>
      <c r="F968" t="s">
        <v>4130</v>
      </c>
      <c r="G968" t="s">
        <v>188</v>
      </c>
      <c r="H968" t="s">
        <v>41</v>
      </c>
      <c r="I968" s="1" t="s">
        <v>28</v>
      </c>
      <c r="J968" t="s">
        <v>64</v>
      </c>
      <c r="K968" t="s">
        <v>65</v>
      </c>
      <c r="L968" s="1">
        <v>919893</v>
      </c>
      <c r="M968" s="1" t="s">
        <v>66</v>
      </c>
      <c r="N968" t="s">
        <v>4131</v>
      </c>
      <c r="O968" t="s">
        <v>68</v>
      </c>
      <c r="P968" t="s">
        <v>69</v>
      </c>
      <c r="Q968" t="s">
        <v>70</v>
      </c>
      <c r="R968">
        <v>58472.12</v>
      </c>
      <c r="S968" s="25" t="e">
        <f>IF(Table1[[#This Row],[Sales]]=MIN(Table1[Sales]), Table1[[#This Row],[Sales]], NA())</f>
        <v>#N/A</v>
      </c>
      <c r="T968" s="25">
        <f>IF(AND(Table1[[#This Row],[Sales]]&lt;&gt;MIN(Table1[Sales]),Table1[[#This Row],[Sales]]&lt;&gt;MAX(Table1[Sales])), Table1[[#This Row],[Sales]], NA())</f>
        <v>58472.12</v>
      </c>
      <c r="U968" s="25" t="e">
        <f>IF(Table1[[#This Row],[Sales]]=MAX(Table1[Sales]), Table1[[#This Row],[Sales]], NA())</f>
        <v>#N/A</v>
      </c>
      <c r="V968">
        <v>6</v>
      </c>
      <c r="W968">
        <v>0.1</v>
      </c>
      <c r="X968">
        <v>3215.97</v>
      </c>
      <c r="Y968" s="3">
        <f>YEAR(Table1[[#This Row],[Order Date]])</f>
        <v>2022</v>
      </c>
      <c r="Z968" s="3" t="str">
        <f>TEXT(Table1[[#This Row],[Order Date]],"MMM")</f>
        <v>Jul</v>
      </c>
      <c r="AA968" s="3">
        <f>DAY(Table1[[#This Row],[Order Date]])</f>
        <v>5</v>
      </c>
    </row>
    <row r="969" spans="1:27" x14ac:dyDescent="0.35">
      <c r="A969" s="1">
        <v>968</v>
      </c>
      <c r="B969" s="1" t="s">
        <v>4132</v>
      </c>
      <c r="C969" s="1" t="s">
        <v>4133</v>
      </c>
      <c r="D969" s="1" t="s">
        <v>3473</v>
      </c>
      <c r="E969" t="s">
        <v>24</v>
      </c>
      <c r="F969" t="s">
        <v>4134</v>
      </c>
      <c r="G969" t="s">
        <v>93</v>
      </c>
      <c r="H969" t="s">
        <v>94</v>
      </c>
      <c r="I969" s="1" t="s">
        <v>28</v>
      </c>
      <c r="J969" t="s">
        <v>29</v>
      </c>
      <c r="K969" t="s">
        <v>29</v>
      </c>
      <c r="L969" s="1">
        <v>770845</v>
      </c>
      <c r="M969" s="1" t="s">
        <v>30</v>
      </c>
      <c r="N969" t="s">
        <v>4135</v>
      </c>
      <c r="O969" t="s">
        <v>68</v>
      </c>
      <c r="P969" t="s">
        <v>69</v>
      </c>
      <c r="Q969" t="s">
        <v>70</v>
      </c>
      <c r="R969">
        <v>73965.17</v>
      </c>
      <c r="S969" s="25" t="e">
        <f>IF(Table1[[#This Row],[Sales]]=MIN(Table1[Sales]), Table1[[#This Row],[Sales]], NA())</f>
        <v>#N/A</v>
      </c>
      <c r="T969" s="25">
        <f>IF(AND(Table1[[#This Row],[Sales]]&lt;&gt;MIN(Table1[Sales]),Table1[[#This Row],[Sales]]&lt;&gt;MAX(Table1[Sales])), Table1[[#This Row],[Sales]], NA())</f>
        <v>73965.17</v>
      </c>
      <c r="U969" s="25" t="e">
        <f>IF(Table1[[#This Row],[Sales]]=MAX(Table1[Sales]), Table1[[#This Row],[Sales]], NA())</f>
        <v>#N/A</v>
      </c>
      <c r="V969">
        <v>3</v>
      </c>
      <c r="W969">
        <v>0</v>
      </c>
      <c r="X969">
        <v>5917.21</v>
      </c>
      <c r="Y969" s="3">
        <f>YEAR(Table1[[#This Row],[Order Date]])</f>
        <v>2022</v>
      </c>
      <c r="Z969" s="3" t="str">
        <f>TEXT(Table1[[#This Row],[Order Date]],"MMM")</f>
        <v>Sep</v>
      </c>
      <c r="AA969" s="3">
        <f>DAY(Table1[[#This Row],[Order Date]])</f>
        <v>14</v>
      </c>
    </row>
    <row r="970" spans="1:27" x14ac:dyDescent="0.35">
      <c r="A970" s="1">
        <v>969</v>
      </c>
      <c r="B970" s="1" t="s">
        <v>4136</v>
      </c>
      <c r="C970" s="1" t="s">
        <v>4137</v>
      </c>
      <c r="D970" s="1" t="s">
        <v>1053</v>
      </c>
      <c r="E970" t="s">
        <v>38</v>
      </c>
      <c r="F970" t="s">
        <v>4138</v>
      </c>
      <c r="G970" t="s">
        <v>140</v>
      </c>
      <c r="H970" t="s">
        <v>27</v>
      </c>
      <c r="I970" s="1" t="s">
        <v>28</v>
      </c>
      <c r="J970" t="s">
        <v>42</v>
      </c>
      <c r="K970" t="s">
        <v>43</v>
      </c>
      <c r="L970" s="1">
        <v>537983</v>
      </c>
      <c r="M970" s="1" t="s">
        <v>44</v>
      </c>
      <c r="N970" t="s">
        <v>4139</v>
      </c>
      <c r="O970" t="s">
        <v>46</v>
      </c>
      <c r="P970" t="s">
        <v>47</v>
      </c>
      <c r="Q970" t="s">
        <v>48</v>
      </c>
      <c r="R970">
        <v>27649.33</v>
      </c>
      <c r="S970" s="25" t="e">
        <f>IF(Table1[[#This Row],[Sales]]=MIN(Table1[Sales]), Table1[[#This Row],[Sales]], NA())</f>
        <v>#N/A</v>
      </c>
      <c r="T970" s="25">
        <f>IF(AND(Table1[[#This Row],[Sales]]&lt;&gt;MIN(Table1[Sales]),Table1[[#This Row],[Sales]]&lt;&gt;MAX(Table1[Sales])), Table1[[#This Row],[Sales]], NA())</f>
        <v>27649.33</v>
      </c>
      <c r="U970" s="25" t="e">
        <f>IF(Table1[[#This Row],[Sales]]=MAX(Table1[Sales]), Table1[[#This Row],[Sales]], NA())</f>
        <v>#N/A</v>
      </c>
      <c r="V970">
        <v>3</v>
      </c>
      <c r="W970">
        <v>0.1</v>
      </c>
      <c r="X970">
        <v>1520.71</v>
      </c>
      <c r="Y970" s="3">
        <f>YEAR(Table1[[#This Row],[Order Date]])</f>
        <v>2023</v>
      </c>
      <c r="Z970" s="3" t="str">
        <f>TEXT(Table1[[#This Row],[Order Date]],"MMM")</f>
        <v>Jun</v>
      </c>
      <c r="AA970" s="3">
        <f>DAY(Table1[[#This Row],[Order Date]])</f>
        <v>24</v>
      </c>
    </row>
    <row r="971" spans="1:27" x14ac:dyDescent="0.35">
      <c r="A971" s="1">
        <v>970</v>
      </c>
      <c r="B971" s="1" t="s">
        <v>4140</v>
      </c>
      <c r="C971" s="1" t="s">
        <v>4141</v>
      </c>
      <c r="D971" s="1" t="s">
        <v>2000</v>
      </c>
      <c r="E971" t="s">
        <v>62</v>
      </c>
      <c r="F971" t="s">
        <v>4142</v>
      </c>
      <c r="G971" t="s">
        <v>188</v>
      </c>
      <c r="H971" t="s">
        <v>27</v>
      </c>
      <c r="I971" s="1" t="s">
        <v>28</v>
      </c>
      <c r="J971" t="s">
        <v>128</v>
      </c>
      <c r="K971" t="s">
        <v>129</v>
      </c>
      <c r="L971" s="1">
        <v>519887</v>
      </c>
      <c r="M971" s="1" t="s">
        <v>66</v>
      </c>
      <c r="N971" t="s">
        <v>4143</v>
      </c>
      <c r="O971" t="s">
        <v>46</v>
      </c>
      <c r="P971" t="s">
        <v>47</v>
      </c>
      <c r="Q971" t="s">
        <v>48</v>
      </c>
      <c r="R971">
        <v>22022.74</v>
      </c>
      <c r="S971" s="25" t="e">
        <f>IF(Table1[[#This Row],[Sales]]=MIN(Table1[Sales]), Table1[[#This Row],[Sales]], NA())</f>
        <v>#N/A</v>
      </c>
      <c r="T971" s="25">
        <f>IF(AND(Table1[[#This Row],[Sales]]&lt;&gt;MIN(Table1[Sales]),Table1[[#This Row],[Sales]]&lt;&gt;MAX(Table1[Sales])), Table1[[#This Row],[Sales]], NA())</f>
        <v>22022.74</v>
      </c>
      <c r="U971" s="25" t="e">
        <f>IF(Table1[[#This Row],[Sales]]=MAX(Table1[Sales]), Table1[[#This Row],[Sales]], NA())</f>
        <v>#N/A</v>
      </c>
      <c r="V971">
        <v>2</v>
      </c>
      <c r="W971">
        <v>0.1</v>
      </c>
      <c r="X971">
        <v>1211.25</v>
      </c>
      <c r="Y971" s="3">
        <f>YEAR(Table1[[#This Row],[Order Date]])</f>
        <v>2023</v>
      </c>
      <c r="Z971" s="3" t="str">
        <f>TEXT(Table1[[#This Row],[Order Date]],"MMM")</f>
        <v>Jun</v>
      </c>
      <c r="AA971" s="3">
        <f>DAY(Table1[[#This Row],[Order Date]])</f>
        <v>25</v>
      </c>
    </row>
    <row r="972" spans="1:27" x14ac:dyDescent="0.35">
      <c r="A972" s="1">
        <v>971</v>
      </c>
      <c r="B972" s="1" t="s">
        <v>4144</v>
      </c>
      <c r="C972" s="1" t="s">
        <v>4075</v>
      </c>
      <c r="D972" s="1" t="s">
        <v>2507</v>
      </c>
      <c r="E972" t="s">
        <v>24</v>
      </c>
      <c r="F972" t="s">
        <v>4145</v>
      </c>
      <c r="G972" t="s">
        <v>93</v>
      </c>
      <c r="H972" t="s">
        <v>41</v>
      </c>
      <c r="I972" s="1" t="s">
        <v>28</v>
      </c>
      <c r="J972" t="s">
        <v>53</v>
      </c>
      <c r="K972" t="s">
        <v>54</v>
      </c>
      <c r="L972" s="1">
        <v>297062</v>
      </c>
      <c r="M972" s="1" t="s">
        <v>55</v>
      </c>
      <c r="N972" t="s">
        <v>4146</v>
      </c>
      <c r="O972" t="s">
        <v>68</v>
      </c>
      <c r="P972" t="s">
        <v>69</v>
      </c>
      <c r="Q972" t="s">
        <v>70</v>
      </c>
      <c r="R972">
        <v>41455.730000000003</v>
      </c>
      <c r="S972" s="25" t="e">
        <f>IF(Table1[[#This Row],[Sales]]=MIN(Table1[Sales]), Table1[[#This Row],[Sales]], NA())</f>
        <v>#N/A</v>
      </c>
      <c r="T972" s="25">
        <f>IF(AND(Table1[[#This Row],[Sales]]&lt;&gt;MIN(Table1[Sales]),Table1[[#This Row],[Sales]]&lt;&gt;MAX(Table1[Sales])), Table1[[#This Row],[Sales]], NA())</f>
        <v>41455.730000000003</v>
      </c>
      <c r="U972" s="25" t="e">
        <f>IF(Table1[[#This Row],[Sales]]=MAX(Table1[Sales]), Table1[[#This Row],[Sales]], NA())</f>
        <v>#N/A</v>
      </c>
      <c r="V972">
        <v>9</v>
      </c>
      <c r="W972">
        <v>0.3</v>
      </c>
      <c r="X972">
        <v>207.28</v>
      </c>
      <c r="Y972" s="3">
        <f>YEAR(Table1[[#This Row],[Order Date]])</f>
        <v>2025</v>
      </c>
      <c r="Z972" s="3" t="str">
        <f>TEXT(Table1[[#This Row],[Order Date]],"MMM")</f>
        <v>Apr</v>
      </c>
      <c r="AA972" s="3">
        <f>DAY(Table1[[#This Row],[Order Date]])</f>
        <v>20</v>
      </c>
    </row>
    <row r="973" spans="1:27" x14ac:dyDescent="0.35">
      <c r="A973" s="1">
        <v>972</v>
      </c>
      <c r="B973" s="1" t="s">
        <v>4147</v>
      </c>
      <c r="C973" s="1" t="s">
        <v>481</v>
      </c>
      <c r="D973" s="1" t="s">
        <v>4148</v>
      </c>
      <c r="E973" t="s">
        <v>38</v>
      </c>
      <c r="F973" t="s">
        <v>4149</v>
      </c>
      <c r="G973" t="s">
        <v>188</v>
      </c>
      <c r="H973" t="s">
        <v>27</v>
      </c>
      <c r="I973" s="1" t="s">
        <v>28</v>
      </c>
      <c r="J973" t="s">
        <v>42</v>
      </c>
      <c r="K973" t="s">
        <v>43</v>
      </c>
      <c r="L973" s="1">
        <v>596536</v>
      </c>
      <c r="M973" s="1" t="s">
        <v>44</v>
      </c>
      <c r="N973" t="s">
        <v>4150</v>
      </c>
      <c r="O973" t="s">
        <v>46</v>
      </c>
      <c r="P973" t="s">
        <v>47</v>
      </c>
      <c r="Q973" t="s">
        <v>48</v>
      </c>
      <c r="R973">
        <v>24036.639999999999</v>
      </c>
      <c r="S973" s="25" t="e">
        <f>IF(Table1[[#This Row],[Sales]]=MIN(Table1[Sales]), Table1[[#This Row],[Sales]], NA())</f>
        <v>#N/A</v>
      </c>
      <c r="T973" s="25">
        <f>IF(AND(Table1[[#This Row],[Sales]]&lt;&gt;MIN(Table1[Sales]),Table1[[#This Row],[Sales]]&lt;&gt;MAX(Table1[Sales])), Table1[[#This Row],[Sales]], NA())</f>
        <v>24036.639999999999</v>
      </c>
      <c r="U973" s="25" t="e">
        <f>IF(Table1[[#This Row],[Sales]]=MAX(Table1[Sales]), Table1[[#This Row],[Sales]], NA())</f>
        <v>#N/A</v>
      </c>
      <c r="V973">
        <v>10</v>
      </c>
      <c r="W973">
        <v>0.1</v>
      </c>
      <c r="X973">
        <v>1322.02</v>
      </c>
      <c r="Y973" s="3">
        <f>YEAR(Table1[[#This Row],[Order Date]])</f>
        <v>2025</v>
      </c>
      <c r="Z973" s="3" t="str">
        <f>TEXT(Table1[[#This Row],[Order Date]],"MMM")</f>
        <v>Jan</v>
      </c>
      <c r="AA973" s="3">
        <f>DAY(Table1[[#This Row],[Order Date]])</f>
        <v>3</v>
      </c>
    </row>
    <row r="974" spans="1:27" x14ac:dyDescent="0.35">
      <c r="A974" s="1">
        <v>973</v>
      </c>
      <c r="B974" s="1" t="s">
        <v>4151</v>
      </c>
      <c r="C974" s="1" t="s">
        <v>1948</v>
      </c>
      <c r="D974" s="1" t="s">
        <v>4152</v>
      </c>
      <c r="E974" t="s">
        <v>62</v>
      </c>
      <c r="F974" t="s">
        <v>4153</v>
      </c>
      <c r="G974" t="s">
        <v>40</v>
      </c>
      <c r="H974" t="s">
        <v>41</v>
      </c>
      <c r="I974" s="1" t="s">
        <v>28</v>
      </c>
      <c r="J974" t="s">
        <v>29</v>
      </c>
      <c r="K974" t="s">
        <v>29</v>
      </c>
      <c r="L974" s="1">
        <v>183439</v>
      </c>
      <c r="M974" s="1" t="s">
        <v>30</v>
      </c>
      <c r="N974" t="s">
        <v>4154</v>
      </c>
      <c r="O974" t="s">
        <v>68</v>
      </c>
      <c r="P974" t="s">
        <v>69</v>
      </c>
      <c r="Q974" t="s">
        <v>70</v>
      </c>
      <c r="R974">
        <v>71151.45</v>
      </c>
      <c r="S974" s="25" t="e">
        <f>IF(Table1[[#This Row],[Sales]]=MIN(Table1[Sales]), Table1[[#This Row],[Sales]], NA())</f>
        <v>#N/A</v>
      </c>
      <c r="T974" s="25">
        <f>IF(AND(Table1[[#This Row],[Sales]]&lt;&gt;MIN(Table1[Sales]),Table1[[#This Row],[Sales]]&lt;&gt;MAX(Table1[Sales])), Table1[[#This Row],[Sales]], NA())</f>
        <v>71151.45</v>
      </c>
      <c r="U974" s="25" t="e">
        <f>IF(Table1[[#This Row],[Sales]]=MAX(Table1[Sales]), Table1[[#This Row],[Sales]], NA())</f>
        <v>#N/A</v>
      </c>
      <c r="V974">
        <v>5</v>
      </c>
      <c r="W974">
        <v>0.3</v>
      </c>
      <c r="X974">
        <v>355.76</v>
      </c>
      <c r="Y974" s="3">
        <f>YEAR(Table1[[#This Row],[Order Date]])</f>
        <v>2022</v>
      </c>
      <c r="Z974" s="3" t="str">
        <f>TEXT(Table1[[#This Row],[Order Date]],"MMM")</f>
        <v>Jan</v>
      </c>
      <c r="AA974" s="3">
        <f>DAY(Table1[[#This Row],[Order Date]])</f>
        <v>8</v>
      </c>
    </row>
    <row r="975" spans="1:27" x14ac:dyDescent="0.35">
      <c r="A975" s="1">
        <v>974</v>
      </c>
      <c r="B975" s="1" t="s">
        <v>4155</v>
      </c>
      <c r="C975" s="1" t="s">
        <v>1314</v>
      </c>
      <c r="D975" s="1" t="s">
        <v>2568</v>
      </c>
      <c r="E975" t="s">
        <v>24</v>
      </c>
      <c r="F975" t="s">
        <v>4156</v>
      </c>
      <c r="G975" t="s">
        <v>75</v>
      </c>
      <c r="H975" t="s">
        <v>27</v>
      </c>
      <c r="I975" s="1" t="s">
        <v>28</v>
      </c>
      <c r="J975" t="s">
        <v>42</v>
      </c>
      <c r="K975" t="s">
        <v>43</v>
      </c>
      <c r="L975" s="1">
        <v>174197</v>
      </c>
      <c r="M975" s="1" t="s">
        <v>44</v>
      </c>
      <c r="N975" t="s">
        <v>4157</v>
      </c>
      <c r="O975" t="s">
        <v>46</v>
      </c>
      <c r="P975" t="s">
        <v>57</v>
      </c>
      <c r="Q975" t="s">
        <v>58</v>
      </c>
      <c r="R975">
        <v>84747.65</v>
      </c>
      <c r="S975" s="25" t="e">
        <f>IF(Table1[[#This Row],[Sales]]=MIN(Table1[Sales]), Table1[[#This Row],[Sales]], NA())</f>
        <v>#N/A</v>
      </c>
      <c r="T975" s="25">
        <f>IF(AND(Table1[[#This Row],[Sales]]&lt;&gt;MIN(Table1[Sales]),Table1[[#This Row],[Sales]]&lt;&gt;MAX(Table1[Sales])), Table1[[#This Row],[Sales]], NA())</f>
        <v>84747.65</v>
      </c>
      <c r="U975" s="25" t="e">
        <f>IF(Table1[[#This Row],[Sales]]=MAX(Table1[Sales]), Table1[[#This Row],[Sales]], NA())</f>
        <v>#N/A</v>
      </c>
      <c r="V975">
        <v>2</v>
      </c>
      <c r="W975">
        <v>0</v>
      </c>
      <c r="X975">
        <v>6779.81</v>
      </c>
      <c r="Y975" s="3">
        <f>YEAR(Table1[[#This Row],[Order Date]])</f>
        <v>2024</v>
      </c>
      <c r="Z975" s="3" t="str">
        <f>TEXT(Table1[[#This Row],[Order Date]],"MMM")</f>
        <v>Feb</v>
      </c>
      <c r="AA975" s="3">
        <f>DAY(Table1[[#This Row],[Order Date]])</f>
        <v>12</v>
      </c>
    </row>
    <row r="976" spans="1:27" x14ac:dyDescent="0.35">
      <c r="A976" s="1">
        <v>975</v>
      </c>
      <c r="B976" s="1" t="s">
        <v>4158</v>
      </c>
      <c r="C976" s="1" t="s">
        <v>427</v>
      </c>
      <c r="D976" s="1" t="s">
        <v>1760</v>
      </c>
      <c r="E976" t="s">
        <v>38</v>
      </c>
      <c r="F976" t="s">
        <v>4159</v>
      </c>
      <c r="G976" t="s">
        <v>81</v>
      </c>
      <c r="H976" t="s">
        <v>94</v>
      </c>
      <c r="I976" s="1" t="s">
        <v>28</v>
      </c>
      <c r="J976" t="s">
        <v>128</v>
      </c>
      <c r="K976" t="s">
        <v>129</v>
      </c>
      <c r="L976" s="1">
        <v>451921</v>
      </c>
      <c r="M976" s="1" t="s">
        <v>66</v>
      </c>
      <c r="N976" t="s">
        <v>4160</v>
      </c>
      <c r="O976" t="s">
        <v>46</v>
      </c>
      <c r="P976" t="s">
        <v>47</v>
      </c>
      <c r="Q976" t="s">
        <v>48</v>
      </c>
      <c r="R976">
        <v>84302.55</v>
      </c>
      <c r="S976" s="25" t="e">
        <f>IF(Table1[[#This Row],[Sales]]=MIN(Table1[Sales]), Table1[[#This Row],[Sales]], NA())</f>
        <v>#N/A</v>
      </c>
      <c r="T976" s="25">
        <f>IF(AND(Table1[[#This Row],[Sales]]&lt;&gt;MIN(Table1[Sales]),Table1[[#This Row],[Sales]]&lt;&gt;MAX(Table1[Sales])), Table1[[#This Row],[Sales]], NA())</f>
        <v>84302.55</v>
      </c>
      <c r="U976" s="25" t="e">
        <f>IF(Table1[[#This Row],[Sales]]=MAX(Table1[Sales]), Table1[[#This Row],[Sales]], NA())</f>
        <v>#N/A</v>
      </c>
      <c r="V976">
        <v>4</v>
      </c>
      <c r="W976">
        <v>0.2</v>
      </c>
      <c r="X976">
        <v>2529.08</v>
      </c>
      <c r="Y976" s="3">
        <f>YEAR(Table1[[#This Row],[Order Date]])</f>
        <v>2024</v>
      </c>
      <c r="Z976" s="3" t="str">
        <f>TEXT(Table1[[#This Row],[Order Date]],"MMM")</f>
        <v>Aug</v>
      </c>
      <c r="AA976" s="3">
        <f>DAY(Table1[[#This Row],[Order Date]])</f>
        <v>21</v>
      </c>
    </row>
    <row r="977" spans="1:27" x14ac:dyDescent="0.35">
      <c r="A977" s="1">
        <v>976</v>
      </c>
      <c r="B977" s="1" t="s">
        <v>4161</v>
      </c>
      <c r="C977" s="1" t="s">
        <v>4162</v>
      </c>
      <c r="D977" s="1" t="s">
        <v>596</v>
      </c>
      <c r="E977" t="s">
        <v>38</v>
      </c>
      <c r="F977" t="s">
        <v>4163</v>
      </c>
      <c r="G977" t="s">
        <v>140</v>
      </c>
      <c r="H977" t="s">
        <v>94</v>
      </c>
      <c r="I977" s="1" t="s">
        <v>28</v>
      </c>
      <c r="J977" t="s">
        <v>42</v>
      </c>
      <c r="K977" t="s">
        <v>43</v>
      </c>
      <c r="L977" s="1">
        <v>970844</v>
      </c>
      <c r="M977" s="1" t="s">
        <v>44</v>
      </c>
      <c r="N977" t="s">
        <v>4164</v>
      </c>
      <c r="O977" t="s">
        <v>46</v>
      </c>
      <c r="P977" t="s">
        <v>57</v>
      </c>
      <c r="Q977" t="s">
        <v>58</v>
      </c>
      <c r="R977">
        <v>26521.22</v>
      </c>
      <c r="S977" s="25" t="e">
        <f>IF(Table1[[#This Row],[Sales]]=MIN(Table1[Sales]), Table1[[#This Row],[Sales]], NA())</f>
        <v>#N/A</v>
      </c>
      <c r="T977" s="25">
        <f>IF(AND(Table1[[#This Row],[Sales]]&lt;&gt;MIN(Table1[Sales]),Table1[[#This Row],[Sales]]&lt;&gt;MAX(Table1[Sales])), Table1[[#This Row],[Sales]], NA())</f>
        <v>26521.22</v>
      </c>
      <c r="U977" s="25" t="e">
        <f>IF(Table1[[#This Row],[Sales]]=MAX(Table1[Sales]), Table1[[#This Row],[Sales]], NA())</f>
        <v>#N/A</v>
      </c>
      <c r="V977">
        <v>9</v>
      </c>
      <c r="W977">
        <v>0</v>
      </c>
      <c r="X977">
        <v>2121.6999999999998</v>
      </c>
      <c r="Y977" s="3">
        <f>YEAR(Table1[[#This Row],[Order Date]])</f>
        <v>2023</v>
      </c>
      <c r="Z977" s="3" t="str">
        <f>TEXT(Table1[[#This Row],[Order Date]],"MMM")</f>
        <v>Aug</v>
      </c>
      <c r="AA977" s="3">
        <f>DAY(Table1[[#This Row],[Order Date]])</f>
        <v>22</v>
      </c>
    </row>
    <row r="978" spans="1:27" x14ac:dyDescent="0.35">
      <c r="A978" s="1">
        <v>977</v>
      </c>
      <c r="B978" s="1" t="s">
        <v>4165</v>
      </c>
      <c r="C978" s="1" t="s">
        <v>4166</v>
      </c>
      <c r="D978" s="1" t="s">
        <v>1028</v>
      </c>
      <c r="E978" t="s">
        <v>115</v>
      </c>
      <c r="F978" t="s">
        <v>4167</v>
      </c>
      <c r="G978" t="s">
        <v>93</v>
      </c>
      <c r="H978" t="s">
        <v>27</v>
      </c>
      <c r="I978" s="1" t="s">
        <v>28</v>
      </c>
      <c r="J978" t="s">
        <v>53</v>
      </c>
      <c r="K978" t="s">
        <v>54</v>
      </c>
      <c r="L978" s="1">
        <v>879132</v>
      </c>
      <c r="M978" s="1" t="s">
        <v>55</v>
      </c>
      <c r="N978" t="s">
        <v>4168</v>
      </c>
      <c r="O978" t="s">
        <v>46</v>
      </c>
      <c r="P978" t="s">
        <v>47</v>
      </c>
      <c r="Q978" t="s">
        <v>48</v>
      </c>
      <c r="R978">
        <v>17261.63</v>
      </c>
      <c r="S978" s="25" t="e">
        <f>IF(Table1[[#This Row],[Sales]]=MIN(Table1[Sales]), Table1[[#This Row],[Sales]], NA())</f>
        <v>#N/A</v>
      </c>
      <c r="T978" s="25">
        <f>IF(AND(Table1[[#This Row],[Sales]]&lt;&gt;MIN(Table1[Sales]),Table1[[#This Row],[Sales]]&lt;&gt;MAX(Table1[Sales])), Table1[[#This Row],[Sales]], NA())</f>
        <v>17261.63</v>
      </c>
      <c r="U978" s="25" t="e">
        <f>IF(Table1[[#This Row],[Sales]]=MAX(Table1[Sales]), Table1[[#This Row],[Sales]], NA())</f>
        <v>#N/A</v>
      </c>
      <c r="V978">
        <v>6</v>
      </c>
      <c r="W978">
        <v>0.3</v>
      </c>
      <c r="X978">
        <v>86.31</v>
      </c>
      <c r="Y978" s="3">
        <f>YEAR(Table1[[#This Row],[Order Date]])</f>
        <v>2025</v>
      </c>
      <c r="Z978" s="3" t="str">
        <f>TEXT(Table1[[#This Row],[Order Date]],"MMM")</f>
        <v>Jun</v>
      </c>
      <c r="AA978" s="3">
        <f>DAY(Table1[[#This Row],[Order Date]])</f>
        <v>21</v>
      </c>
    </row>
    <row r="979" spans="1:27" x14ac:dyDescent="0.35">
      <c r="A979" s="1">
        <v>978</v>
      </c>
      <c r="B979" s="1" t="s">
        <v>4169</v>
      </c>
      <c r="C979" s="1" t="s">
        <v>4170</v>
      </c>
      <c r="D979" s="1" t="s">
        <v>1731</v>
      </c>
      <c r="E979" t="s">
        <v>62</v>
      </c>
      <c r="F979" t="s">
        <v>4171</v>
      </c>
      <c r="G979" t="s">
        <v>122</v>
      </c>
      <c r="H979" t="s">
        <v>41</v>
      </c>
      <c r="I979" s="1" t="s">
        <v>28</v>
      </c>
      <c r="J979" t="s">
        <v>53</v>
      </c>
      <c r="K979" t="s">
        <v>54</v>
      </c>
      <c r="L979" s="1">
        <v>773396</v>
      </c>
      <c r="M979" s="1" t="s">
        <v>55</v>
      </c>
      <c r="N979" t="s">
        <v>4172</v>
      </c>
      <c r="O979" t="s">
        <v>46</v>
      </c>
      <c r="P979" t="s">
        <v>47</v>
      </c>
      <c r="Q979" t="s">
        <v>48</v>
      </c>
      <c r="R979">
        <v>46813.72</v>
      </c>
      <c r="S979" s="25" t="e">
        <f>IF(Table1[[#This Row],[Sales]]=MIN(Table1[Sales]), Table1[[#This Row],[Sales]], NA())</f>
        <v>#N/A</v>
      </c>
      <c r="T979" s="25">
        <f>IF(AND(Table1[[#This Row],[Sales]]&lt;&gt;MIN(Table1[Sales]),Table1[[#This Row],[Sales]]&lt;&gt;MAX(Table1[Sales])), Table1[[#This Row],[Sales]], NA())</f>
        <v>46813.72</v>
      </c>
      <c r="U979" s="25" t="e">
        <f>IF(Table1[[#This Row],[Sales]]=MAX(Table1[Sales]), Table1[[#This Row],[Sales]], NA())</f>
        <v>#N/A</v>
      </c>
      <c r="V979">
        <v>6</v>
      </c>
      <c r="W979">
        <v>0.3</v>
      </c>
      <c r="X979">
        <v>234.07</v>
      </c>
      <c r="Y979" s="3">
        <f>YEAR(Table1[[#This Row],[Order Date]])</f>
        <v>2025</v>
      </c>
      <c r="Z979" s="3" t="str">
        <f>TEXT(Table1[[#This Row],[Order Date]],"MMM")</f>
        <v>Jun</v>
      </c>
      <c r="AA979" s="3">
        <f>DAY(Table1[[#This Row],[Order Date]])</f>
        <v>26</v>
      </c>
    </row>
    <row r="980" spans="1:27" x14ac:dyDescent="0.35">
      <c r="A980" s="1">
        <v>979</v>
      </c>
      <c r="B980" s="1" t="s">
        <v>4173</v>
      </c>
      <c r="C980" s="1" t="s">
        <v>2507</v>
      </c>
      <c r="D980" s="1" t="s">
        <v>236</v>
      </c>
      <c r="E980" t="s">
        <v>62</v>
      </c>
      <c r="F980" t="s">
        <v>4174</v>
      </c>
      <c r="G980" t="s">
        <v>188</v>
      </c>
      <c r="H980" t="s">
        <v>94</v>
      </c>
      <c r="I980" s="1" t="s">
        <v>28</v>
      </c>
      <c r="J980" t="s">
        <v>128</v>
      </c>
      <c r="K980" t="s">
        <v>129</v>
      </c>
      <c r="L980" s="1">
        <v>171468</v>
      </c>
      <c r="M980" s="1" t="s">
        <v>66</v>
      </c>
      <c r="N980" t="s">
        <v>4175</v>
      </c>
      <c r="O980" t="s">
        <v>68</v>
      </c>
      <c r="P980" t="s">
        <v>69</v>
      </c>
      <c r="Q980" t="s">
        <v>70</v>
      </c>
      <c r="R980">
        <v>27513.55</v>
      </c>
      <c r="S980" s="25" t="e">
        <f>IF(Table1[[#This Row],[Sales]]=MIN(Table1[Sales]), Table1[[#This Row],[Sales]], NA())</f>
        <v>#N/A</v>
      </c>
      <c r="T980" s="25">
        <f>IF(AND(Table1[[#This Row],[Sales]]&lt;&gt;MIN(Table1[Sales]),Table1[[#This Row],[Sales]]&lt;&gt;MAX(Table1[Sales])), Table1[[#This Row],[Sales]], NA())</f>
        <v>27513.55</v>
      </c>
      <c r="U980" s="25" t="e">
        <f>IF(Table1[[#This Row],[Sales]]=MAX(Table1[Sales]), Table1[[#This Row],[Sales]], NA())</f>
        <v>#N/A</v>
      </c>
      <c r="V980">
        <v>1</v>
      </c>
      <c r="W980">
        <v>0.2</v>
      </c>
      <c r="X980">
        <v>825.41</v>
      </c>
      <c r="Y980" s="3">
        <f>YEAR(Table1[[#This Row],[Order Date]])</f>
        <v>2025</v>
      </c>
      <c r="Z980" s="3" t="str">
        <f>TEXT(Table1[[#This Row],[Order Date]],"MMM")</f>
        <v>Apr</v>
      </c>
      <c r="AA980" s="3">
        <f>DAY(Table1[[#This Row],[Order Date]])</f>
        <v>21</v>
      </c>
    </row>
    <row r="981" spans="1:27" x14ac:dyDescent="0.35">
      <c r="A981" s="1">
        <v>980</v>
      </c>
      <c r="B981" s="1" t="s">
        <v>4176</v>
      </c>
      <c r="C981" s="1" t="s">
        <v>2573</v>
      </c>
      <c r="D981" s="1" t="s">
        <v>2087</v>
      </c>
      <c r="E981" t="s">
        <v>115</v>
      </c>
      <c r="F981" t="s">
        <v>4177</v>
      </c>
      <c r="G981" t="s">
        <v>188</v>
      </c>
      <c r="H981" t="s">
        <v>41</v>
      </c>
      <c r="I981" s="1" t="s">
        <v>28</v>
      </c>
      <c r="J981" t="s">
        <v>128</v>
      </c>
      <c r="K981" t="s">
        <v>129</v>
      </c>
      <c r="L981" s="1">
        <v>689967</v>
      </c>
      <c r="M981" s="1" t="s">
        <v>66</v>
      </c>
      <c r="N981" t="s">
        <v>4178</v>
      </c>
      <c r="O981" t="s">
        <v>46</v>
      </c>
      <c r="P981" t="s">
        <v>47</v>
      </c>
      <c r="Q981" t="s">
        <v>48</v>
      </c>
      <c r="R981">
        <v>72419.399999999994</v>
      </c>
      <c r="S981" s="25" t="e">
        <f>IF(Table1[[#This Row],[Sales]]=MIN(Table1[Sales]), Table1[[#This Row],[Sales]], NA())</f>
        <v>#N/A</v>
      </c>
      <c r="T981" s="25">
        <f>IF(AND(Table1[[#This Row],[Sales]]&lt;&gt;MIN(Table1[Sales]),Table1[[#This Row],[Sales]]&lt;&gt;MAX(Table1[Sales])), Table1[[#This Row],[Sales]], NA())</f>
        <v>72419.399999999994</v>
      </c>
      <c r="U981" s="25" t="e">
        <f>IF(Table1[[#This Row],[Sales]]=MAX(Table1[Sales]), Table1[[#This Row],[Sales]], NA())</f>
        <v>#N/A</v>
      </c>
      <c r="V981">
        <v>4</v>
      </c>
      <c r="W981">
        <v>0</v>
      </c>
      <c r="X981">
        <v>5793.55</v>
      </c>
      <c r="Y981" s="3">
        <f>YEAR(Table1[[#This Row],[Order Date]])</f>
        <v>2025</v>
      </c>
      <c r="Z981" s="3" t="str">
        <f>TEXT(Table1[[#This Row],[Order Date]],"MMM")</f>
        <v>Dec</v>
      </c>
      <c r="AA981" s="3">
        <f>DAY(Table1[[#This Row],[Order Date]])</f>
        <v>2</v>
      </c>
    </row>
    <row r="982" spans="1:27" x14ac:dyDescent="0.35">
      <c r="A982" s="1">
        <v>981</v>
      </c>
      <c r="B982" s="1" t="s">
        <v>4179</v>
      </c>
      <c r="C982" s="1" t="s">
        <v>4180</v>
      </c>
      <c r="D982" s="1" t="s">
        <v>4181</v>
      </c>
      <c r="E982" t="s">
        <v>115</v>
      </c>
      <c r="F982" t="s">
        <v>4182</v>
      </c>
      <c r="G982" t="s">
        <v>26</v>
      </c>
      <c r="H982" t="s">
        <v>41</v>
      </c>
      <c r="I982" s="1" t="s">
        <v>28</v>
      </c>
      <c r="J982" t="s">
        <v>53</v>
      </c>
      <c r="K982" t="s">
        <v>54</v>
      </c>
      <c r="L982" s="1">
        <v>359421</v>
      </c>
      <c r="M982" s="1" t="s">
        <v>55</v>
      </c>
      <c r="N982" t="s">
        <v>4183</v>
      </c>
      <c r="O982" t="s">
        <v>68</v>
      </c>
      <c r="P982" t="s">
        <v>69</v>
      </c>
      <c r="Q982" t="s">
        <v>70</v>
      </c>
      <c r="R982">
        <v>76949.119999999995</v>
      </c>
      <c r="S982" s="25" t="e">
        <f>IF(Table1[[#This Row],[Sales]]=MIN(Table1[Sales]), Table1[[#This Row],[Sales]], NA())</f>
        <v>#N/A</v>
      </c>
      <c r="T982" s="25">
        <f>IF(AND(Table1[[#This Row],[Sales]]&lt;&gt;MIN(Table1[Sales]),Table1[[#This Row],[Sales]]&lt;&gt;MAX(Table1[Sales])), Table1[[#This Row],[Sales]], NA())</f>
        <v>76949.119999999995</v>
      </c>
      <c r="U982" s="25" t="e">
        <f>IF(Table1[[#This Row],[Sales]]=MAX(Table1[Sales]), Table1[[#This Row],[Sales]], NA())</f>
        <v>#N/A</v>
      </c>
      <c r="V982">
        <v>9</v>
      </c>
      <c r="W982">
        <v>0.1</v>
      </c>
      <c r="X982">
        <v>4232.2</v>
      </c>
      <c r="Y982" s="3">
        <f>YEAR(Table1[[#This Row],[Order Date]])</f>
        <v>2024</v>
      </c>
      <c r="Z982" s="3" t="str">
        <f>TEXT(Table1[[#This Row],[Order Date]],"MMM")</f>
        <v>Apr</v>
      </c>
      <c r="AA982" s="3">
        <f>DAY(Table1[[#This Row],[Order Date]])</f>
        <v>30</v>
      </c>
    </row>
    <row r="983" spans="1:27" x14ac:dyDescent="0.35">
      <c r="A983" s="1">
        <v>982</v>
      </c>
      <c r="B983" s="1" t="s">
        <v>4184</v>
      </c>
      <c r="C983" s="1" t="s">
        <v>191</v>
      </c>
      <c r="D983" s="1" t="s">
        <v>175</v>
      </c>
      <c r="E983" t="s">
        <v>115</v>
      </c>
      <c r="F983" t="s">
        <v>4185</v>
      </c>
      <c r="G983" t="s">
        <v>87</v>
      </c>
      <c r="H983" t="s">
        <v>41</v>
      </c>
      <c r="I983" s="1" t="s">
        <v>28</v>
      </c>
      <c r="J983" t="s">
        <v>53</v>
      </c>
      <c r="K983" t="s">
        <v>54</v>
      </c>
      <c r="L983" s="1">
        <v>595276</v>
      </c>
      <c r="M983" s="1" t="s">
        <v>55</v>
      </c>
      <c r="N983" t="s">
        <v>4186</v>
      </c>
      <c r="O983" t="s">
        <v>68</v>
      </c>
      <c r="P983" t="s">
        <v>69</v>
      </c>
      <c r="Q983" t="s">
        <v>70</v>
      </c>
      <c r="R983">
        <v>72452.83</v>
      </c>
      <c r="S983" s="25" t="e">
        <f>IF(Table1[[#This Row],[Sales]]=MIN(Table1[Sales]), Table1[[#This Row],[Sales]], NA())</f>
        <v>#N/A</v>
      </c>
      <c r="T983" s="25">
        <f>IF(AND(Table1[[#This Row],[Sales]]&lt;&gt;MIN(Table1[Sales]),Table1[[#This Row],[Sales]]&lt;&gt;MAX(Table1[Sales])), Table1[[#This Row],[Sales]], NA())</f>
        <v>72452.83</v>
      </c>
      <c r="U983" s="25" t="e">
        <f>IF(Table1[[#This Row],[Sales]]=MAX(Table1[Sales]), Table1[[#This Row],[Sales]], NA())</f>
        <v>#N/A</v>
      </c>
      <c r="V983">
        <v>8</v>
      </c>
      <c r="W983">
        <v>0.2</v>
      </c>
      <c r="X983">
        <v>2173.58</v>
      </c>
      <c r="Y983" s="3">
        <f>YEAR(Table1[[#This Row],[Order Date]])</f>
        <v>2024</v>
      </c>
      <c r="Z983" s="3" t="str">
        <f>TEXT(Table1[[#This Row],[Order Date]],"MMM")</f>
        <v>Jun</v>
      </c>
      <c r="AA983" s="3">
        <f>DAY(Table1[[#This Row],[Order Date]])</f>
        <v>18</v>
      </c>
    </row>
    <row r="984" spans="1:27" x14ac:dyDescent="0.35">
      <c r="A984" s="1">
        <v>983</v>
      </c>
      <c r="B984" s="1" t="s">
        <v>4187</v>
      </c>
      <c r="C984" s="1" t="s">
        <v>658</v>
      </c>
      <c r="D984" s="1" t="s">
        <v>2966</v>
      </c>
      <c r="E984" t="s">
        <v>38</v>
      </c>
      <c r="F984" t="s">
        <v>4188</v>
      </c>
      <c r="G984" t="s">
        <v>140</v>
      </c>
      <c r="H984" t="s">
        <v>41</v>
      </c>
      <c r="I984" s="1" t="s">
        <v>28</v>
      </c>
      <c r="J984" t="s">
        <v>64</v>
      </c>
      <c r="K984" t="s">
        <v>65</v>
      </c>
      <c r="L984" s="1">
        <v>256088</v>
      </c>
      <c r="M984" s="1" t="s">
        <v>66</v>
      </c>
      <c r="N984" t="s">
        <v>4189</v>
      </c>
      <c r="O984" t="s">
        <v>46</v>
      </c>
      <c r="P984" t="s">
        <v>47</v>
      </c>
      <c r="Q984" t="s">
        <v>48</v>
      </c>
      <c r="R984">
        <v>43353.55</v>
      </c>
      <c r="S984" s="25" t="e">
        <f>IF(Table1[[#This Row],[Sales]]=MIN(Table1[Sales]), Table1[[#This Row],[Sales]], NA())</f>
        <v>#N/A</v>
      </c>
      <c r="T984" s="25">
        <f>IF(AND(Table1[[#This Row],[Sales]]&lt;&gt;MIN(Table1[Sales]),Table1[[#This Row],[Sales]]&lt;&gt;MAX(Table1[Sales])), Table1[[#This Row],[Sales]], NA())</f>
        <v>43353.55</v>
      </c>
      <c r="U984" s="25" t="e">
        <f>IF(Table1[[#This Row],[Sales]]=MAX(Table1[Sales]), Table1[[#This Row],[Sales]], NA())</f>
        <v>#N/A</v>
      </c>
      <c r="V984">
        <v>10</v>
      </c>
      <c r="W984">
        <v>0.3</v>
      </c>
      <c r="X984">
        <v>216.77</v>
      </c>
      <c r="Y984" s="3">
        <f>YEAR(Table1[[#This Row],[Order Date]])</f>
        <v>2022</v>
      </c>
      <c r="Z984" s="3" t="str">
        <f>TEXT(Table1[[#This Row],[Order Date]],"MMM")</f>
        <v>May</v>
      </c>
      <c r="AA984" s="3">
        <f>DAY(Table1[[#This Row],[Order Date]])</f>
        <v>21</v>
      </c>
    </row>
    <row r="985" spans="1:27" x14ac:dyDescent="0.35">
      <c r="A985" s="1">
        <v>984</v>
      </c>
      <c r="B985" s="1" t="s">
        <v>4190</v>
      </c>
      <c r="C985" s="1" t="s">
        <v>4191</v>
      </c>
      <c r="D985" s="1" t="s">
        <v>4192</v>
      </c>
      <c r="E985" t="s">
        <v>38</v>
      </c>
      <c r="F985" t="s">
        <v>4193</v>
      </c>
      <c r="G985" t="s">
        <v>93</v>
      </c>
      <c r="H985" t="s">
        <v>27</v>
      </c>
      <c r="I985" s="1" t="s">
        <v>28</v>
      </c>
      <c r="J985" t="s">
        <v>53</v>
      </c>
      <c r="K985" t="s">
        <v>54</v>
      </c>
      <c r="L985" s="1">
        <v>772916</v>
      </c>
      <c r="M985" s="1" t="s">
        <v>55</v>
      </c>
      <c r="N985" t="s">
        <v>4194</v>
      </c>
      <c r="O985" t="s">
        <v>46</v>
      </c>
      <c r="P985" t="s">
        <v>47</v>
      </c>
      <c r="Q985" t="s">
        <v>48</v>
      </c>
      <c r="R985">
        <v>79900.009999999995</v>
      </c>
      <c r="S985" s="25" t="e">
        <f>IF(Table1[[#This Row],[Sales]]=MIN(Table1[Sales]), Table1[[#This Row],[Sales]], NA())</f>
        <v>#N/A</v>
      </c>
      <c r="T985" s="25">
        <f>IF(AND(Table1[[#This Row],[Sales]]&lt;&gt;MIN(Table1[Sales]),Table1[[#This Row],[Sales]]&lt;&gt;MAX(Table1[Sales])), Table1[[#This Row],[Sales]], NA())</f>
        <v>79900.009999999995</v>
      </c>
      <c r="U985" s="25" t="e">
        <f>IF(Table1[[#This Row],[Sales]]=MAX(Table1[Sales]), Table1[[#This Row],[Sales]], NA())</f>
        <v>#N/A</v>
      </c>
      <c r="V985">
        <v>3</v>
      </c>
      <c r="W985">
        <v>0</v>
      </c>
      <c r="X985">
        <v>6392</v>
      </c>
      <c r="Y985" s="3">
        <f>YEAR(Table1[[#This Row],[Order Date]])</f>
        <v>2022</v>
      </c>
      <c r="Z985" s="3" t="str">
        <f>TEXT(Table1[[#This Row],[Order Date]],"MMM")</f>
        <v>Dec</v>
      </c>
      <c r="AA985" s="3">
        <f>DAY(Table1[[#This Row],[Order Date]])</f>
        <v>8</v>
      </c>
    </row>
    <row r="986" spans="1:27" x14ac:dyDescent="0.35">
      <c r="A986" s="1">
        <v>985</v>
      </c>
      <c r="B986" s="1" t="s">
        <v>4195</v>
      </c>
      <c r="C986" s="1" t="s">
        <v>4196</v>
      </c>
      <c r="D986" s="1" t="s">
        <v>4197</v>
      </c>
      <c r="E986" t="s">
        <v>38</v>
      </c>
      <c r="F986" t="s">
        <v>4198</v>
      </c>
      <c r="G986" t="s">
        <v>93</v>
      </c>
      <c r="H986" t="s">
        <v>41</v>
      </c>
      <c r="I986" s="1" t="s">
        <v>28</v>
      </c>
      <c r="J986" t="s">
        <v>53</v>
      </c>
      <c r="K986" t="s">
        <v>54</v>
      </c>
      <c r="L986" s="1">
        <v>301796</v>
      </c>
      <c r="M986" s="1" t="s">
        <v>55</v>
      </c>
      <c r="N986" t="s">
        <v>4199</v>
      </c>
      <c r="O986" t="s">
        <v>46</v>
      </c>
      <c r="P986" t="s">
        <v>47</v>
      </c>
      <c r="Q986" t="s">
        <v>48</v>
      </c>
      <c r="R986">
        <v>48766.02</v>
      </c>
      <c r="S986" s="25" t="e">
        <f>IF(Table1[[#This Row],[Sales]]=MIN(Table1[Sales]), Table1[[#This Row],[Sales]], NA())</f>
        <v>#N/A</v>
      </c>
      <c r="T986" s="25">
        <f>IF(AND(Table1[[#This Row],[Sales]]&lt;&gt;MIN(Table1[Sales]),Table1[[#This Row],[Sales]]&lt;&gt;MAX(Table1[Sales])), Table1[[#This Row],[Sales]], NA())</f>
        <v>48766.02</v>
      </c>
      <c r="U986" s="25" t="e">
        <f>IF(Table1[[#This Row],[Sales]]=MAX(Table1[Sales]), Table1[[#This Row],[Sales]], NA())</f>
        <v>#N/A</v>
      </c>
      <c r="V986">
        <v>8</v>
      </c>
      <c r="W986">
        <v>0.1</v>
      </c>
      <c r="X986">
        <v>2682.13</v>
      </c>
      <c r="Y986" s="3">
        <f>YEAR(Table1[[#This Row],[Order Date]])</f>
        <v>2023</v>
      </c>
      <c r="Z986" s="3" t="str">
        <f>TEXT(Table1[[#This Row],[Order Date]],"MMM")</f>
        <v>May</v>
      </c>
      <c r="AA986" s="3">
        <f>DAY(Table1[[#This Row],[Order Date]])</f>
        <v>27</v>
      </c>
    </row>
    <row r="987" spans="1:27" x14ac:dyDescent="0.35">
      <c r="A987" s="1">
        <v>986</v>
      </c>
      <c r="B987" s="1" t="s">
        <v>4200</v>
      </c>
      <c r="C987" s="1" t="s">
        <v>501</v>
      </c>
      <c r="D987" s="1" t="s">
        <v>4201</v>
      </c>
      <c r="E987" t="s">
        <v>115</v>
      </c>
      <c r="F987" t="s">
        <v>4202</v>
      </c>
      <c r="G987" t="s">
        <v>40</v>
      </c>
      <c r="H987" t="s">
        <v>94</v>
      </c>
      <c r="I987" s="1" t="s">
        <v>28</v>
      </c>
      <c r="J987" t="s">
        <v>64</v>
      </c>
      <c r="K987" t="s">
        <v>65</v>
      </c>
      <c r="L987" s="1">
        <v>123638</v>
      </c>
      <c r="M987" s="1" t="s">
        <v>66</v>
      </c>
      <c r="N987" t="s">
        <v>4203</v>
      </c>
      <c r="O987" t="s">
        <v>32</v>
      </c>
      <c r="P987" t="s">
        <v>33</v>
      </c>
      <c r="Q987" t="s">
        <v>34</v>
      </c>
      <c r="R987">
        <v>26242.35</v>
      </c>
      <c r="S987" s="25" t="e">
        <f>IF(Table1[[#This Row],[Sales]]=MIN(Table1[Sales]), Table1[[#This Row],[Sales]], NA())</f>
        <v>#N/A</v>
      </c>
      <c r="T987" s="25">
        <f>IF(AND(Table1[[#This Row],[Sales]]&lt;&gt;MIN(Table1[Sales]),Table1[[#This Row],[Sales]]&lt;&gt;MAX(Table1[Sales])), Table1[[#This Row],[Sales]], NA())</f>
        <v>26242.35</v>
      </c>
      <c r="U987" s="25" t="e">
        <f>IF(Table1[[#This Row],[Sales]]=MAX(Table1[Sales]), Table1[[#This Row],[Sales]], NA())</f>
        <v>#N/A</v>
      </c>
      <c r="V987">
        <v>8</v>
      </c>
      <c r="W987">
        <v>0.3</v>
      </c>
      <c r="X987">
        <v>131.21</v>
      </c>
      <c r="Y987" s="3">
        <f>YEAR(Table1[[#This Row],[Order Date]])</f>
        <v>2021</v>
      </c>
      <c r="Z987" s="3" t="str">
        <f>TEXT(Table1[[#This Row],[Order Date]],"MMM")</f>
        <v>Mar</v>
      </c>
      <c r="AA987" s="3">
        <f>DAY(Table1[[#This Row],[Order Date]])</f>
        <v>31</v>
      </c>
    </row>
    <row r="988" spans="1:27" x14ac:dyDescent="0.35">
      <c r="A988" s="1">
        <v>987</v>
      </c>
      <c r="B988" s="1" t="s">
        <v>4204</v>
      </c>
      <c r="C988" s="1" t="s">
        <v>2729</v>
      </c>
      <c r="D988" s="1" t="s">
        <v>176</v>
      </c>
      <c r="E988" t="s">
        <v>115</v>
      </c>
      <c r="F988" t="s">
        <v>4205</v>
      </c>
      <c r="G988" t="s">
        <v>188</v>
      </c>
      <c r="H988" t="s">
        <v>94</v>
      </c>
      <c r="I988" s="1" t="s">
        <v>28</v>
      </c>
      <c r="J988" t="s">
        <v>64</v>
      </c>
      <c r="K988" t="s">
        <v>65</v>
      </c>
      <c r="L988" s="1">
        <v>582193</v>
      </c>
      <c r="M988" s="1" t="s">
        <v>66</v>
      </c>
      <c r="N988" t="s">
        <v>4206</v>
      </c>
      <c r="O988" t="s">
        <v>68</v>
      </c>
      <c r="P988" t="s">
        <v>69</v>
      </c>
      <c r="Q988" t="s">
        <v>70</v>
      </c>
      <c r="R988">
        <v>73847.8</v>
      </c>
      <c r="S988" s="25" t="e">
        <f>IF(Table1[[#This Row],[Sales]]=MIN(Table1[Sales]), Table1[[#This Row],[Sales]], NA())</f>
        <v>#N/A</v>
      </c>
      <c r="T988" s="25">
        <f>IF(AND(Table1[[#This Row],[Sales]]&lt;&gt;MIN(Table1[Sales]),Table1[[#This Row],[Sales]]&lt;&gt;MAX(Table1[Sales])), Table1[[#This Row],[Sales]], NA())</f>
        <v>73847.8</v>
      </c>
      <c r="U988" s="25" t="e">
        <f>IF(Table1[[#This Row],[Sales]]=MAX(Table1[Sales]), Table1[[#This Row],[Sales]], NA())</f>
        <v>#N/A</v>
      </c>
      <c r="V988">
        <v>4</v>
      </c>
      <c r="W988">
        <v>0.2</v>
      </c>
      <c r="X988">
        <v>2215.4299999999998</v>
      </c>
      <c r="Y988" s="3">
        <f>YEAR(Table1[[#This Row],[Order Date]])</f>
        <v>2024</v>
      </c>
      <c r="Z988" s="3" t="str">
        <f>TEXT(Table1[[#This Row],[Order Date]],"MMM")</f>
        <v>Jun</v>
      </c>
      <c r="AA988" s="3">
        <f>DAY(Table1[[#This Row],[Order Date]])</f>
        <v>22</v>
      </c>
    </row>
    <row r="989" spans="1:27" x14ac:dyDescent="0.35">
      <c r="A989" s="1">
        <v>988</v>
      </c>
      <c r="B989" s="1" t="s">
        <v>4207</v>
      </c>
      <c r="C989" s="1" t="s">
        <v>2725</v>
      </c>
      <c r="D989" s="1" t="s">
        <v>3933</v>
      </c>
      <c r="E989" t="s">
        <v>62</v>
      </c>
      <c r="F989" t="s">
        <v>4208</v>
      </c>
      <c r="G989" t="s">
        <v>93</v>
      </c>
      <c r="H989" t="s">
        <v>27</v>
      </c>
      <c r="I989" s="1" t="s">
        <v>28</v>
      </c>
      <c r="J989" t="s">
        <v>64</v>
      </c>
      <c r="K989" t="s">
        <v>65</v>
      </c>
      <c r="L989" s="1">
        <v>156246</v>
      </c>
      <c r="M989" s="1" t="s">
        <v>66</v>
      </c>
      <c r="N989" t="s">
        <v>4209</v>
      </c>
      <c r="O989" t="s">
        <v>68</v>
      </c>
      <c r="P989" t="s">
        <v>69</v>
      </c>
      <c r="Q989" t="s">
        <v>70</v>
      </c>
      <c r="R989">
        <v>81197.649999999994</v>
      </c>
      <c r="S989" s="25" t="e">
        <f>IF(Table1[[#This Row],[Sales]]=MIN(Table1[Sales]), Table1[[#This Row],[Sales]], NA())</f>
        <v>#N/A</v>
      </c>
      <c r="T989" s="25">
        <f>IF(AND(Table1[[#This Row],[Sales]]&lt;&gt;MIN(Table1[Sales]),Table1[[#This Row],[Sales]]&lt;&gt;MAX(Table1[Sales])), Table1[[#This Row],[Sales]], NA())</f>
        <v>81197.649999999994</v>
      </c>
      <c r="U989" s="25" t="e">
        <f>IF(Table1[[#This Row],[Sales]]=MAX(Table1[Sales]), Table1[[#This Row],[Sales]], NA())</f>
        <v>#N/A</v>
      </c>
      <c r="V989">
        <v>3</v>
      </c>
      <c r="W989">
        <v>0.2</v>
      </c>
      <c r="X989">
        <v>2435.9299999999998</v>
      </c>
      <c r="Y989" s="3">
        <f>YEAR(Table1[[#This Row],[Order Date]])</f>
        <v>2024</v>
      </c>
      <c r="Z989" s="3" t="str">
        <f>TEXT(Table1[[#This Row],[Order Date]],"MMM")</f>
        <v>Jul</v>
      </c>
      <c r="AA989" s="3">
        <f>DAY(Table1[[#This Row],[Order Date]])</f>
        <v>1</v>
      </c>
    </row>
    <row r="990" spans="1:27" x14ac:dyDescent="0.35">
      <c r="A990" s="1">
        <v>989</v>
      </c>
      <c r="B990" s="1" t="s">
        <v>4210</v>
      </c>
      <c r="C990" s="1" t="s">
        <v>4211</v>
      </c>
      <c r="D990" s="1" t="s">
        <v>2151</v>
      </c>
      <c r="E990" t="s">
        <v>115</v>
      </c>
      <c r="F990" t="s">
        <v>4212</v>
      </c>
      <c r="G990" t="s">
        <v>140</v>
      </c>
      <c r="H990" t="s">
        <v>27</v>
      </c>
      <c r="I990" s="1" t="s">
        <v>28</v>
      </c>
      <c r="J990" t="s">
        <v>53</v>
      </c>
      <c r="K990" t="s">
        <v>54</v>
      </c>
      <c r="L990" s="1">
        <v>135063</v>
      </c>
      <c r="M990" s="1" t="s">
        <v>55</v>
      </c>
      <c r="N990" t="s">
        <v>4213</v>
      </c>
      <c r="O990" t="s">
        <v>46</v>
      </c>
      <c r="P990" t="s">
        <v>57</v>
      </c>
      <c r="Q990" t="s">
        <v>58</v>
      </c>
      <c r="R990">
        <v>28324.69</v>
      </c>
      <c r="S990" s="25" t="e">
        <f>IF(Table1[[#This Row],[Sales]]=MIN(Table1[Sales]), Table1[[#This Row],[Sales]], NA())</f>
        <v>#N/A</v>
      </c>
      <c r="T990" s="25">
        <f>IF(AND(Table1[[#This Row],[Sales]]&lt;&gt;MIN(Table1[Sales]),Table1[[#This Row],[Sales]]&lt;&gt;MAX(Table1[Sales])), Table1[[#This Row],[Sales]], NA())</f>
        <v>28324.69</v>
      </c>
      <c r="U990" s="25" t="e">
        <f>IF(Table1[[#This Row],[Sales]]=MAX(Table1[Sales]), Table1[[#This Row],[Sales]], NA())</f>
        <v>#N/A</v>
      </c>
      <c r="V990">
        <v>9</v>
      </c>
      <c r="W990">
        <v>0.3</v>
      </c>
      <c r="X990">
        <v>141.62</v>
      </c>
      <c r="Y990" s="3">
        <f>YEAR(Table1[[#This Row],[Order Date]])</f>
        <v>2024</v>
      </c>
      <c r="Z990" s="3" t="str">
        <f>TEXT(Table1[[#This Row],[Order Date]],"MMM")</f>
        <v>Jul</v>
      </c>
      <c r="AA990" s="3">
        <f>DAY(Table1[[#This Row],[Order Date]])</f>
        <v>8</v>
      </c>
    </row>
    <row r="991" spans="1:27" x14ac:dyDescent="0.35">
      <c r="A991" s="1">
        <v>990</v>
      </c>
      <c r="B991" s="1" t="s">
        <v>4214</v>
      </c>
      <c r="C991" s="1" t="s">
        <v>4215</v>
      </c>
      <c r="D991" s="1" t="s">
        <v>3346</v>
      </c>
      <c r="E991" t="s">
        <v>38</v>
      </c>
      <c r="F991" t="s">
        <v>4216</v>
      </c>
      <c r="G991" t="s">
        <v>140</v>
      </c>
      <c r="H991" t="s">
        <v>94</v>
      </c>
      <c r="I991" s="1" t="s">
        <v>28</v>
      </c>
      <c r="J991" t="s">
        <v>29</v>
      </c>
      <c r="K991" t="s">
        <v>29</v>
      </c>
      <c r="L991" s="1">
        <v>514111</v>
      </c>
      <c r="M991" s="1" t="s">
        <v>30</v>
      </c>
      <c r="N991" t="s">
        <v>4217</v>
      </c>
      <c r="O991" t="s">
        <v>46</v>
      </c>
      <c r="P991" t="s">
        <v>57</v>
      </c>
      <c r="Q991" t="s">
        <v>58</v>
      </c>
      <c r="R991">
        <v>77803.850000000006</v>
      </c>
      <c r="S991" s="25" t="e">
        <f>IF(Table1[[#This Row],[Sales]]=MIN(Table1[Sales]), Table1[[#This Row],[Sales]], NA())</f>
        <v>#N/A</v>
      </c>
      <c r="T991" s="25">
        <f>IF(AND(Table1[[#This Row],[Sales]]&lt;&gt;MIN(Table1[Sales]),Table1[[#This Row],[Sales]]&lt;&gt;MAX(Table1[Sales])), Table1[[#This Row],[Sales]], NA())</f>
        <v>77803.850000000006</v>
      </c>
      <c r="U991" s="25" t="e">
        <f>IF(Table1[[#This Row],[Sales]]=MAX(Table1[Sales]), Table1[[#This Row],[Sales]], NA())</f>
        <v>#N/A</v>
      </c>
      <c r="V991">
        <v>9</v>
      </c>
      <c r="W991">
        <v>0</v>
      </c>
      <c r="X991">
        <v>6224.31</v>
      </c>
      <c r="Y991" s="3">
        <f>YEAR(Table1[[#This Row],[Order Date]])</f>
        <v>2024</v>
      </c>
      <c r="Z991" s="3" t="str">
        <f>TEXT(Table1[[#This Row],[Order Date]],"MMM")</f>
        <v>Dec</v>
      </c>
      <c r="AA991" s="3">
        <f>DAY(Table1[[#This Row],[Order Date]])</f>
        <v>17</v>
      </c>
    </row>
    <row r="992" spans="1:27" x14ac:dyDescent="0.35">
      <c r="A992" s="1">
        <v>991</v>
      </c>
      <c r="B992" s="1" t="s">
        <v>4218</v>
      </c>
      <c r="C992" s="1" t="s">
        <v>3991</v>
      </c>
      <c r="D992" s="1" t="s">
        <v>2720</v>
      </c>
      <c r="E992" t="s">
        <v>62</v>
      </c>
      <c r="F992" t="s">
        <v>4219</v>
      </c>
      <c r="G992" t="s">
        <v>122</v>
      </c>
      <c r="H992" t="s">
        <v>27</v>
      </c>
      <c r="I992" s="1" t="s">
        <v>28</v>
      </c>
      <c r="J992" t="s">
        <v>53</v>
      </c>
      <c r="K992" t="s">
        <v>54</v>
      </c>
      <c r="L992" s="1">
        <v>711597</v>
      </c>
      <c r="M992" s="1" t="s">
        <v>55</v>
      </c>
      <c r="N992" t="s">
        <v>4220</v>
      </c>
      <c r="O992" t="s">
        <v>68</v>
      </c>
      <c r="P992" t="s">
        <v>69</v>
      </c>
      <c r="Q992" t="s">
        <v>70</v>
      </c>
      <c r="R992">
        <v>67468.37</v>
      </c>
      <c r="S992" s="25" t="e">
        <f>IF(Table1[[#This Row],[Sales]]=MIN(Table1[Sales]), Table1[[#This Row],[Sales]], NA())</f>
        <v>#N/A</v>
      </c>
      <c r="T992" s="25">
        <f>IF(AND(Table1[[#This Row],[Sales]]&lt;&gt;MIN(Table1[Sales]),Table1[[#This Row],[Sales]]&lt;&gt;MAX(Table1[Sales])), Table1[[#This Row],[Sales]], NA())</f>
        <v>67468.37</v>
      </c>
      <c r="U992" s="25" t="e">
        <f>IF(Table1[[#This Row],[Sales]]=MAX(Table1[Sales]), Table1[[#This Row],[Sales]], NA())</f>
        <v>#N/A</v>
      </c>
      <c r="V992">
        <v>10</v>
      </c>
      <c r="W992">
        <v>0.1</v>
      </c>
      <c r="X992">
        <v>3710.76</v>
      </c>
      <c r="Y992" s="3">
        <f>YEAR(Table1[[#This Row],[Order Date]])</f>
        <v>2024</v>
      </c>
      <c r="Z992" s="3" t="str">
        <f>TEXT(Table1[[#This Row],[Order Date]],"MMM")</f>
        <v>Nov</v>
      </c>
      <c r="AA992" s="3">
        <f>DAY(Table1[[#This Row],[Order Date]])</f>
        <v>22</v>
      </c>
    </row>
    <row r="993" spans="1:27" x14ac:dyDescent="0.35">
      <c r="A993" s="1">
        <v>992</v>
      </c>
      <c r="B993" s="1" t="s">
        <v>4221</v>
      </c>
      <c r="C993" s="1" t="s">
        <v>4222</v>
      </c>
      <c r="D993" s="1" t="s">
        <v>4223</v>
      </c>
      <c r="E993" t="s">
        <v>115</v>
      </c>
      <c r="F993" t="s">
        <v>4224</v>
      </c>
      <c r="G993" t="s">
        <v>40</v>
      </c>
      <c r="H993" t="s">
        <v>94</v>
      </c>
      <c r="I993" s="1" t="s">
        <v>28</v>
      </c>
      <c r="J993" t="s">
        <v>128</v>
      </c>
      <c r="K993" t="s">
        <v>129</v>
      </c>
      <c r="L993" s="1">
        <v>565626</v>
      </c>
      <c r="M993" s="1" t="s">
        <v>66</v>
      </c>
      <c r="N993" t="s">
        <v>4225</v>
      </c>
      <c r="O993" t="s">
        <v>68</v>
      </c>
      <c r="P993" t="s">
        <v>69</v>
      </c>
      <c r="Q993" t="s">
        <v>70</v>
      </c>
      <c r="R993">
        <v>47313.4</v>
      </c>
      <c r="S993" s="25" t="e">
        <f>IF(Table1[[#This Row],[Sales]]=MIN(Table1[Sales]), Table1[[#This Row],[Sales]], NA())</f>
        <v>#N/A</v>
      </c>
      <c r="T993" s="25">
        <f>IF(AND(Table1[[#This Row],[Sales]]&lt;&gt;MIN(Table1[Sales]),Table1[[#This Row],[Sales]]&lt;&gt;MAX(Table1[Sales])), Table1[[#This Row],[Sales]], NA())</f>
        <v>47313.4</v>
      </c>
      <c r="U993" s="25" t="e">
        <f>IF(Table1[[#This Row],[Sales]]=MAX(Table1[Sales]), Table1[[#This Row],[Sales]], NA())</f>
        <v>#N/A</v>
      </c>
      <c r="V993">
        <v>3</v>
      </c>
      <c r="W993">
        <v>0.1</v>
      </c>
      <c r="X993">
        <v>2602.2399999999998</v>
      </c>
      <c r="Y993" s="3">
        <f>YEAR(Table1[[#This Row],[Order Date]])</f>
        <v>2023</v>
      </c>
      <c r="Z993" s="3" t="str">
        <f>TEXT(Table1[[#This Row],[Order Date]],"MMM")</f>
        <v>Jan</v>
      </c>
      <c r="AA993" s="3">
        <f>DAY(Table1[[#This Row],[Order Date]])</f>
        <v>12</v>
      </c>
    </row>
    <row r="994" spans="1:27" x14ac:dyDescent="0.35">
      <c r="A994" s="1">
        <v>993</v>
      </c>
      <c r="B994" s="1" t="s">
        <v>4226</v>
      </c>
      <c r="C994" s="1" t="s">
        <v>1253</v>
      </c>
      <c r="D994" s="1" t="s">
        <v>3901</v>
      </c>
      <c r="E994" t="s">
        <v>115</v>
      </c>
      <c r="F994" t="s">
        <v>4227</v>
      </c>
      <c r="G994" t="s">
        <v>75</v>
      </c>
      <c r="H994" t="s">
        <v>41</v>
      </c>
      <c r="I994" s="1" t="s">
        <v>28</v>
      </c>
      <c r="J994" t="s">
        <v>42</v>
      </c>
      <c r="K994" t="s">
        <v>43</v>
      </c>
      <c r="L994" s="1">
        <v>929234</v>
      </c>
      <c r="M994" s="1" t="s">
        <v>44</v>
      </c>
      <c r="N994" t="s">
        <v>4228</v>
      </c>
      <c r="O994" t="s">
        <v>68</v>
      </c>
      <c r="P994" t="s">
        <v>69</v>
      </c>
      <c r="Q994" t="s">
        <v>70</v>
      </c>
      <c r="R994">
        <v>72169</v>
      </c>
      <c r="S994" s="25" t="e">
        <f>IF(Table1[[#This Row],[Sales]]=MIN(Table1[Sales]), Table1[[#This Row],[Sales]], NA())</f>
        <v>#N/A</v>
      </c>
      <c r="T994" s="25">
        <f>IF(AND(Table1[[#This Row],[Sales]]&lt;&gt;MIN(Table1[Sales]),Table1[[#This Row],[Sales]]&lt;&gt;MAX(Table1[Sales])), Table1[[#This Row],[Sales]], NA())</f>
        <v>72169</v>
      </c>
      <c r="U994" s="25" t="e">
        <f>IF(Table1[[#This Row],[Sales]]=MAX(Table1[Sales]), Table1[[#This Row],[Sales]], NA())</f>
        <v>#N/A</v>
      </c>
      <c r="V994">
        <v>5</v>
      </c>
      <c r="W994">
        <v>0.2</v>
      </c>
      <c r="X994">
        <v>2165.0700000000002</v>
      </c>
      <c r="Y994" s="3">
        <f>YEAR(Table1[[#This Row],[Order Date]])</f>
        <v>2022</v>
      </c>
      <c r="Z994" s="3" t="str">
        <f>TEXT(Table1[[#This Row],[Order Date]],"MMM")</f>
        <v>Feb</v>
      </c>
      <c r="AA994" s="3">
        <f>DAY(Table1[[#This Row],[Order Date]])</f>
        <v>24</v>
      </c>
    </row>
    <row r="995" spans="1:27" x14ac:dyDescent="0.35">
      <c r="A995" s="1">
        <v>994</v>
      </c>
      <c r="B995" s="1" t="s">
        <v>4229</v>
      </c>
      <c r="C995" s="1" t="s">
        <v>2857</v>
      </c>
      <c r="D995" s="1" t="s">
        <v>2399</v>
      </c>
      <c r="E995" t="s">
        <v>115</v>
      </c>
      <c r="F995" t="s">
        <v>4230</v>
      </c>
      <c r="G995" t="s">
        <v>110</v>
      </c>
      <c r="H995" t="s">
        <v>41</v>
      </c>
      <c r="I995" s="1" t="s">
        <v>28</v>
      </c>
      <c r="J995" t="s">
        <v>42</v>
      </c>
      <c r="K995" t="s">
        <v>43</v>
      </c>
      <c r="L995" s="1">
        <v>749663</v>
      </c>
      <c r="M995" s="1" t="s">
        <v>44</v>
      </c>
      <c r="N995" t="s">
        <v>4231</v>
      </c>
      <c r="O995" t="s">
        <v>68</v>
      </c>
      <c r="P995" t="s">
        <v>69</v>
      </c>
      <c r="Q995" t="s">
        <v>70</v>
      </c>
      <c r="R995">
        <v>93438.78</v>
      </c>
      <c r="S995" s="25" t="e">
        <f>IF(Table1[[#This Row],[Sales]]=MIN(Table1[Sales]), Table1[[#This Row],[Sales]], NA())</f>
        <v>#N/A</v>
      </c>
      <c r="T995" s="25">
        <f>IF(AND(Table1[[#This Row],[Sales]]&lt;&gt;MIN(Table1[Sales]),Table1[[#This Row],[Sales]]&lt;&gt;MAX(Table1[Sales])), Table1[[#This Row],[Sales]], NA())</f>
        <v>93438.78</v>
      </c>
      <c r="U995" s="25" t="e">
        <f>IF(Table1[[#This Row],[Sales]]=MAX(Table1[Sales]), Table1[[#This Row],[Sales]], NA())</f>
        <v>#N/A</v>
      </c>
      <c r="V995">
        <v>7</v>
      </c>
      <c r="W995">
        <v>0.3</v>
      </c>
      <c r="X995">
        <v>467.19</v>
      </c>
      <c r="Y995" s="3">
        <f>YEAR(Table1[[#This Row],[Order Date]])</f>
        <v>2024</v>
      </c>
      <c r="Z995" s="3" t="str">
        <f>TEXT(Table1[[#This Row],[Order Date]],"MMM")</f>
        <v>Nov</v>
      </c>
      <c r="AA995" s="3">
        <f>DAY(Table1[[#This Row],[Order Date]])</f>
        <v>8</v>
      </c>
    </row>
    <row r="996" spans="1:27" x14ac:dyDescent="0.35">
      <c r="A996" s="1">
        <v>995</v>
      </c>
      <c r="B996" s="1" t="s">
        <v>4232</v>
      </c>
      <c r="C996" s="1" t="s">
        <v>4233</v>
      </c>
      <c r="D996" s="1" t="s">
        <v>4234</v>
      </c>
      <c r="E996" t="s">
        <v>24</v>
      </c>
      <c r="F996" t="s">
        <v>4235</v>
      </c>
      <c r="G996" t="s">
        <v>188</v>
      </c>
      <c r="H996" t="s">
        <v>94</v>
      </c>
      <c r="I996" s="1" t="s">
        <v>28</v>
      </c>
      <c r="J996" t="s">
        <v>42</v>
      </c>
      <c r="K996" t="s">
        <v>43</v>
      </c>
      <c r="L996" s="1">
        <v>275103</v>
      </c>
      <c r="M996" s="1" t="s">
        <v>44</v>
      </c>
      <c r="N996" t="s">
        <v>4236</v>
      </c>
      <c r="O996" t="s">
        <v>68</v>
      </c>
      <c r="P996" t="s">
        <v>69</v>
      </c>
      <c r="Q996" t="s">
        <v>70</v>
      </c>
      <c r="R996">
        <v>86750.73</v>
      </c>
      <c r="S996" s="25" t="e">
        <f>IF(Table1[[#This Row],[Sales]]=MIN(Table1[Sales]), Table1[[#This Row],[Sales]], NA())</f>
        <v>#N/A</v>
      </c>
      <c r="T996" s="25">
        <f>IF(AND(Table1[[#This Row],[Sales]]&lt;&gt;MIN(Table1[Sales]),Table1[[#This Row],[Sales]]&lt;&gt;MAX(Table1[Sales])), Table1[[#This Row],[Sales]], NA())</f>
        <v>86750.73</v>
      </c>
      <c r="U996" s="25" t="e">
        <f>IF(Table1[[#This Row],[Sales]]=MAX(Table1[Sales]), Table1[[#This Row],[Sales]], NA())</f>
        <v>#N/A</v>
      </c>
      <c r="V996">
        <v>2</v>
      </c>
      <c r="W996">
        <v>0.3</v>
      </c>
      <c r="X996">
        <v>433.75</v>
      </c>
      <c r="Y996" s="3">
        <f>YEAR(Table1[[#This Row],[Order Date]])</f>
        <v>2022</v>
      </c>
      <c r="Z996" s="3" t="str">
        <f>TEXT(Table1[[#This Row],[Order Date]],"MMM")</f>
        <v>Oct</v>
      </c>
      <c r="AA996" s="3">
        <f>DAY(Table1[[#This Row],[Order Date]])</f>
        <v>2</v>
      </c>
    </row>
    <row r="997" spans="1:27" x14ac:dyDescent="0.35">
      <c r="A997" s="1">
        <v>996</v>
      </c>
      <c r="B997" s="1" t="s">
        <v>4237</v>
      </c>
      <c r="C997" s="1" t="s">
        <v>3057</v>
      </c>
      <c r="D997" s="1" t="s">
        <v>4238</v>
      </c>
      <c r="E997" t="s">
        <v>38</v>
      </c>
      <c r="F997" t="s">
        <v>4239</v>
      </c>
      <c r="G997" t="s">
        <v>110</v>
      </c>
      <c r="H997" t="s">
        <v>94</v>
      </c>
      <c r="I997" s="1" t="s">
        <v>28</v>
      </c>
      <c r="J997" t="s">
        <v>42</v>
      </c>
      <c r="K997" t="s">
        <v>43</v>
      </c>
      <c r="L997" s="1">
        <v>669988</v>
      </c>
      <c r="M997" s="1" t="s">
        <v>44</v>
      </c>
      <c r="N997" t="s">
        <v>4240</v>
      </c>
      <c r="O997" t="s">
        <v>46</v>
      </c>
      <c r="P997" t="s">
        <v>57</v>
      </c>
      <c r="Q997" t="s">
        <v>58</v>
      </c>
      <c r="R997">
        <v>58329.46</v>
      </c>
      <c r="S997" s="25" t="e">
        <f>IF(Table1[[#This Row],[Sales]]=MIN(Table1[Sales]), Table1[[#This Row],[Sales]], NA())</f>
        <v>#N/A</v>
      </c>
      <c r="T997" s="25">
        <f>IF(AND(Table1[[#This Row],[Sales]]&lt;&gt;MIN(Table1[Sales]),Table1[[#This Row],[Sales]]&lt;&gt;MAX(Table1[Sales])), Table1[[#This Row],[Sales]], NA())</f>
        <v>58329.46</v>
      </c>
      <c r="U997" s="25" t="e">
        <f>IF(Table1[[#This Row],[Sales]]=MAX(Table1[Sales]), Table1[[#This Row],[Sales]], NA())</f>
        <v>#N/A</v>
      </c>
      <c r="V997">
        <v>4</v>
      </c>
      <c r="W997">
        <v>0.1</v>
      </c>
      <c r="X997">
        <v>3208.12</v>
      </c>
      <c r="Y997" s="3">
        <f>YEAR(Table1[[#This Row],[Order Date]])</f>
        <v>2023</v>
      </c>
      <c r="Z997" s="3" t="str">
        <f>TEXT(Table1[[#This Row],[Order Date]],"MMM")</f>
        <v>Dec</v>
      </c>
      <c r="AA997" s="3">
        <f>DAY(Table1[[#This Row],[Order Date]])</f>
        <v>8</v>
      </c>
    </row>
    <row r="998" spans="1:27" x14ac:dyDescent="0.35">
      <c r="A998" s="1">
        <v>997</v>
      </c>
      <c r="B998" s="1" t="s">
        <v>4241</v>
      </c>
      <c r="C998" s="1" t="s">
        <v>2340</v>
      </c>
      <c r="D998" s="1" t="s">
        <v>4242</v>
      </c>
      <c r="E998" t="s">
        <v>115</v>
      </c>
      <c r="F998" t="s">
        <v>4243</v>
      </c>
      <c r="G998" t="s">
        <v>81</v>
      </c>
      <c r="H998" t="s">
        <v>27</v>
      </c>
      <c r="I998" s="1" t="s">
        <v>28</v>
      </c>
      <c r="J998" t="s">
        <v>29</v>
      </c>
      <c r="K998" t="s">
        <v>29</v>
      </c>
      <c r="L998" s="1">
        <v>547750</v>
      </c>
      <c r="M998" s="1" t="s">
        <v>30</v>
      </c>
      <c r="N998" t="s">
        <v>4244</v>
      </c>
      <c r="O998" t="s">
        <v>46</v>
      </c>
      <c r="P998" t="s">
        <v>47</v>
      </c>
      <c r="Q998" t="s">
        <v>48</v>
      </c>
      <c r="R998">
        <v>42173.7</v>
      </c>
      <c r="S998" s="25" t="e">
        <f>IF(Table1[[#This Row],[Sales]]=MIN(Table1[Sales]), Table1[[#This Row],[Sales]], NA())</f>
        <v>#N/A</v>
      </c>
      <c r="T998" s="25">
        <f>IF(AND(Table1[[#This Row],[Sales]]&lt;&gt;MIN(Table1[Sales]),Table1[[#This Row],[Sales]]&lt;&gt;MAX(Table1[Sales])), Table1[[#This Row],[Sales]], NA())</f>
        <v>42173.7</v>
      </c>
      <c r="U998" s="25" t="e">
        <f>IF(Table1[[#This Row],[Sales]]=MAX(Table1[Sales]), Table1[[#This Row],[Sales]], NA())</f>
        <v>#N/A</v>
      </c>
      <c r="V998">
        <v>2</v>
      </c>
      <c r="W998">
        <v>0.3</v>
      </c>
      <c r="X998">
        <v>210.87</v>
      </c>
      <c r="Y998" s="3">
        <f>YEAR(Table1[[#This Row],[Order Date]])</f>
        <v>2023</v>
      </c>
      <c r="Z998" s="3" t="str">
        <f>TEXT(Table1[[#This Row],[Order Date]],"MMM")</f>
        <v>Jan</v>
      </c>
      <c r="AA998" s="3">
        <f>DAY(Table1[[#This Row],[Order Date]])</f>
        <v>7</v>
      </c>
    </row>
    <row r="999" spans="1:27" x14ac:dyDescent="0.35">
      <c r="A999" s="1">
        <v>998</v>
      </c>
      <c r="B999" s="1" t="s">
        <v>4245</v>
      </c>
      <c r="C999" s="1" t="s">
        <v>616</v>
      </c>
      <c r="D999" s="1" t="s">
        <v>2962</v>
      </c>
      <c r="E999" t="s">
        <v>38</v>
      </c>
      <c r="F999" t="s">
        <v>4246</v>
      </c>
      <c r="G999" t="s">
        <v>26</v>
      </c>
      <c r="H999" t="s">
        <v>94</v>
      </c>
      <c r="I999" s="1" t="s">
        <v>28</v>
      </c>
      <c r="J999" t="s">
        <v>64</v>
      </c>
      <c r="K999" t="s">
        <v>65</v>
      </c>
      <c r="L999" s="1">
        <v>392820</v>
      </c>
      <c r="M999" s="1" t="s">
        <v>66</v>
      </c>
      <c r="N999" t="s">
        <v>4247</v>
      </c>
      <c r="O999" t="s">
        <v>68</v>
      </c>
      <c r="P999" t="s">
        <v>69</v>
      </c>
      <c r="Q999" t="s">
        <v>70</v>
      </c>
      <c r="R999">
        <v>11266.03</v>
      </c>
      <c r="S999" s="25" t="e">
        <f>IF(Table1[[#This Row],[Sales]]=MIN(Table1[Sales]), Table1[[#This Row],[Sales]], NA())</f>
        <v>#N/A</v>
      </c>
      <c r="T999" s="25">
        <f>IF(AND(Table1[[#This Row],[Sales]]&lt;&gt;MIN(Table1[Sales]),Table1[[#This Row],[Sales]]&lt;&gt;MAX(Table1[Sales])), Table1[[#This Row],[Sales]], NA())</f>
        <v>11266.03</v>
      </c>
      <c r="U999" s="25" t="e">
        <f>IF(Table1[[#This Row],[Sales]]=MAX(Table1[Sales]), Table1[[#This Row],[Sales]], NA())</f>
        <v>#N/A</v>
      </c>
      <c r="V999">
        <v>8</v>
      </c>
      <c r="W999">
        <v>0.1</v>
      </c>
      <c r="X999">
        <v>619.63</v>
      </c>
      <c r="Y999" s="3">
        <f>YEAR(Table1[[#This Row],[Order Date]])</f>
        <v>2023</v>
      </c>
      <c r="Z999" s="3" t="str">
        <f>TEXT(Table1[[#This Row],[Order Date]],"MMM")</f>
        <v>Mar</v>
      </c>
      <c r="AA999" s="3">
        <f>DAY(Table1[[#This Row],[Order Date]])</f>
        <v>12</v>
      </c>
    </row>
    <row r="1000" spans="1:27" x14ac:dyDescent="0.35">
      <c r="A1000" s="1">
        <v>999</v>
      </c>
      <c r="B1000" s="1" t="s">
        <v>4248</v>
      </c>
      <c r="C1000" s="1" t="s">
        <v>3191</v>
      </c>
      <c r="D1000" s="1" t="s">
        <v>4249</v>
      </c>
      <c r="E1000" t="s">
        <v>62</v>
      </c>
      <c r="F1000" t="s">
        <v>4250</v>
      </c>
      <c r="G1000" t="s">
        <v>110</v>
      </c>
      <c r="H1000" t="s">
        <v>41</v>
      </c>
      <c r="I1000" s="1" t="s">
        <v>28</v>
      </c>
      <c r="J1000" t="s">
        <v>53</v>
      </c>
      <c r="K1000" t="s">
        <v>54</v>
      </c>
      <c r="L1000" s="1">
        <v>590992</v>
      </c>
      <c r="M1000" s="1" t="s">
        <v>55</v>
      </c>
      <c r="N1000" t="s">
        <v>4251</v>
      </c>
      <c r="O1000" t="s">
        <v>46</v>
      </c>
      <c r="P1000" t="s">
        <v>47</v>
      </c>
      <c r="Q1000" t="s">
        <v>48</v>
      </c>
      <c r="R1000">
        <v>66984.320000000007</v>
      </c>
      <c r="S1000" s="25" t="e">
        <f>IF(Table1[[#This Row],[Sales]]=MIN(Table1[Sales]), Table1[[#This Row],[Sales]], NA())</f>
        <v>#N/A</v>
      </c>
      <c r="T1000" s="25">
        <f>IF(AND(Table1[[#This Row],[Sales]]&lt;&gt;MIN(Table1[Sales]),Table1[[#This Row],[Sales]]&lt;&gt;MAX(Table1[Sales])), Table1[[#This Row],[Sales]], NA())</f>
        <v>66984.320000000007</v>
      </c>
      <c r="U1000" s="25" t="e">
        <f>IF(Table1[[#This Row],[Sales]]=MAX(Table1[Sales]), Table1[[#This Row],[Sales]], NA())</f>
        <v>#N/A</v>
      </c>
      <c r="V1000">
        <v>7</v>
      </c>
      <c r="W1000">
        <v>0.3</v>
      </c>
      <c r="X1000">
        <v>334.92</v>
      </c>
      <c r="Y1000" s="3">
        <f>YEAR(Table1[[#This Row],[Order Date]])</f>
        <v>2022</v>
      </c>
      <c r="Z1000" s="3" t="str">
        <f>TEXT(Table1[[#This Row],[Order Date]],"MMM")</f>
        <v>Oct</v>
      </c>
      <c r="AA1000" s="3">
        <f>DAY(Table1[[#This Row],[Order Date]])</f>
        <v>23</v>
      </c>
    </row>
    <row r="1001" spans="1:27" x14ac:dyDescent="0.35">
      <c r="A1001" s="1">
        <v>1000</v>
      </c>
      <c r="B1001" s="1" t="s">
        <v>4252</v>
      </c>
      <c r="C1001" s="1" t="s">
        <v>114</v>
      </c>
      <c r="D1001" s="1" t="s">
        <v>3095</v>
      </c>
      <c r="E1001" t="s">
        <v>38</v>
      </c>
      <c r="F1001" t="s">
        <v>4253</v>
      </c>
      <c r="G1001" t="s">
        <v>26</v>
      </c>
      <c r="H1001" t="s">
        <v>27</v>
      </c>
      <c r="I1001" s="1" t="s">
        <v>28</v>
      </c>
      <c r="J1001" t="s">
        <v>29</v>
      </c>
      <c r="K1001" t="s">
        <v>29</v>
      </c>
      <c r="L1001" s="1">
        <v>998304</v>
      </c>
      <c r="M1001" s="1" t="s">
        <v>30</v>
      </c>
      <c r="N1001" t="s">
        <v>4254</v>
      </c>
      <c r="O1001" t="s">
        <v>68</v>
      </c>
      <c r="P1001" t="s">
        <v>69</v>
      </c>
      <c r="Q1001" t="s">
        <v>70</v>
      </c>
      <c r="R1001">
        <v>98111.24</v>
      </c>
      <c r="S1001" s="25" t="e">
        <f>IF(Table1[[#This Row],[Sales]]=MIN(Table1[Sales]), Table1[[#This Row],[Sales]], NA())</f>
        <v>#N/A</v>
      </c>
      <c r="T1001" s="25">
        <f>IF(AND(Table1[[#This Row],[Sales]]&lt;&gt;MIN(Table1[Sales]),Table1[[#This Row],[Sales]]&lt;&gt;MAX(Table1[Sales])), Table1[[#This Row],[Sales]], NA())</f>
        <v>98111.24</v>
      </c>
      <c r="U1001" s="25" t="e">
        <f>IF(Table1[[#This Row],[Sales]]=MAX(Table1[Sales]), Table1[[#This Row],[Sales]], NA())</f>
        <v>#N/A</v>
      </c>
      <c r="V1001">
        <v>6</v>
      </c>
      <c r="W1001">
        <v>0.3</v>
      </c>
      <c r="X1001">
        <v>490.56</v>
      </c>
      <c r="Y1001" s="3">
        <f>YEAR(Table1[[#This Row],[Order Date]])</f>
        <v>2021</v>
      </c>
      <c r="Z1001" s="3" t="str">
        <f>TEXT(Table1[[#This Row],[Order Date]],"MMM")</f>
        <v>Oct</v>
      </c>
      <c r="AA1001" s="3">
        <f>DAY(Table1[[#This Row],[Order Date]])</f>
        <v>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AF76-569A-46AD-8C10-18734E2EDFD9}">
  <sheetPr codeName="Sheet2">
    <tabColor rgb="FFFF0000"/>
  </sheetPr>
  <dimension ref="A2:AK39"/>
  <sheetViews>
    <sheetView showGridLines="0" topLeftCell="A3" zoomScale="80" zoomScaleNormal="80" workbookViewId="0">
      <selection activeCell="C7" sqref="C7"/>
    </sheetView>
  </sheetViews>
  <sheetFormatPr defaultRowHeight="14.5" x14ac:dyDescent="0.35"/>
  <cols>
    <col min="1" max="1" width="8.26953125" customWidth="1"/>
    <col min="2" max="3" width="22.6328125" customWidth="1"/>
    <col min="4" max="4" width="22.6328125" style="1" customWidth="1"/>
    <col min="5" max="6" width="22.1796875" customWidth="1"/>
    <col min="7" max="7" width="9" customWidth="1"/>
    <col min="8" max="8" width="10.26953125" customWidth="1"/>
    <col min="9" max="9" width="1.36328125" customWidth="1"/>
    <col min="10" max="10" width="7.90625" customWidth="1"/>
    <col min="11" max="11" width="9.54296875" style="7" customWidth="1"/>
    <col min="12" max="12" width="4.6328125" customWidth="1"/>
    <col min="13" max="13" width="13.36328125" bestFit="1" customWidth="1"/>
    <col min="14" max="14" width="5.54296875" customWidth="1"/>
    <col min="15" max="15" width="1.54296875" customWidth="1"/>
    <col min="16" max="16" width="13.36328125" bestFit="1" customWidth="1"/>
    <col min="17" max="17" width="11.90625" bestFit="1" customWidth="1"/>
    <col min="18" max="18" width="1.81640625" customWidth="1"/>
    <col min="19" max="19" width="13.36328125" bestFit="1" customWidth="1"/>
    <col min="20" max="20" width="8" customWidth="1"/>
    <col min="21" max="21" width="1.7265625" customWidth="1"/>
    <col min="22" max="22" width="1.81640625" customWidth="1"/>
    <col min="23" max="23" width="13.36328125" bestFit="1" customWidth="1"/>
    <col min="24" max="24" width="11.6328125" customWidth="1"/>
    <col min="25" max="25" width="2" customWidth="1"/>
    <col min="27" max="27" width="12" customWidth="1"/>
    <col min="28" max="28" width="6" customWidth="1"/>
    <col min="29" max="29" width="1.6328125" customWidth="1"/>
    <col min="30" max="30" width="10.6328125" customWidth="1"/>
    <col min="31" max="31" width="7" customWidth="1"/>
    <col min="32" max="32" width="2.453125" customWidth="1"/>
    <col min="34" max="34" width="14.54296875" bestFit="1" customWidth="1"/>
    <col min="37" max="37" width="11.90625" bestFit="1" customWidth="1"/>
  </cols>
  <sheetData>
    <row r="2" spans="1:37" x14ac:dyDescent="0.35">
      <c r="B2" s="10">
        <f>GETPIVOTDATA("Sales",$A$7)</f>
        <v>50000767.440000005</v>
      </c>
      <c r="C2" s="10"/>
      <c r="D2" s="26"/>
    </row>
    <row r="3" spans="1:37" x14ac:dyDescent="0.35">
      <c r="B3" s="10">
        <f>GETPIVOTDATA("Profit",$G$7)</f>
        <v>2019593.4000000001</v>
      </c>
      <c r="C3" s="10"/>
      <c r="D3" s="26"/>
    </row>
    <row r="4" spans="1:37" x14ac:dyDescent="0.35">
      <c r="B4" s="11">
        <f>B3/B2</f>
        <v>4.0391248042812036E-2</v>
      </c>
      <c r="C4" s="11"/>
      <c r="D4" s="27"/>
    </row>
    <row r="5" spans="1:37" x14ac:dyDescent="0.35">
      <c r="B5" s="12">
        <f>GETPIVOTDATA("Quantity",$J$7)</f>
        <v>5452</v>
      </c>
      <c r="C5" s="12"/>
      <c r="D5" s="28"/>
    </row>
    <row r="7" spans="1:37" x14ac:dyDescent="0.35">
      <c r="A7" s="6" t="s">
        <v>4258</v>
      </c>
      <c r="B7" t="s">
        <v>4261</v>
      </c>
      <c r="C7" t="s">
        <v>4281</v>
      </c>
      <c r="D7" s="1" t="s">
        <v>4282</v>
      </c>
      <c r="E7" t="s">
        <v>4283</v>
      </c>
      <c r="G7" s="6" t="s">
        <v>4258</v>
      </c>
      <c r="H7" t="s">
        <v>4262</v>
      </c>
      <c r="J7" s="6" t="s">
        <v>4258</v>
      </c>
      <c r="K7" s="7" t="s">
        <v>4264</v>
      </c>
      <c r="M7" s="6" t="s">
        <v>4258</v>
      </c>
      <c r="N7" s="7" t="s">
        <v>4261</v>
      </c>
      <c r="P7" s="6" t="s">
        <v>4258</v>
      </c>
      <c r="Q7" s="7" t="s">
        <v>4261</v>
      </c>
      <c r="S7" s="6" t="s">
        <v>4258</v>
      </c>
      <c r="T7" s="7" t="s">
        <v>4263</v>
      </c>
      <c r="W7" s="6" t="s">
        <v>4258</v>
      </c>
      <c r="X7" s="7" t="s">
        <v>4261</v>
      </c>
      <c r="Z7" s="6" t="s">
        <v>4258</v>
      </c>
      <c r="AA7" t="s">
        <v>4266</v>
      </c>
      <c r="AB7" t="s">
        <v>4265</v>
      </c>
      <c r="AD7" s="6" t="s">
        <v>4258</v>
      </c>
      <c r="AE7" s="7" t="s">
        <v>4261</v>
      </c>
      <c r="AG7" s="6" t="s">
        <v>4258</v>
      </c>
      <c r="AH7" s="7" t="s">
        <v>4261</v>
      </c>
      <c r="AJ7" s="6" t="s">
        <v>4258</v>
      </c>
      <c r="AK7" s="7" t="s">
        <v>4261</v>
      </c>
    </row>
    <row r="8" spans="1:37" x14ac:dyDescent="0.35">
      <c r="A8" s="7" t="s">
        <v>4267</v>
      </c>
      <c r="B8" s="8">
        <v>4218182.3699999992</v>
      </c>
      <c r="C8" s="8" t="e">
        <v>#N/A</v>
      </c>
      <c r="D8" s="29">
        <v>4218182.3699999992</v>
      </c>
      <c r="E8" s="8" t="e">
        <v>#N/A</v>
      </c>
      <c r="F8" s="8"/>
      <c r="G8" s="7" t="s">
        <v>4267</v>
      </c>
      <c r="H8" s="9">
        <v>174459.08</v>
      </c>
      <c r="J8" s="7" t="s">
        <v>4267</v>
      </c>
      <c r="K8" s="14">
        <v>454</v>
      </c>
      <c r="M8" s="7" t="s">
        <v>115</v>
      </c>
      <c r="N8" s="16">
        <v>0.24158840790784472</v>
      </c>
      <c r="P8" s="7" t="s">
        <v>94</v>
      </c>
      <c r="Q8" s="16">
        <v>0.33325508393436787</v>
      </c>
      <c r="S8" s="7" t="s">
        <v>32</v>
      </c>
      <c r="T8" s="15">
        <v>0.23422597212032281</v>
      </c>
      <c r="W8" s="7" t="s">
        <v>64</v>
      </c>
      <c r="X8" s="13">
        <v>9289821.1899999976</v>
      </c>
      <c r="Z8" s="7" t="s">
        <v>55</v>
      </c>
      <c r="AA8" s="13">
        <v>11740186.449999994</v>
      </c>
      <c r="AB8" s="16">
        <v>0.23480012509983972</v>
      </c>
      <c r="AD8" s="7" t="s">
        <v>32</v>
      </c>
      <c r="AE8" s="16">
        <v>0.22650995934393595</v>
      </c>
      <c r="AG8" s="7" t="s">
        <v>33</v>
      </c>
      <c r="AH8" s="13">
        <v>11325671.799999999</v>
      </c>
      <c r="AJ8" s="7">
        <v>1</v>
      </c>
      <c r="AK8" s="13">
        <v>2548838.1899999995</v>
      </c>
    </row>
    <row r="9" spans="1:37" x14ac:dyDescent="0.35">
      <c r="A9" s="7" t="s">
        <v>4268</v>
      </c>
      <c r="B9" s="8">
        <v>4004733.4599999995</v>
      </c>
      <c r="C9" s="8" t="e">
        <v>#N/A</v>
      </c>
      <c r="D9" s="29">
        <v>4004733.4599999995</v>
      </c>
      <c r="E9" s="8" t="e">
        <v>#N/A</v>
      </c>
      <c r="F9" s="8"/>
      <c r="G9" s="7" t="s">
        <v>4268</v>
      </c>
      <c r="H9" s="9">
        <v>154945.89999999997</v>
      </c>
      <c r="J9" s="7" t="s">
        <v>4268</v>
      </c>
      <c r="K9" s="14">
        <v>480</v>
      </c>
      <c r="M9" s="7" t="s">
        <v>38</v>
      </c>
      <c r="N9" s="16">
        <v>0.27273744780746129</v>
      </c>
      <c r="P9" s="7" t="s">
        <v>41</v>
      </c>
      <c r="Q9" s="16">
        <v>0.34751964079053727</v>
      </c>
      <c r="S9" s="7" t="s">
        <v>68</v>
      </c>
      <c r="T9" s="15">
        <v>0.23936170212765959</v>
      </c>
      <c r="W9" s="7" t="s">
        <v>42</v>
      </c>
      <c r="X9" s="13">
        <v>8893364.1899999995</v>
      </c>
      <c r="Z9" s="7" t="s">
        <v>30</v>
      </c>
      <c r="AA9" s="13">
        <v>9569817.4899999928</v>
      </c>
      <c r="AB9" s="16">
        <v>0.19139341214079558</v>
      </c>
      <c r="AD9" s="7" t="s">
        <v>68</v>
      </c>
      <c r="AE9" s="16">
        <v>0.25152288422555436</v>
      </c>
      <c r="AG9" s="7" t="s">
        <v>47</v>
      </c>
      <c r="AH9" s="13">
        <v>12196887.690000003</v>
      </c>
      <c r="AJ9" s="7">
        <v>2</v>
      </c>
      <c r="AK9" s="13">
        <v>2451303.84</v>
      </c>
    </row>
    <row r="10" spans="1:37" x14ac:dyDescent="0.35">
      <c r="A10" s="7" t="s">
        <v>4269</v>
      </c>
      <c r="B10" s="8">
        <v>3653886.2299999995</v>
      </c>
      <c r="C10" s="8" t="e">
        <v>#N/A</v>
      </c>
      <c r="D10" s="29">
        <v>3653886.2299999995</v>
      </c>
      <c r="E10" s="8" t="e">
        <v>#N/A</v>
      </c>
      <c r="F10" s="8"/>
      <c r="G10" s="7" t="s">
        <v>4269</v>
      </c>
      <c r="H10" s="9">
        <v>141709.54</v>
      </c>
      <c r="J10" s="7" t="s">
        <v>4269</v>
      </c>
      <c r="K10" s="14">
        <v>368</v>
      </c>
      <c r="M10" s="7" t="s">
        <v>24</v>
      </c>
      <c r="N10" s="16">
        <v>0.24906247098994524</v>
      </c>
      <c r="P10" s="7" t="s">
        <v>27</v>
      </c>
      <c r="Q10" s="16">
        <v>0.31922527527509481</v>
      </c>
      <c r="S10" s="7" t="s">
        <v>46</v>
      </c>
      <c r="T10" s="15">
        <v>0.52641232575201757</v>
      </c>
      <c r="W10" s="7" t="s">
        <v>29</v>
      </c>
      <c r="X10" s="13">
        <v>9569817.4899999928</v>
      </c>
      <c r="Z10" s="7" t="s">
        <v>44</v>
      </c>
      <c r="AA10" s="13">
        <v>8893364.1899999995</v>
      </c>
      <c r="AB10" s="16">
        <v>0.17786455379253671</v>
      </c>
      <c r="AD10" s="7" t="s">
        <v>46</v>
      </c>
      <c r="AE10" s="16">
        <v>0.52196715643050962</v>
      </c>
      <c r="AG10" s="7" t="s">
        <v>69</v>
      </c>
      <c r="AH10" s="13">
        <v>12576337.239999991</v>
      </c>
      <c r="AJ10" s="7">
        <v>3</v>
      </c>
      <c r="AK10" s="13">
        <v>1498850.31</v>
      </c>
    </row>
    <row r="11" spans="1:37" x14ac:dyDescent="0.35">
      <c r="A11" s="7" t="s">
        <v>4270</v>
      </c>
      <c r="B11" s="8">
        <v>4017912.6300000013</v>
      </c>
      <c r="C11" s="8" t="e">
        <v>#N/A</v>
      </c>
      <c r="D11" s="29">
        <v>4017912.6300000013</v>
      </c>
      <c r="E11" s="8" t="e">
        <v>#N/A</v>
      </c>
      <c r="F11" s="8"/>
      <c r="G11" s="7" t="s">
        <v>4270</v>
      </c>
      <c r="H11" s="9">
        <v>175776.36000000004</v>
      </c>
      <c r="J11" s="7" t="s">
        <v>4270</v>
      </c>
      <c r="K11" s="14">
        <v>442</v>
      </c>
      <c r="M11" s="7" t="s">
        <v>62</v>
      </c>
      <c r="N11" s="16">
        <v>0.23661167329474886</v>
      </c>
      <c r="P11" s="7" t="s">
        <v>4260</v>
      </c>
      <c r="Q11" s="16">
        <v>1</v>
      </c>
      <c r="S11" s="7" t="s">
        <v>4260</v>
      </c>
      <c r="T11" s="15">
        <v>1</v>
      </c>
      <c r="W11" s="7" t="s">
        <v>53</v>
      </c>
      <c r="X11" s="13">
        <v>11740186.449999994</v>
      </c>
      <c r="Z11" s="7" t="s">
        <v>66</v>
      </c>
      <c r="AA11" s="13">
        <v>19797399.310000017</v>
      </c>
      <c r="AB11" s="16">
        <v>0.39594190896682796</v>
      </c>
      <c r="AD11" s="7" t="s">
        <v>4260</v>
      </c>
      <c r="AE11" s="16">
        <v>1</v>
      </c>
      <c r="AG11" s="7" t="s">
        <v>57</v>
      </c>
      <c r="AH11" s="13">
        <v>13901870.710000003</v>
      </c>
      <c r="AJ11" s="7">
        <v>4</v>
      </c>
      <c r="AK11" s="13">
        <v>1678352.4600000004</v>
      </c>
    </row>
    <row r="12" spans="1:37" x14ac:dyDescent="0.35">
      <c r="A12" s="7" t="s">
        <v>4271</v>
      </c>
      <c r="B12" s="8">
        <v>4380391.7299999986</v>
      </c>
      <c r="C12" s="8" t="e">
        <v>#N/A</v>
      </c>
      <c r="D12" s="29">
        <v>4380391.7299999986</v>
      </c>
      <c r="E12" s="8" t="e">
        <v>#N/A</v>
      </c>
      <c r="F12" s="8"/>
      <c r="G12" s="7" t="s">
        <v>4271</v>
      </c>
      <c r="H12" s="9">
        <v>184165.39999999994</v>
      </c>
      <c r="J12" s="7" t="s">
        <v>4271</v>
      </c>
      <c r="K12" s="14">
        <v>434</v>
      </c>
      <c r="M12" s="7" t="s">
        <v>4260</v>
      </c>
      <c r="N12" s="16">
        <v>1</v>
      </c>
      <c r="W12" s="7" t="s">
        <v>128</v>
      </c>
      <c r="X12" s="13">
        <v>10507578.119999999</v>
      </c>
      <c r="Z12" s="7" t="s">
        <v>4260</v>
      </c>
      <c r="AA12" s="13">
        <v>50000767.440000005</v>
      </c>
      <c r="AB12" s="16">
        <v>1</v>
      </c>
      <c r="AG12" s="7" t="s">
        <v>4260</v>
      </c>
      <c r="AH12" s="13">
        <v>50000767.43999999</v>
      </c>
      <c r="AJ12" s="7">
        <v>5</v>
      </c>
      <c r="AK12" s="13">
        <v>1928028.4199999997</v>
      </c>
    </row>
    <row r="13" spans="1:37" x14ac:dyDescent="0.35">
      <c r="A13" s="7" t="s">
        <v>4272</v>
      </c>
      <c r="B13" s="8">
        <v>4137030.2499999991</v>
      </c>
      <c r="C13" s="8" t="e">
        <v>#N/A</v>
      </c>
      <c r="D13" s="29">
        <v>4137030.2499999991</v>
      </c>
      <c r="E13" s="8" t="e">
        <v>#N/A</v>
      </c>
      <c r="F13" s="8"/>
      <c r="G13" s="7" t="s">
        <v>4272</v>
      </c>
      <c r="H13" s="9">
        <v>163654.07</v>
      </c>
      <c r="J13" s="7" t="s">
        <v>4272</v>
      </c>
      <c r="K13" s="14">
        <v>460</v>
      </c>
      <c r="W13" s="7" t="s">
        <v>4260</v>
      </c>
      <c r="X13" s="13">
        <v>50000767.439999983</v>
      </c>
      <c r="AJ13" s="7">
        <v>6</v>
      </c>
      <c r="AK13" s="13">
        <v>1332318.5</v>
      </c>
    </row>
    <row r="14" spans="1:37" x14ac:dyDescent="0.35">
      <c r="A14" s="7" t="s">
        <v>4273</v>
      </c>
      <c r="B14" s="8">
        <v>3958417.16</v>
      </c>
      <c r="C14" s="8" t="e">
        <v>#N/A</v>
      </c>
      <c r="D14" s="29">
        <v>3958417.16</v>
      </c>
      <c r="E14" s="8" t="e">
        <v>#N/A</v>
      </c>
      <c r="F14" s="8"/>
      <c r="G14" s="7" t="s">
        <v>4273</v>
      </c>
      <c r="H14" s="9">
        <v>174362.16999999995</v>
      </c>
      <c r="J14" s="7" t="s">
        <v>4273</v>
      </c>
      <c r="K14" s="14">
        <v>442</v>
      </c>
      <c r="AJ14" s="7">
        <v>7</v>
      </c>
      <c r="AK14" s="13">
        <v>1490163.2799999998</v>
      </c>
    </row>
    <row r="15" spans="1:37" x14ac:dyDescent="0.35">
      <c r="A15" s="7" t="s">
        <v>4274</v>
      </c>
      <c r="B15" s="8">
        <v>4347038.9899999984</v>
      </c>
      <c r="C15" s="8" t="e">
        <v>#N/A</v>
      </c>
      <c r="D15" s="29">
        <v>4347038.9899999984</v>
      </c>
      <c r="E15" s="8" t="e">
        <v>#N/A</v>
      </c>
      <c r="F15" s="8"/>
      <c r="G15" s="7" t="s">
        <v>4274</v>
      </c>
      <c r="H15" s="9">
        <v>154234.76000000004</v>
      </c>
      <c r="J15" s="7" t="s">
        <v>4274</v>
      </c>
      <c r="K15" s="14">
        <v>542</v>
      </c>
      <c r="AJ15" s="7">
        <v>8</v>
      </c>
      <c r="AK15" s="13">
        <v>2068774.16</v>
      </c>
    </row>
    <row r="16" spans="1:37" x14ac:dyDescent="0.35">
      <c r="A16" s="7" t="s">
        <v>4275</v>
      </c>
      <c r="B16" s="8">
        <v>2937235.0199999986</v>
      </c>
      <c r="C16" s="8" t="e">
        <v>#N/A</v>
      </c>
      <c r="D16" s="29">
        <v>2937235.0199999986</v>
      </c>
      <c r="E16" s="8" t="e">
        <v>#N/A</v>
      </c>
      <c r="F16" s="8"/>
      <c r="G16" s="7" t="s">
        <v>4275</v>
      </c>
      <c r="H16" s="9">
        <v>117757.01999999999</v>
      </c>
      <c r="J16" s="7" t="s">
        <v>4275</v>
      </c>
      <c r="K16" s="14">
        <v>326</v>
      </c>
      <c r="M16" s="17" t="s">
        <v>4258</v>
      </c>
      <c r="N16" s="18" t="s">
        <v>4261</v>
      </c>
      <c r="O16" s="12"/>
      <c r="P16" s="17" t="s">
        <v>4258</v>
      </c>
      <c r="Q16" s="18" t="s">
        <v>4261</v>
      </c>
      <c r="R16" s="12"/>
      <c r="S16" s="17" t="s">
        <v>4258</v>
      </c>
      <c r="T16" s="18" t="s">
        <v>4263</v>
      </c>
      <c r="U16" s="12"/>
      <c r="V16" s="12"/>
      <c r="AJ16" s="7">
        <v>9</v>
      </c>
      <c r="AK16" s="13">
        <v>2005178.2699999996</v>
      </c>
    </row>
    <row r="17" spans="1:37" x14ac:dyDescent="0.35">
      <c r="A17" s="7" t="s">
        <v>4276</v>
      </c>
      <c r="B17" s="8">
        <v>4823804.0800000019</v>
      </c>
      <c r="C17" s="8" t="e">
        <v>#N/A</v>
      </c>
      <c r="D17" s="29">
        <v>4823804.0800000019</v>
      </c>
      <c r="E17" s="8" t="e">
        <v>#N/A</v>
      </c>
      <c r="F17" s="8"/>
      <c r="G17" s="7" t="s">
        <v>4276</v>
      </c>
      <c r="H17" s="9">
        <v>188258.55</v>
      </c>
      <c r="J17" s="7" t="s">
        <v>4276</v>
      </c>
      <c r="K17" s="14">
        <v>514</v>
      </c>
      <c r="M17" s="19" t="s">
        <v>115</v>
      </c>
      <c r="N17" s="20">
        <f>GETPIVOTDATA("Sales",$M$7,"Ship Mode",M17)</f>
        <v>0.24158840790784472</v>
      </c>
      <c r="P17" s="19" t="s">
        <v>94</v>
      </c>
      <c r="Q17" s="20">
        <f>GETPIVOTDATA("Sales",$P$7,"Segment",P17)</f>
        <v>0.33325508393436787</v>
      </c>
      <c r="S17" s="19" t="s">
        <v>32</v>
      </c>
      <c r="T17" s="21">
        <f>GETPIVOTDATA("Quantity",$S$7,"Category",S17)</f>
        <v>0.23422597212032281</v>
      </c>
      <c r="AJ17" s="7">
        <v>10</v>
      </c>
      <c r="AK17" s="13">
        <v>1883870.3000000003</v>
      </c>
    </row>
    <row r="18" spans="1:37" x14ac:dyDescent="0.35">
      <c r="A18" s="7" t="s">
        <v>4277</v>
      </c>
      <c r="B18" s="8">
        <v>5204418.1600000011</v>
      </c>
      <c r="C18" s="8" t="e">
        <v>#N/A</v>
      </c>
      <c r="D18" s="29" t="e">
        <v>#N/A</v>
      </c>
      <c r="E18" s="8" t="e">
        <v>#N/A</v>
      </c>
      <c r="F18" s="8"/>
      <c r="G18" s="7" t="s">
        <v>4277</v>
      </c>
      <c r="H18" s="9">
        <v>190191.60000000006</v>
      </c>
      <c r="J18" s="7" t="s">
        <v>4277</v>
      </c>
      <c r="K18" s="14">
        <v>506</v>
      </c>
      <c r="M18" s="19" t="s">
        <v>38</v>
      </c>
      <c r="N18" s="20">
        <f t="shared" ref="N18:N20" si="0">GETPIVOTDATA("Sales",$M$7,"Ship Mode",M18)</f>
        <v>0.27273744780746129</v>
      </c>
      <c r="P18" s="19" t="s">
        <v>41</v>
      </c>
      <c r="Q18" s="20">
        <f t="shared" ref="Q18:Q19" si="1">GETPIVOTDATA("Sales",$P$7,"Segment",P18)</f>
        <v>0.34751964079053727</v>
      </c>
      <c r="S18" s="19" t="s">
        <v>68</v>
      </c>
      <c r="T18" s="21">
        <v>0.23936170212765959</v>
      </c>
      <c r="AJ18" s="7">
        <v>11</v>
      </c>
      <c r="AK18" s="13">
        <v>1621966.08</v>
      </c>
    </row>
    <row r="19" spans="1:37" x14ac:dyDescent="0.35">
      <c r="A19" s="7" t="s">
        <v>4259</v>
      </c>
      <c r="B19" s="8">
        <v>4317717.3599999994</v>
      </c>
      <c r="C19" s="8" t="e">
        <v>#N/A</v>
      </c>
      <c r="D19" s="29" t="e">
        <v>#N/A</v>
      </c>
      <c r="E19" s="8" t="e">
        <v>#N/A</v>
      </c>
      <c r="F19" s="8"/>
      <c r="G19" s="7" t="s">
        <v>4259</v>
      </c>
      <c r="H19" s="9">
        <v>200078.95000000004</v>
      </c>
      <c r="J19" s="7" t="s">
        <v>4259</v>
      </c>
      <c r="K19" s="14">
        <v>484</v>
      </c>
      <c r="M19" s="19" t="s">
        <v>24</v>
      </c>
      <c r="N19" s="20">
        <f t="shared" si="0"/>
        <v>0.24906247098994524</v>
      </c>
      <c r="P19" s="19" t="s">
        <v>27</v>
      </c>
      <c r="Q19" s="20">
        <f t="shared" si="1"/>
        <v>0.31922527527509481</v>
      </c>
      <c r="S19" s="19" t="s">
        <v>46</v>
      </c>
      <c r="T19" s="21">
        <v>0.52641232575201757</v>
      </c>
      <c r="AJ19" s="7">
        <v>12</v>
      </c>
      <c r="AK19" s="13">
        <v>1593200.9099999997</v>
      </c>
    </row>
    <row r="20" spans="1:37" x14ac:dyDescent="0.35">
      <c r="A20" s="7" t="s">
        <v>4260</v>
      </c>
      <c r="B20" s="8">
        <v>50000767.440000005</v>
      </c>
      <c r="C20" s="8" t="e">
        <v>#N/A</v>
      </c>
      <c r="D20" s="29" t="e">
        <v>#N/A</v>
      </c>
      <c r="E20" s="8" t="e">
        <v>#N/A</v>
      </c>
      <c r="F20" s="8"/>
      <c r="G20" s="7" t="s">
        <v>4260</v>
      </c>
      <c r="H20" s="9">
        <v>2019593.4000000001</v>
      </c>
      <c r="J20" s="7" t="s">
        <v>4260</v>
      </c>
      <c r="K20" s="14">
        <v>5452</v>
      </c>
      <c r="M20" s="19" t="s">
        <v>62</v>
      </c>
      <c r="N20" s="20">
        <f t="shared" si="0"/>
        <v>0.23661167329474886</v>
      </c>
      <c r="AJ20" s="7">
        <v>13</v>
      </c>
      <c r="AK20" s="13">
        <v>957530.6100000001</v>
      </c>
    </row>
    <row r="21" spans="1:37" x14ac:dyDescent="0.35">
      <c r="N21" s="7"/>
      <c r="O21" s="7"/>
      <c r="P21" s="7"/>
      <c r="Q21" s="7"/>
      <c r="AJ21" s="7">
        <v>14</v>
      </c>
      <c r="AK21" s="13">
        <v>1977215.24</v>
      </c>
    </row>
    <row r="22" spans="1:37" x14ac:dyDescent="0.35">
      <c r="M22" s="7"/>
      <c r="N22" s="15"/>
      <c r="O22" s="15"/>
      <c r="P22" s="15"/>
      <c r="Q22" s="15"/>
      <c r="AJ22" s="7">
        <v>15</v>
      </c>
      <c r="AK22" s="13">
        <v>1091753.4799999997</v>
      </c>
    </row>
    <row r="23" spans="1:37" x14ac:dyDescent="0.35">
      <c r="AJ23" s="7">
        <v>16</v>
      </c>
      <c r="AK23" s="13">
        <v>1089683.4100000001</v>
      </c>
    </row>
    <row r="24" spans="1:37" x14ac:dyDescent="0.35">
      <c r="AJ24" s="7">
        <v>17</v>
      </c>
      <c r="AK24" s="13">
        <v>851898.13</v>
      </c>
    </row>
    <row r="25" spans="1:37" x14ac:dyDescent="0.35">
      <c r="AJ25" s="7">
        <v>18</v>
      </c>
      <c r="AK25" s="13">
        <v>2059953.0600000005</v>
      </c>
    </row>
    <row r="26" spans="1:37" x14ac:dyDescent="0.35">
      <c r="AJ26" s="7">
        <v>19</v>
      </c>
      <c r="AK26" s="13">
        <v>1236675.1100000001</v>
      </c>
    </row>
    <row r="27" spans="1:37" x14ac:dyDescent="0.35">
      <c r="AJ27" s="7">
        <v>20</v>
      </c>
      <c r="AK27" s="13">
        <v>1144184.46</v>
      </c>
    </row>
    <row r="28" spans="1:37" x14ac:dyDescent="0.35">
      <c r="AJ28" s="7">
        <v>21</v>
      </c>
      <c r="AK28" s="13">
        <v>1769881.6900000002</v>
      </c>
    </row>
    <row r="29" spans="1:37" x14ac:dyDescent="0.35">
      <c r="AJ29" s="7">
        <v>22</v>
      </c>
      <c r="AK29" s="13">
        <v>1122985.4300000002</v>
      </c>
    </row>
    <row r="30" spans="1:37" x14ac:dyDescent="0.35">
      <c r="AJ30" s="7">
        <v>23</v>
      </c>
      <c r="AK30" s="13">
        <v>1590921.1700000002</v>
      </c>
    </row>
    <row r="31" spans="1:37" x14ac:dyDescent="0.35">
      <c r="AJ31" s="7">
        <v>24</v>
      </c>
      <c r="AK31" s="13">
        <v>2016026.7900000005</v>
      </c>
    </row>
    <row r="32" spans="1:37" x14ac:dyDescent="0.35">
      <c r="AJ32" s="7">
        <v>25</v>
      </c>
      <c r="AK32" s="13">
        <v>1786378.7700000003</v>
      </c>
    </row>
    <row r="33" spans="36:37" x14ac:dyDescent="0.35">
      <c r="AJ33" s="7">
        <v>26</v>
      </c>
      <c r="AK33" s="13">
        <v>1102510.4300000002</v>
      </c>
    </row>
    <row r="34" spans="36:37" x14ac:dyDescent="0.35">
      <c r="AJ34" s="7">
        <v>27</v>
      </c>
      <c r="AK34" s="13">
        <v>1973443.6800000002</v>
      </c>
    </row>
    <row r="35" spans="36:37" x14ac:dyDescent="0.35">
      <c r="AJ35" s="7">
        <v>28</v>
      </c>
      <c r="AK35" s="13">
        <v>2028554.5499999996</v>
      </c>
    </row>
    <row r="36" spans="36:37" x14ac:dyDescent="0.35">
      <c r="AJ36" s="7">
        <v>29</v>
      </c>
      <c r="AK36" s="13">
        <v>1611054.0399999998</v>
      </c>
    </row>
    <row r="37" spans="36:37" x14ac:dyDescent="0.35">
      <c r="AJ37" s="7">
        <v>30</v>
      </c>
      <c r="AK37" s="13">
        <v>1928419.31</v>
      </c>
    </row>
    <row r="38" spans="36:37" x14ac:dyDescent="0.35">
      <c r="AJ38" s="7">
        <v>31</v>
      </c>
      <c r="AK38" s="13">
        <v>560853.36</v>
      </c>
    </row>
    <row r="39" spans="36:37" x14ac:dyDescent="0.35">
      <c r="AJ39" s="7" t="s">
        <v>4260</v>
      </c>
      <c r="AK39" s="13">
        <v>50000767.439999998</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E5348-A844-46DE-8135-367C798FF55C}">
  <sheetPr codeName="Sheet3">
    <tabColor rgb="FF0000FF"/>
  </sheetPr>
  <dimension ref="A2:AX2557"/>
  <sheetViews>
    <sheetView showGridLines="0" showRowColHeaders="0" tabSelected="1" zoomScale="66" zoomScaleNormal="79" workbookViewId="0">
      <selection activeCell="K36" sqref="K36"/>
    </sheetView>
  </sheetViews>
  <sheetFormatPr defaultRowHeight="14.5" x14ac:dyDescent="0.35"/>
  <sheetData>
    <row r="2" spans="21:50" x14ac:dyDescent="0.35">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row>
    <row r="3" spans="21:50" x14ac:dyDescent="0.35">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row>
    <row r="4" spans="21:50" x14ac:dyDescent="0.35">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row>
    <row r="5" spans="21:50" x14ac:dyDescent="0.35">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row>
    <row r="6" spans="21:50" x14ac:dyDescent="0.35">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row>
    <row r="7" spans="21:50" x14ac:dyDescent="0.35">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row>
    <row r="8" spans="21:50" x14ac:dyDescent="0.35">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row>
    <row r="9" spans="21:50" x14ac:dyDescent="0.35">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row>
    <row r="10" spans="21:50" x14ac:dyDescent="0.35">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row>
    <row r="11" spans="21:50" x14ac:dyDescent="0.35">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row>
    <row r="12" spans="21:50" x14ac:dyDescent="0.35">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row>
    <row r="13" spans="21:50" x14ac:dyDescent="0.35">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row>
    <row r="14" spans="21:50" x14ac:dyDescent="0.35">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row>
    <row r="15" spans="21:50" x14ac:dyDescent="0.35">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row>
    <row r="16" spans="21:50" x14ac:dyDescent="0.35">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row>
    <row r="17" spans="21:50" x14ac:dyDescent="0.35">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row>
    <row r="18" spans="21:50" x14ac:dyDescent="0.35">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row>
    <row r="19" spans="21:50" x14ac:dyDescent="0.35">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row>
    <row r="20" spans="21:50" x14ac:dyDescent="0.35">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row>
    <row r="21" spans="21:50" x14ac:dyDescent="0.35">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row>
    <row r="22" spans="21:50" x14ac:dyDescent="0.35">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row>
    <row r="23" spans="21:50" x14ac:dyDescent="0.35">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row>
    <row r="24" spans="21:50" x14ac:dyDescent="0.35">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row>
    <row r="25" spans="21:50" x14ac:dyDescent="0.35">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row>
    <row r="26" spans="21:50" x14ac:dyDescent="0.35">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row>
    <row r="27" spans="21:50" x14ac:dyDescent="0.35">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row>
    <row r="28" spans="21:50" x14ac:dyDescent="0.35">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row>
    <row r="29" spans="21:50" x14ac:dyDescent="0.35">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row>
    <row r="30" spans="21:50" x14ac:dyDescent="0.35">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row>
    <row r="31" spans="21:50" x14ac:dyDescent="0.35">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row>
    <row r="32" spans="21:50" x14ac:dyDescent="0.35">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row>
    <row r="33" spans="1:50" x14ac:dyDescent="0.35">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row>
    <row r="34" spans="1:50" x14ac:dyDescent="0.35">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row>
    <row r="35" spans="1:50" x14ac:dyDescent="0.35">
      <c r="A35" s="23"/>
      <c r="B35" s="23"/>
      <c r="C35" s="23"/>
      <c r="D35" s="23"/>
      <c r="E35" s="23"/>
      <c r="F35" s="23"/>
      <c r="G35" s="23"/>
      <c r="H35" s="23"/>
      <c r="I35" s="23"/>
      <c r="J35" s="23"/>
      <c r="K35" s="23"/>
      <c r="L35" s="23"/>
      <c r="M35" s="23"/>
      <c r="N35" s="23"/>
      <c r="O35" s="23"/>
      <c r="P35" s="23"/>
      <c r="Q35" s="23"/>
      <c r="R35" s="23"/>
      <c r="S35" s="23"/>
      <c r="T35" s="23"/>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row>
    <row r="36" spans="1:50" x14ac:dyDescent="0.35">
      <c r="A36" s="23"/>
      <c r="B36" s="23"/>
      <c r="C36" s="23"/>
      <c r="D36" s="23"/>
      <c r="E36" s="23"/>
      <c r="F36" s="23"/>
      <c r="G36" s="23"/>
      <c r="H36" s="23"/>
      <c r="I36" s="23"/>
      <c r="J36" s="23"/>
      <c r="K36" s="23"/>
      <c r="L36" s="23"/>
      <c r="M36" s="23"/>
      <c r="N36" s="23"/>
      <c r="O36" s="23"/>
      <c r="P36" s="23"/>
      <c r="Q36" s="23"/>
      <c r="R36" s="23"/>
      <c r="S36" s="23"/>
      <c r="T36" s="23"/>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row>
    <row r="37" spans="1:50" x14ac:dyDescent="0.35">
      <c r="A37" s="23"/>
      <c r="B37" s="23"/>
      <c r="C37" s="23"/>
      <c r="D37" s="23"/>
      <c r="E37" s="23"/>
      <c r="F37" s="23"/>
      <c r="G37" s="23"/>
      <c r="H37" s="23"/>
      <c r="I37" s="23"/>
      <c r="J37" s="23"/>
      <c r="K37" s="23"/>
      <c r="L37" s="23"/>
      <c r="M37" s="23"/>
      <c r="N37" s="23"/>
      <c r="O37" s="23"/>
      <c r="P37" s="23"/>
      <c r="Q37" s="23"/>
      <c r="R37" s="23"/>
      <c r="S37" s="23"/>
      <c r="T37" s="23"/>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row>
    <row r="38" spans="1:50" x14ac:dyDescent="0.35">
      <c r="A38" s="23"/>
      <c r="B38" s="23"/>
      <c r="C38" s="23"/>
      <c r="D38" s="23"/>
      <c r="E38" s="23"/>
      <c r="F38" s="23"/>
      <c r="G38" s="23"/>
      <c r="H38" s="23"/>
      <c r="I38" s="23"/>
      <c r="J38" s="23"/>
      <c r="K38" s="23"/>
      <c r="L38" s="23"/>
      <c r="M38" s="23"/>
      <c r="N38" s="23"/>
      <c r="O38" s="23"/>
      <c r="P38" s="23"/>
      <c r="Q38" s="23"/>
      <c r="R38" s="23"/>
      <c r="S38" s="23"/>
      <c r="T38" s="23"/>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row>
    <row r="39" spans="1:50" x14ac:dyDescent="0.35">
      <c r="A39" s="23"/>
      <c r="B39" s="23"/>
      <c r="C39" s="23"/>
      <c r="D39" s="23"/>
      <c r="E39" s="23"/>
      <c r="F39" s="23"/>
      <c r="G39" s="23"/>
      <c r="H39" s="23"/>
      <c r="I39" s="23"/>
      <c r="J39" s="23"/>
      <c r="K39" s="23"/>
      <c r="L39" s="23"/>
      <c r="M39" s="23"/>
      <c r="N39" s="23"/>
      <c r="O39" s="23"/>
      <c r="P39" s="23"/>
      <c r="Q39" s="23"/>
      <c r="R39" s="23"/>
      <c r="S39" s="23"/>
      <c r="T39" s="23"/>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row>
    <row r="40" spans="1:50" x14ac:dyDescent="0.35">
      <c r="A40" s="23"/>
      <c r="B40" s="23"/>
      <c r="C40" s="23"/>
      <c r="D40" s="23"/>
      <c r="E40" s="23"/>
      <c r="F40" s="23"/>
      <c r="G40" s="23"/>
      <c r="H40" s="23"/>
      <c r="I40" s="23"/>
      <c r="J40" s="23"/>
      <c r="K40" s="23"/>
      <c r="L40" s="23"/>
      <c r="M40" s="23"/>
      <c r="N40" s="23"/>
      <c r="O40" s="23"/>
      <c r="P40" s="23"/>
      <c r="Q40" s="23"/>
      <c r="R40" s="23"/>
      <c r="S40" s="23"/>
      <c r="T40" s="23"/>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row>
    <row r="41" spans="1:50" x14ac:dyDescent="0.35">
      <c r="A41" s="23"/>
      <c r="B41" s="23"/>
      <c r="C41" s="23"/>
      <c r="D41" s="23"/>
      <c r="E41" s="23"/>
      <c r="F41" s="23"/>
      <c r="G41" s="23"/>
      <c r="H41" s="23"/>
      <c r="I41" s="23"/>
      <c r="J41" s="23"/>
      <c r="K41" s="23"/>
      <c r="L41" s="23"/>
      <c r="M41" s="23"/>
      <c r="N41" s="23"/>
      <c r="O41" s="23"/>
      <c r="P41" s="23"/>
      <c r="Q41" s="23"/>
      <c r="R41" s="23"/>
      <c r="S41" s="23"/>
      <c r="T41" s="23"/>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row>
    <row r="42" spans="1:50" x14ac:dyDescent="0.35">
      <c r="A42" s="23"/>
      <c r="B42" s="23"/>
      <c r="C42" s="23"/>
      <c r="D42" s="23"/>
      <c r="E42" s="23"/>
      <c r="F42" s="23"/>
      <c r="G42" s="23"/>
      <c r="H42" s="23"/>
      <c r="I42" s="23"/>
      <c r="J42" s="23"/>
      <c r="K42" s="23"/>
      <c r="L42" s="23"/>
      <c r="M42" s="23"/>
      <c r="N42" s="23"/>
      <c r="O42" s="23"/>
      <c r="P42" s="23"/>
      <c r="Q42" s="23"/>
      <c r="R42" s="23"/>
      <c r="S42" s="23"/>
      <c r="T42" s="23"/>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row>
    <row r="43" spans="1:50" x14ac:dyDescent="0.35">
      <c r="A43" s="23"/>
      <c r="B43" s="23"/>
      <c r="C43" s="23"/>
      <c r="D43" s="23"/>
      <c r="E43" s="23"/>
      <c r="F43" s="23"/>
      <c r="G43" s="23"/>
      <c r="H43" s="23"/>
      <c r="I43" s="23"/>
      <c r="J43" s="23"/>
      <c r="K43" s="23"/>
      <c r="L43" s="23"/>
      <c r="M43" s="23"/>
      <c r="N43" s="23"/>
      <c r="O43" s="23"/>
      <c r="P43" s="23"/>
      <c r="Q43" s="23"/>
      <c r="R43" s="23"/>
      <c r="S43" s="23"/>
      <c r="T43" s="23"/>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row>
    <row r="44" spans="1:50" x14ac:dyDescent="0.35">
      <c r="A44" s="23"/>
      <c r="B44" s="23"/>
      <c r="C44" s="23"/>
      <c r="D44" s="23"/>
      <c r="E44" s="23"/>
      <c r="F44" s="23"/>
      <c r="G44" s="23"/>
      <c r="H44" s="23"/>
      <c r="I44" s="23"/>
      <c r="J44" s="23"/>
      <c r="K44" s="23"/>
      <c r="L44" s="23"/>
      <c r="M44" s="23"/>
      <c r="N44" s="23"/>
      <c r="O44" s="23"/>
      <c r="P44" s="23"/>
      <c r="Q44" s="23"/>
      <c r="R44" s="23"/>
      <c r="S44" s="23"/>
      <c r="T44" s="23"/>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row>
    <row r="45" spans="1:50" x14ac:dyDescent="0.35">
      <c r="A45" s="23"/>
      <c r="B45" s="23"/>
      <c r="C45" s="23"/>
      <c r="D45" s="23"/>
      <c r="E45" s="23"/>
      <c r="F45" s="23"/>
      <c r="G45" s="23"/>
      <c r="H45" s="23"/>
      <c r="I45" s="23"/>
      <c r="J45" s="23"/>
      <c r="K45" s="23"/>
      <c r="L45" s="23"/>
      <c r="M45" s="23"/>
      <c r="N45" s="23"/>
      <c r="O45" s="23"/>
      <c r="P45" s="23"/>
      <c r="Q45" s="23"/>
      <c r="R45" s="23"/>
      <c r="S45" s="23"/>
      <c r="T45" s="23"/>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row>
    <row r="46" spans="1:50" x14ac:dyDescent="0.35">
      <c r="A46" s="23"/>
      <c r="B46" s="23"/>
      <c r="C46" s="23"/>
      <c r="D46" s="23"/>
      <c r="E46" s="23"/>
      <c r="F46" s="23"/>
      <c r="G46" s="23"/>
      <c r="H46" s="23"/>
      <c r="I46" s="23"/>
      <c r="J46" s="23"/>
      <c r="K46" s="23"/>
      <c r="L46" s="23"/>
      <c r="M46" s="23"/>
      <c r="N46" s="23"/>
      <c r="O46" s="23"/>
      <c r="P46" s="23"/>
      <c r="Q46" s="23"/>
      <c r="R46" s="23"/>
      <c r="S46" s="23"/>
      <c r="T46" s="23"/>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row>
    <row r="47" spans="1:50" x14ac:dyDescent="0.35">
      <c r="A47" s="23"/>
      <c r="B47" s="23"/>
      <c r="C47" s="23"/>
      <c r="D47" s="23"/>
      <c r="E47" s="23"/>
      <c r="F47" s="23"/>
      <c r="G47" s="23"/>
      <c r="H47" s="23"/>
      <c r="I47" s="23"/>
      <c r="J47" s="23"/>
      <c r="K47" s="23"/>
      <c r="L47" s="23"/>
      <c r="M47" s="23"/>
      <c r="N47" s="23"/>
      <c r="O47" s="23"/>
      <c r="P47" s="23"/>
      <c r="Q47" s="23"/>
      <c r="R47" s="23"/>
      <c r="S47" s="23"/>
      <c r="T47" s="23"/>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row>
    <row r="48" spans="1:50" x14ac:dyDescent="0.35">
      <c r="A48" s="23"/>
      <c r="B48" s="23"/>
      <c r="C48" s="23"/>
      <c r="D48" s="23"/>
      <c r="E48" s="23"/>
      <c r="F48" s="23"/>
      <c r="G48" s="23"/>
      <c r="H48" s="23"/>
      <c r="I48" s="23"/>
      <c r="J48" s="23"/>
      <c r="K48" s="23"/>
      <c r="L48" s="23"/>
      <c r="M48" s="23"/>
      <c r="N48" s="23"/>
      <c r="O48" s="23"/>
      <c r="P48" s="23"/>
      <c r="Q48" s="23"/>
      <c r="R48" s="23"/>
      <c r="S48" s="23"/>
      <c r="T48" s="23"/>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row>
    <row r="49" spans="1:50" x14ac:dyDescent="0.35">
      <c r="A49" s="23"/>
      <c r="B49" s="23"/>
      <c r="C49" s="23"/>
      <c r="D49" s="23"/>
      <c r="E49" s="23"/>
      <c r="F49" s="23"/>
      <c r="G49" s="23"/>
      <c r="H49" s="23"/>
      <c r="I49" s="23"/>
      <c r="J49" s="23"/>
      <c r="K49" s="23"/>
      <c r="L49" s="23"/>
      <c r="M49" s="23"/>
      <c r="N49" s="23"/>
      <c r="O49" s="23"/>
      <c r="P49" s="23"/>
      <c r="Q49" s="23"/>
      <c r="R49" s="23"/>
      <c r="S49" s="23"/>
      <c r="T49" s="23"/>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row>
    <row r="50" spans="1:50" x14ac:dyDescent="0.35">
      <c r="A50" s="23"/>
      <c r="B50" s="23"/>
      <c r="C50" s="23"/>
      <c r="D50" s="23"/>
      <c r="E50" s="23"/>
      <c r="F50" s="23"/>
      <c r="G50" s="23"/>
      <c r="H50" s="23"/>
      <c r="I50" s="23"/>
      <c r="J50" s="23"/>
      <c r="K50" s="23"/>
      <c r="L50" s="23"/>
      <c r="M50" s="23"/>
      <c r="N50" s="23"/>
      <c r="O50" s="23"/>
      <c r="P50" s="23"/>
      <c r="Q50" s="23"/>
      <c r="R50" s="23"/>
      <c r="S50" s="23"/>
      <c r="T50" s="23"/>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row>
    <row r="51" spans="1:50" x14ac:dyDescent="0.35">
      <c r="A51" s="23"/>
      <c r="B51" s="23"/>
      <c r="C51" s="23"/>
      <c r="D51" s="23"/>
      <c r="E51" s="23"/>
      <c r="F51" s="23"/>
      <c r="G51" s="23"/>
      <c r="H51" s="23"/>
      <c r="I51" s="23"/>
      <c r="J51" s="23"/>
      <c r="K51" s="23"/>
      <c r="L51" s="23"/>
      <c r="M51" s="23"/>
      <c r="N51" s="23"/>
      <c r="O51" s="23"/>
      <c r="P51" s="23"/>
      <c r="Q51" s="23"/>
      <c r="R51" s="23"/>
      <c r="S51" s="23"/>
      <c r="T51" s="23"/>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row>
    <row r="52" spans="1:50" x14ac:dyDescent="0.35">
      <c r="A52" s="23"/>
      <c r="B52" s="23"/>
      <c r="C52" s="23"/>
      <c r="D52" s="23"/>
      <c r="E52" s="23"/>
      <c r="F52" s="23"/>
      <c r="G52" s="23"/>
      <c r="H52" s="23"/>
      <c r="I52" s="23"/>
      <c r="J52" s="23"/>
      <c r="K52" s="23"/>
      <c r="L52" s="23"/>
      <c r="M52" s="23"/>
      <c r="N52" s="23"/>
      <c r="O52" s="23"/>
      <c r="P52" s="23"/>
      <c r="Q52" s="23"/>
      <c r="R52" s="23"/>
      <c r="S52" s="23"/>
      <c r="T52" s="23"/>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row>
    <row r="53" spans="1:50" x14ac:dyDescent="0.35">
      <c r="A53" s="23"/>
      <c r="B53" s="23"/>
      <c r="C53" s="23"/>
      <c r="D53" s="23"/>
      <c r="E53" s="23"/>
      <c r="F53" s="23"/>
      <c r="G53" s="23"/>
      <c r="H53" s="23"/>
      <c r="I53" s="23"/>
      <c r="J53" s="23"/>
      <c r="K53" s="23"/>
      <c r="L53" s="23"/>
      <c r="M53" s="23"/>
      <c r="N53" s="23"/>
      <c r="O53" s="23"/>
      <c r="P53" s="23"/>
      <c r="Q53" s="23"/>
      <c r="R53" s="23"/>
      <c r="S53" s="23"/>
      <c r="T53" s="23"/>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row>
    <row r="54" spans="1:50" x14ac:dyDescent="0.35">
      <c r="A54" s="23"/>
      <c r="B54" s="23"/>
      <c r="C54" s="23"/>
      <c r="D54" s="23"/>
      <c r="E54" s="23"/>
      <c r="F54" s="23"/>
      <c r="G54" s="23"/>
      <c r="H54" s="23"/>
      <c r="I54" s="23"/>
      <c r="J54" s="23"/>
      <c r="K54" s="23"/>
      <c r="L54" s="23"/>
      <c r="M54" s="23"/>
      <c r="N54" s="23"/>
      <c r="O54" s="23"/>
      <c r="P54" s="23"/>
      <c r="Q54" s="23"/>
      <c r="R54" s="23"/>
      <c r="S54" s="23"/>
      <c r="T54" s="23"/>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row>
    <row r="55" spans="1:50" x14ac:dyDescent="0.35">
      <c r="A55" s="23"/>
      <c r="B55" s="23"/>
      <c r="C55" s="23"/>
      <c r="D55" s="23"/>
      <c r="E55" s="23"/>
      <c r="F55" s="23"/>
      <c r="G55" s="23"/>
      <c r="H55" s="23"/>
      <c r="I55" s="23"/>
      <c r="J55" s="23"/>
      <c r="K55" s="23"/>
      <c r="L55" s="23"/>
      <c r="M55" s="23"/>
      <c r="N55" s="23"/>
      <c r="O55" s="23"/>
      <c r="P55" s="23"/>
      <c r="Q55" s="23"/>
      <c r="R55" s="23"/>
      <c r="S55" s="23"/>
      <c r="T55" s="23"/>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row>
    <row r="56" spans="1:50" x14ac:dyDescent="0.35">
      <c r="A56" s="23"/>
      <c r="B56" s="23"/>
      <c r="C56" s="23"/>
      <c r="D56" s="23"/>
      <c r="E56" s="23"/>
      <c r="F56" s="23"/>
      <c r="G56" s="23"/>
      <c r="H56" s="23"/>
      <c r="I56" s="23"/>
      <c r="J56" s="23"/>
      <c r="K56" s="23"/>
      <c r="L56" s="23"/>
      <c r="M56" s="23"/>
      <c r="N56" s="23"/>
      <c r="O56" s="23"/>
      <c r="P56" s="23"/>
      <c r="Q56" s="23"/>
      <c r="R56" s="23"/>
      <c r="S56" s="23"/>
      <c r="T56" s="23"/>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row>
    <row r="57" spans="1:50" x14ac:dyDescent="0.35">
      <c r="A57" s="23"/>
      <c r="B57" s="23"/>
      <c r="C57" s="23"/>
      <c r="D57" s="23"/>
      <c r="E57" s="23"/>
      <c r="F57" s="23"/>
      <c r="G57" s="23"/>
      <c r="H57" s="23"/>
      <c r="I57" s="23"/>
      <c r="J57" s="23"/>
      <c r="K57" s="23"/>
      <c r="L57" s="23"/>
      <c r="M57" s="23"/>
      <c r="N57" s="23"/>
      <c r="O57" s="23"/>
      <c r="P57" s="23"/>
      <c r="Q57" s="23"/>
      <c r="R57" s="23"/>
      <c r="S57" s="23"/>
      <c r="T57" s="23"/>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row>
    <row r="58" spans="1:50" x14ac:dyDescent="0.35">
      <c r="A58" s="23"/>
      <c r="B58" s="23"/>
      <c r="C58" s="23"/>
      <c r="D58" s="23"/>
      <c r="E58" s="23"/>
      <c r="F58" s="23"/>
      <c r="G58" s="23"/>
      <c r="H58" s="23"/>
      <c r="I58" s="23"/>
      <c r="J58" s="23"/>
      <c r="K58" s="23"/>
      <c r="L58" s="23"/>
      <c r="M58" s="23"/>
      <c r="N58" s="23"/>
      <c r="O58" s="23"/>
      <c r="P58" s="23"/>
      <c r="Q58" s="23"/>
      <c r="R58" s="23"/>
      <c r="S58" s="23"/>
      <c r="T58" s="23"/>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row>
    <row r="59" spans="1:50" x14ac:dyDescent="0.35">
      <c r="A59" s="23"/>
      <c r="B59" s="23"/>
      <c r="C59" s="23"/>
      <c r="D59" s="23"/>
      <c r="E59" s="23"/>
      <c r="F59" s="23"/>
      <c r="G59" s="23"/>
      <c r="H59" s="23"/>
      <c r="I59" s="23"/>
      <c r="J59" s="23"/>
      <c r="K59" s="23"/>
      <c r="L59" s="23"/>
      <c r="M59" s="23"/>
      <c r="N59" s="23"/>
      <c r="O59" s="23"/>
      <c r="P59" s="23"/>
      <c r="Q59" s="23"/>
      <c r="R59" s="23"/>
      <c r="S59" s="23"/>
      <c r="T59" s="23"/>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row>
    <row r="60" spans="1:50" x14ac:dyDescent="0.35">
      <c r="A60" s="23"/>
      <c r="B60" s="23"/>
      <c r="C60" s="23"/>
      <c r="D60" s="23"/>
      <c r="E60" s="23"/>
      <c r="F60" s="23"/>
      <c r="G60" s="23"/>
      <c r="H60" s="23"/>
      <c r="I60" s="23"/>
      <c r="J60" s="23"/>
      <c r="K60" s="23"/>
      <c r="L60" s="23"/>
      <c r="M60" s="23"/>
      <c r="N60" s="23"/>
      <c r="O60" s="23"/>
      <c r="P60" s="23"/>
      <c r="Q60" s="23"/>
      <c r="R60" s="23"/>
      <c r="S60" s="23"/>
      <c r="T60" s="23"/>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row>
    <row r="61" spans="1:50" x14ac:dyDescent="0.35">
      <c r="A61" s="23"/>
      <c r="B61" s="23"/>
      <c r="C61" s="23"/>
      <c r="D61" s="23"/>
      <c r="E61" s="23"/>
      <c r="F61" s="23"/>
      <c r="G61" s="23"/>
      <c r="H61" s="23"/>
      <c r="I61" s="23"/>
      <c r="J61" s="23"/>
      <c r="K61" s="23"/>
      <c r="L61" s="23"/>
      <c r="M61" s="23"/>
      <c r="N61" s="23"/>
      <c r="O61" s="23"/>
      <c r="P61" s="23"/>
      <c r="Q61" s="23"/>
      <c r="R61" s="23"/>
      <c r="S61" s="23"/>
      <c r="T61" s="23"/>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row>
    <row r="62" spans="1:50" x14ac:dyDescent="0.35">
      <c r="A62" s="23"/>
      <c r="B62" s="23"/>
      <c r="C62" s="23"/>
      <c r="D62" s="23"/>
      <c r="E62" s="23"/>
      <c r="F62" s="23"/>
      <c r="G62" s="23"/>
      <c r="H62" s="23"/>
      <c r="I62" s="23"/>
      <c r="J62" s="23"/>
      <c r="K62" s="23"/>
      <c r="L62" s="23"/>
      <c r="M62" s="23"/>
      <c r="N62" s="23"/>
      <c r="O62" s="23"/>
      <c r="P62" s="23"/>
      <c r="Q62" s="23"/>
      <c r="R62" s="23"/>
      <c r="S62" s="23"/>
      <c r="T62" s="23"/>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row>
    <row r="63" spans="1:50" x14ac:dyDescent="0.35">
      <c r="A63" s="23"/>
      <c r="B63" s="23"/>
      <c r="C63" s="23"/>
      <c r="D63" s="23"/>
      <c r="E63" s="23"/>
      <c r="F63" s="23"/>
      <c r="G63" s="23"/>
      <c r="H63" s="23"/>
      <c r="I63" s="23"/>
      <c r="J63" s="23"/>
      <c r="K63" s="23"/>
      <c r="L63" s="23"/>
      <c r="M63" s="23"/>
      <c r="N63" s="23"/>
      <c r="O63" s="23"/>
      <c r="P63" s="23"/>
      <c r="Q63" s="23"/>
      <c r="R63" s="23"/>
      <c r="S63" s="23"/>
      <c r="T63" s="23"/>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row>
    <row r="64" spans="1:50" x14ac:dyDescent="0.35">
      <c r="A64" s="23"/>
      <c r="B64" s="23"/>
      <c r="C64" s="23"/>
      <c r="D64" s="23"/>
      <c r="E64" s="23"/>
      <c r="F64" s="23"/>
      <c r="G64" s="23"/>
      <c r="H64" s="23"/>
      <c r="I64" s="23"/>
      <c r="J64" s="23"/>
      <c r="K64" s="23"/>
      <c r="L64" s="23"/>
      <c r="M64" s="23"/>
      <c r="N64" s="23"/>
      <c r="O64" s="23"/>
      <c r="P64" s="23"/>
      <c r="Q64" s="23"/>
      <c r="R64" s="23"/>
      <c r="S64" s="23"/>
      <c r="T64" s="23"/>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row>
    <row r="65" spans="1:50" x14ac:dyDescent="0.35">
      <c r="A65" s="23"/>
      <c r="B65" s="23"/>
      <c r="C65" s="23"/>
      <c r="D65" s="23"/>
      <c r="E65" s="23"/>
      <c r="F65" s="23"/>
      <c r="G65" s="23"/>
      <c r="H65" s="23"/>
      <c r="I65" s="23"/>
      <c r="J65" s="23"/>
      <c r="K65" s="23"/>
      <c r="L65" s="23"/>
      <c r="M65" s="23"/>
      <c r="N65" s="23"/>
      <c r="O65" s="23"/>
      <c r="P65" s="23"/>
      <c r="Q65" s="23"/>
      <c r="R65" s="23"/>
      <c r="S65" s="23"/>
      <c r="T65" s="23"/>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row>
    <row r="66" spans="1:50" x14ac:dyDescent="0.35">
      <c r="A66" s="23"/>
      <c r="B66" s="23"/>
      <c r="C66" s="23"/>
      <c r="D66" s="23"/>
      <c r="E66" s="23"/>
      <c r="F66" s="23"/>
      <c r="G66" s="23"/>
      <c r="H66" s="23"/>
      <c r="I66" s="23"/>
      <c r="J66" s="23"/>
      <c r="K66" s="23"/>
      <c r="L66" s="23"/>
      <c r="M66" s="23"/>
      <c r="N66" s="23"/>
      <c r="O66" s="23"/>
      <c r="P66" s="23"/>
      <c r="Q66" s="23"/>
      <c r="R66" s="23"/>
      <c r="S66" s="23"/>
      <c r="T66" s="23"/>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row>
    <row r="67" spans="1:50" x14ac:dyDescent="0.35">
      <c r="A67" s="23"/>
      <c r="B67" s="23"/>
      <c r="C67" s="23"/>
      <c r="D67" s="23"/>
      <c r="E67" s="23"/>
      <c r="F67" s="23"/>
      <c r="G67" s="23"/>
      <c r="H67" s="23"/>
      <c r="I67" s="23"/>
      <c r="J67" s="23"/>
      <c r="K67" s="23"/>
      <c r="L67" s="23"/>
      <c r="M67" s="23"/>
      <c r="N67" s="23"/>
      <c r="O67" s="23"/>
      <c r="P67" s="23"/>
      <c r="Q67" s="23"/>
      <c r="R67" s="23"/>
      <c r="S67" s="23"/>
      <c r="T67" s="23"/>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row>
    <row r="68" spans="1:50" x14ac:dyDescent="0.35">
      <c r="A68" s="23"/>
      <c r="B68" s="23"/>
      <c r="C68" s="23"/>
      <c r="D68" s="23"/>
      <c r="E68" s="23"/>
      <c r="F68" s="23"/>
      <c r="G68" s="23"/>
      <c r="H68" s="23"/>
      <c r="I68" s="23"/>
      <c r="J68" s="23"/>
      <c r="K68" s="23"/>
      <c r="L68" s="23"/>
      <c r="M68" s="23"/>
      <c r="N68" s="23"/>
      <c r="O68" s="23"/>
      <c r="P68" s="23"/>
      <c r="Q68" s="23"/>
      <c r="R68" s="23"/>
      <c r="S68" s="23"/>
      <c r="T68" s="23"/>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row>
    <row r="69" spans="1:50" x14ac:dyDescent="0.35">
      <c r="A69" s="23"/>
      <c r="B69" s="23"/>
      <c r="C69" s="23"/>
      <c r="D69" s="23"/>
      <c r="E69" s="23"/>
      <c r="F69" s="23"/>
      <c r="G69" s="23"/>
      <c r="H69" s="23"/>
      <c r="I69" s="23"/>
      <c r="J69" s="23"/>
      <c r="K69" s="23"/>
      <c r="L69" s="23"/>
      <c r="M69" s="23"/>
      <c r="N69" s="23"/>
      <c r="O69" s="23"/>
      <c r="P69" s="23"/>
      <c r="Q69" s="23"/>
      <c r="R69" s="23"/>
      <c r="S69" s="23"/>
      <c r="T69" s="23"/>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row>
    <row r="70" spans="1:50" x14ac:dyDescent="0.35">
      <c r="A70" s="23"/>
      <c r="B70" s="23"/>
      <c r="C70" s="23"/>
      <c r="D70" s="23"/>
      <c r="E70" s="23"/>
      <c r="F70" s="23"/>
      <c r="G70" s="23"/>
      <c r="H70" s="23"/>
      <c r="I70" s="23"/>
      <c r="J70" s="23"/>
      <c r="K70" s="23"/>
      <c r="L70" s="23"/>
      <c r="M70" s="23"/>
      <c r="N70" s="23"/>
      <c r="O70" s="23"/>
      <c r="P70" s="23"/>
      <c r="Q70" s="23"/>
      <c r="R70" s="23"/>
      <c r="S70" s="23"/>
      <c r="T70" s="23"/>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row>
    <row r="71" spans="1:50" x14ac:dyDescent="0.35">
      <c r="A71" s="23"/>
      <c r="B71" s="23"/>
      <c r="C71" s="23"/>
      <c r="D71" s="23"/>
      <c r="E71" s="23"/>
      <c r="F71" s="23"/>
      <c r="G71" s="23"/>
      <c r="H71" s="23"/>
      <c r="I71" s="23"/>
      <c r="J71" s="23"/>
      <c r="K71" s="23"/>
      <c r="L71" s="23"/>
      <c r="M71" s="23"/>
      <c r="N71" s="23"/>
      <c r="O71" s="23"/>
      <c r="P71" s="23"/>
      <c r="Q71" s="23"/>
      <c r="R71" s="23"/>
      <c r="S71" s="23"/>
      <c r="T71" s="23"/>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row>
    <row r="72" spans="1:50" x14ac:dyDescent="0.35">
      <c r="A72" s="23"/>
      <c r="B72" s="23"/>
      <c r="C72" s="23"/>
      <c r="D72" s="23"/>
      <c r="E72" s="23"/>
      <c r="F72" s="23"/>
      <c r="G72" s="23"/>
      <c r="H72" s="23"/>
      <c r="I72" s="23"/>
      <c r="J72" s="23"/>
      <c r="K72" s="23"/>
      <c r="L72" s="23"/>
      <c r="M72" s="23"/>
      <c r="N72" s="23"/>
      <c r="O72" s="23"/>
      <c r="P72" s="23"/>
      <c r="Q72" s="23"/>
      <c r="R72" s="23"/>
      <c r="S72" s="23"/>
      <c r="T72" s="23"/>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row>
    <row r="73" spans="1:50" x14ac:dyDescent="0.35">
      <c r="A73" s="23"/>
      <c r="B73" s="23"/>
      <c r="C73" s="23"/>
      <c r="D73" s="23"/>
      <c r="E73" s="23"/>
      <c r="F73" s="23"/>
      <c r="G73" s="23"/>
      <c r="H73" s="23"/>
      <c r="I73" s="23"/>
      <c r="J73" s="23"/>
      <c r="K73" s="23"/>
      <c r="L73" s="23"/>
      <c r="M73" s="23"/>
      <c r="N73" s="23"/>
      <c r="O73" s="23"/>
      <c r="P73" s="23"/>
      <c r="Q73" s="23"/>
      <c r="R73" s="23"/>
      <c r="S73" s="23"/>
      <c r="T73" s="23"/>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row>
    <row r="74" spans="1:50" x14ac:dyDescent="0.35">
      <c r="A74" s="23"/>
      <c r="B74" s="23"/>
      <c r="C74" s="23"/>
      <c r="D74" s="23"/>
      <c r="E74" s="23"/>
      <c r="F74" s="23"/>
      <c r="G74" s="23"/>
      <c r="H74" s="23"/>
      <c r="I74" s="23"/>
      <c r="J74" s="23"/>
      <c r="K74" s="23"/>
      <c r="L74" s="23"/>
      <c r="M74" s="23"/>
      <c r="N74" s="23"/>
      <c r="O74" s="23"/>
      <c r="P74" s="23"/>
      <c r="Q74" s="23"/>
      <c r="R74" s="23"/>
      <c r="S74" s="23"/>
      <c r="T74" s="23"/>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row>
    <row r="75" spans="1:50" x14ac:dyDescent="0.35">
      <c r="A75" s="23"/>
      <c r="B75" s="23"/>
      <c r="C75" s="23"/>
      <c r="D75" s="23"/>
      <c r="E75" s="23"/>
      <c r="F75" s="23"/>
      <c r="G75" s="23"/>
      <c r="H75" s="23"/>
      <c r="I75" s="23"/>
      <c r="J75" s="23"/>
      <c r="K75" s="23"/>
      <c r="L75" s="23"/>
      <c r="M75" s="23"/>
      <c r="N75" s="23"/>
      <c r="O75" s="23"/>
      <c r="P75" s="23"/>
      <c r="Q75" s="23"/>
      <c r="R75" s="23"/>
      <c r="S75" s="23"/>
      <c r="T75" s="23"/>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row>
    <row r="76" spans="1:50" x14ac:dyDescent="0.35">
      <c r="A76" s="23"/>
      <c r="B76" s="23"/>
      <c r="C76" s="23"/>
      <c r="D76" s="23"/>
      <c r="E76" s="23"/>
      <c r="F76" s="23"/>
      <c r="G76" s="23"/>
      <c r="H76" s="23"/>
      <c r="I76" s="23"/>
      <c r="J76" s="23"/>
      <c r="K76" s="23"/>
      <c r="L76" s="23"/>
      <c r="M76" s="23"/>
      <c r="N76" s="23"/>
      <c r="O76" s="23"/>
      <c r="P76" s="23"/>
      <c r="Q76" s="23"/>
      <c r="R76" s="23"/>
      <c r="S76" s="23"/>
      <c r="T76" s="23"/>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row>
    <row r="77" spans="1:50" x14ac:dyDescent="0.35">
      <c r="A77" s="23"/>
      <c r="B77" s="23"/>
      <c r="C77" s="23"/>
      <c r="D77" s="23"/>
      <c r="E77" s="23"/>
      <c r="F77" s="23"/>
      <c r="G77" s="23"/>
      <c r="H77" s="23"/>
      <c r="I77" s="23"/>
      <c r="J77" s="23"/>
      <c r="K77" s="23"/>
      <c r="L77" s="23"/>
      <c r="M77" s="23"/>
      <c r="N77" s="23"/>
      <c r="O77" s="23"/>
      <c r="P77" s="23"/>
      <c r="Q77" s="23"/>
      <c r="R77" s="23"/>
      <c r="S77" s="23"/>
      <c r="T77" s="23"/>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row>
    <row r="78" spans="1:50" x14ac:dyDescent="0.35">
      <c r="A78" s="23"/>
      <c r="B78" s="23"/>
      <c r="C78" s="23"/>
      <c r="D78" s="23"/>
      <c r="E78" s="23"/>
      <c r="F78" s="23"/>
      <c r="G78" s="23"/>
      <c r="H78" s="23"/>
      <c r="I78" s="23"/>
      <c r="J78" s="23"/>
      <c r="K78" s="23"/>
      <c r="L78" s="23"/>
      <c r="M78" s="23"/>
      <c r="N78" s="23"/>
      <c r="O78" s="23"/>
      <c r="P78" s="23"/>
      <c r="Q78" s="23"/>
      <c r="R78" s="23"/>
      <c r="S78" s="23"/>
      <c r="T78" s="23"/>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row>
    <row r="79" spans="1:50" x14ac:dyDescent="0.35">
      <c r="A79" s="23"/>
      <c r="B79" s="23"/>
      <c r="C79" s="23"/>
      <c r="D79" s="23"/>
      <c r="E79" s="23"/>
      <c r="F79" s="23"/>
      <c r="G79" s="23"/>
      <c r="H79" s="23"/>
      <c r="I79" s="23"/>
      <c r="J79" s="23"/>
      <c r="K79" s="23"/>
      <c r="L79" s="23"/>
      <c r="M79" s="23"/>
      <c r="N79" s="23"/>
      <c r="O79" s="23"/>
      <c r="P79" s="23"/>
      <c r="Q79" s="23"/>
      <c r="R79" s="23"/>
      <c r="S79" s="23"/>
      <c r="T79" s="23"/>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row>
    <row r="80" spans="1:50" x14ac:dyDescent="0.35">
      <c r="A80" s="23"/>
      <c r="B80" s="23"/>
      <c r="C80" s="23"/>
      <c r="D80" s="23"/>
      <c r="E80" s="23"/>
      <c r="F80" s="23"/>
      <c r="G80" s="23"/>
      <c r="H80" s="23"/>
      <c r="I80" s="23"/>
      <c r="J80" s="23"/>
      <c r="K80" s="23"/>
      <c r="L80" s="23"/>
      <c r="M80" s="23"/>
      <c r="N80" s="23"/>
      <c r="O80" s="23"/>
      <c r="P80" s="23"/>
      <c r="Q80" s="23"/>
      <c r="R80" s="23"/>
      <c r="S80" s="23"/>
      <c r="T80" s="23"/>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row>
    <row r="81" spans="1:50" x14ac:dyDescent="0.35">
      <c r="A81" s="23"/>
      <c r="B81" s="23"/>
      <c r="C81" s="23"/>
      <c r="D81" s="23"/>
      <c r="E81" s="23"/>
      <c r="F81" s="23"/>
      <c r="G81" s="23"/>
      <c r="H81" s="23"/>
      <c r="I81" s="23"/>
      <c r="J81" s="23"/>
      <c r="K81" s="23"/>
      <c r="L81" s="23"/>
      <c r="M81" s="23"/>
      <c r="N81" s="23"/>
      <c r="O81" s="23"/>
      <c r="P81" s="23"/>
      <c r="Q81" s="23"/>
      <c r="R81" s="23"/>
      <c r="S81" s="23"/>
      <c r="T81" s="23"/>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row>
    <row r="82" spans="1:50" x14ac:dyDescent="0.35">
      <c r="A82" s="23"/>
      <c r="B82" s="23"/>
      <c r="C82" s="23"/>
      <c r="D82" s="23"/>
      <c r="E82" s="23"/>
      <c r="F82" s="23"/>
      <c r="G82" s="23"/>
      <c r="H82" s="23"/>
      <c r="I82" s="23"/>
      <c r="J82" s="23"/>
      <c r="K82" s="23"/>
      <c r="L82" s="23"/>
      <c r="M82" s="23"/>
      <c r="N82" s="23"/>
      <c r="O82" s="23"/>
      <c r="P82" s="23"/>
      <c r="Q82" s="23"/>
      <c r="R82" s="23"/>
      <c r="S82" s="23"/>
      <c r="T82" s="23"/>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row>
    <row r="83" spans="1:50" x14ac:dyDescent="0.35">
      <c r="A83" s="23"/>
      <c r="B83" s="23"/>
      <c r="C83" s="23"/>
      <c r="D83" s="23"/>
      <c r="E83" s="23"/>
      <c r="F83" s="23"/>
      <c r="G83" s="23"/>
      <c r="H83" s="23"/>
      <c r="I83" s="23"/>
      <c r="J83" s="23"/>
      <c r="K83" s="23"/>
      <c r="L83" s="23"/>
      <c r="M83" s="23"/>
      <c r="N83" s="23"/>
      <c r="O83" s="23"/>
      <c r="P83" s="23"/>
      <c r="Q83" s="23"/>
      <c r="R83" s="23"/>
      <c r="S83" s="23"/>
      <c r="T83" s="23"/>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row>
    <row r="84" spans="1:50" x14ac:dyDescent="0.35">
      <c r="A84" s="23"/>
      <c r="B84" s="23"/>
      <c r="C84" s="23"/>
      <c r="D84" s="23"/>
      <c r="E84" s="23"/>
      <c r="F84" s="23"/>
      <c r="G84" s="23"/>
      <c r="H84" s="23"/>
      <c r="I84" s="23"/>
      <c r="J84" s="23"/>
      <c r="K84" s="23"/>
      <c r="L84" s="23"/>
      <c r="M84" s="23"/>
      <c r="N84" s="23"/>
      <c r="O84" s="23"/>
      <c r="P84" s="23"/>
      <c r="Q84" s="23"/>
      <c r="R84" s="23"/>
      <c r="S84" s="23"/>
      <c r="T84" s="23"/>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row>
    <row r="85" spans="1:50" x14ac:dyDescent="0.35">
      <c r="A85" s="23"/>
      <c r="B85" s="23"/>
      <c r="C85" s="23"/>
      <c r="D85" s="23"/>
      <c r="E85" s="23"/>
      <c r="F85" s="23"/>
      <c r="G85" s="23"/>
      <c r="H85" s="23"/>
      <c r="I85" s="23"/>
      <c r="J85" s="23"/>
      <c r="K85" s="23"/>
      <c r="L85" s="23"/>
      <c r="M85" s="23"/>
      <c r="N85" s="23"/>
      <c r="O85" s="23"/>
      <c r="P85" s="23"/>
      <c r="Q85" s="23"/>
      <c r="R85" s="23"/>
      <c r="S85" s="23"/>
      <c r="T85" s="23"/>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row>
    <row r="86" spans="1:50" x14ac:dyDescent="0.35">
      <c r="A86" s="23"/>
      <c r="B86" s="23"/>
      <c r="C86" s="23"/>
      <c r="D86" s="23"/>
      <c r="E86" s="23"/>
      <c r="F86" s="23"/>
      <c r="G86" s="23"/>
      <c r="H86" s="23"/>
      <c r="I86" s="23"/>
      <c r="J86" s="23"/>
      <c r="K86" s="23"/>
      <c r="L86" s="23"/>
      <c r="M86" s="23"/>
      <c r="N86" s="23"/>
      <c r="O86" s="23"/>
      <c r="P86" s="23"/>
      <c r="Q86" s="23"/>
      <c r="R86" s="23"/>
      <c r="S86" s="23"/>
      <c r="T86" s="23"/>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row>
    <row r="87" spans="1:50" x14ac:dyDescent="0.35">
      <c r="A87" s="23"/>
      <c r="B87" s="23"/>
      <c r="C87" s="23"/>
      <c r="D87" s="23"/>
      <c r="E87" s="23"/>
      <c r="F87" s="23"/>
      <c r="G87" s="23"/>
      <c r="H87" s="23"/>
      <c r="I87" s="23"/>
      <c r="J87" s="23"/>
      <c r="K87" s="23"/>
      <c r="L87" s="23"/>
      <c r="M87" s="23"/>
      <c r="N87" s="23"/>
      <c r="O87" s="23"/>
      <c r="P87" s="23"/>
      <c r="Q87" s="23"/>
      <c r="R87" s="23"/>
      <c r="S87" s="23"/>
      <c r="T87" s="23"/>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row>
    <row r="88" spans="1:50" x14ac:dyDescent="0.35">
      <c r="A88" s="23"/>
      <c r="B88" s="23"/>
      <c r="C88" s="23"/>
      <c r="D88" s="23"/>
      <c r="E88" s="23"/>
      <c r="F88" s="23"/>
      <c r="G88" s="23"/>
      <c r="H88" s="23"/>
      <c r="I88" s="23"/>
      <c r="J88" s="23"/>
      <c r="K88" s="23"/>
      <c r="L88" s="23"/>
      <c r="M88" s="23"/>
      <c r="N88" s="23"/>
      <c r="O88" s="23"/>
      <c r="P88" s="23"/>
      <c r="Q88" s="23"/>
      <c r="R88" s="23"/>
      <c r="S88" s="23"/>
      <c r="T88" s="23"/>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row>
    <row r="89" spans="1:50" x14ac:dyDescent="0.35">
      <c r="A89" s="23"/>
      <c r="B89" s="23"/>
      <c r="C89" s="23"/>
      <c r="D89" s="23"/>
      <c r="E89" s="23"/>
      <c r="F89" s="23"/>
      <c r="G89" s="23"/>
      <c r="H89" s="23"/>
      <c r="I89" s="23"/>
      <c r="J89" s="23"/>
      <c r="K89" s="23"/>
      <c r="L89" s="23"/>
      <c r="M89" s="23"/>
      <c r="N89" s="23"/>
      <c r="O89" s="23"/>
      <c r="P89" s="23"/>
      <c r="Q89" s="23"/>
      <c r="R89" s="23"/>
      <c r="S89" s="23"/>
      <c r="T89" s="23"/>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row>
    <row r="90" spans="1:50" x14ac:dyDescent="0.35">
      <c r="A90" s="23"/>
      <c r="B90" s="23"/>
      <c r="C90" s="23"/>
      <c r="D90" s="23"/>
      <c r="E90" s="23"/>
      <c r="F90" s="23"/>
      <c r="G90" s="23"/>
      <c r="H90" s="23"/>
      <c r="I90" s="23"/>
      <c r="J90" s="23"/>
      <c r="K90" s="23"/>
      <c r="L90" s="23"/>
      <c r="M90" s="23"/>
      <c r="N90" s="23"/>
      <c r="O90" s="23"/>
      <c r="P90" s="23"/>
      <c r="Q90" s="23"/>
      <c r="R90" s="23"/>
      <c r="S90" s="23"/>
      <c r="T90" s="23"/>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row>
    <row r="91" spans="1:50" x14ac:dyDescent="0.35">
      <c r="A91" s="23"/>
      <c r="B91" s="23"/>
      <c r="C91" s="23"/>
      <c r="D91" s="23"/>
      <c r="E91" s="23"/>
      <c r="F91" s="23"/>
      <c r="G91" s="23"/>
      <c r="H91" s="23"/>
      <c r="I91" s="23"/>
      <c r="J91" s="23"/>
      <c r="K91" s="23"/>
      <c r="L91" s="23"/>
      <c r="M91" s="23"/>
      <c r="N91" s="23"/>
      <c r="O91" s="23"/>
      <c r="P91" s="23"/>
      <c r="Q91" s="23"/>
      <c r="R91" s="23"/>
      <c r="S91" s="23"/>
      <c r="T91" s="23"/>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row>
    <row r="92" spans="1:50" x14ac:dyDescent="0.35">
      <c r="A92" s="23"/>
      <c r="B92" s="23"/>
      <c r="C92" s="23"/>
      <c r="D92" s="23"/>
      <c r="E92" s="23"/>
      <c r="F92" s="23"/>
      <c r="G92" s="23"/>
      <c r="H92" s="23"/>
      <c r="I92" s="23"/>
      <c r="J92" s="23"/>
      <c r="K92" s="23"/>
      <c r="L92" s="23"/>
      <c r="M92" s="23"/>
      <c r="N92" s="23"/>
      <c r="O92" s="23"/>
      <c r="P92" s="23"/>
      <c r="Q92" s="23"/>
      <c r="R92" s="23"/>
      <c r="S92" s="23"/>
      <c r="T92" s="23"/>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row>
    <row r="93" spans="1:50" x14ac:dyDescent="0.35">
      <c r="A93" s="23"/>
      <c r="B93" s="23"/>
      <c r="C93" s="23"/>
      <c r="D93" s="23"/>
      <c r="E93" s="23"/>
      <c r="F93" s="23"/>
      <c r="G93" s="23"/>
      <c r="H93" s="23"/>
      <c r="I93" s="23"/>
      <c r="J93" s="23"/>
      <c r="K93" s="23"/>
      <c r="L93" s="23"/>
      <c r="M93" s="23"/>
      <c r="N93" s="23"/>
      <c r="O93" s="23"/>
      <c r="P93" s="23"/>
      <c r="Q93" s="23"/>
      <c r="R93" s="23"/>
      <c r="S93" s="23"/>
      <c r="T93" s="23"/>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row>
    <row r="94" spans="1:50" x14ac:dyDescent="0.35">
      <c r="A94" s="23"/>
      <c r="B94" s="23"/>
      <c r="C94" s="23"/>
      <c r="D94" s="23"/>
      <c r="E94" s="23"/>
      <c r="F94" s="23"/>
      <c r="G94" s="23"/>
      <c r="H94" s="23"/>
      <c r="I94" s="23"/>
      <c r="J94" s="23"/>
      <c r="K94" s="23"/>
      <c r="L94" s="23"/>
      <c r="M94" s="23"/>
      <c r="N94" s="23"/>
      <c r="O94" s="23"/>
      <c r="P94" s="23"/>
      <c r="Q94" s="23"/>
      <c r="R94" s="23"/>
      <c r="S94" s="23"/>
      <c r="T94" s="23"/>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row>
    <row r="95" spans="1:50" x14ac:dyDescent="0.35">
      <c r="A95" s="23"/>
      <c r="B95" s="23"/>
      <c r="C95" s="23"/>
      <c r="D95" s="23"/>
      <c r="E95" s="23"/>
      <c r="F95" s="23"/>
      <c r="G95" s="23"/>
      <c r="H95" s="23"/>
      <c r="I95" s="23"/>
      <c r="J95" s="23"/>
      <c r="K95" s="23"/>
      <c r="L95" s="23"/>
      <c r="M95" s="23"/>
      <c r="N95" s="23"/>
      <c r="O95" s="23"/>
      <c r="P95" s="23"/>
      <c r="Q95" s="23"/>
      <c r="R95" s="23"/>
      <c r="S95" s="23"/>
      <c r="T95" s="23"/>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row>
    <row r="96" spans="1:50" x14ac:dyDescent="0.35">
      <c r="A96" s="23"/>
      <c r="B96" s="23"/>
      <c r="C96" s="23"/>
      <c r="D96" s="23"/>
      <c r="E96" s="23"/>
      <c r="F96" s="23"/>
      <c r="G96" s="23"/>
      <c r="H96" s="23"/>
      <c r="I96" s="23"/>
      <c r="J96" s="23"/>
      <c r="K96" s="23"/>
      <c r="L96" s="23"/>
      <c r="M96" s="23"/>
      <c r="N96" s="23"/>
      <c r="O96" s="23"/>
      <c r="P96" s="23"/>
      <c r="Q96" s="23"/>
      <c r="R96" s="23"/>
      <c r="S96" s="23"/>
      <c r="T96" s="23"/>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row>
    <row r="97" spans="1:50" x14ac:dyDescent="0.35">
      <c r="A97" s="23"/>
      <c r="B97" s="23"/>
      <c r="C97" s="23"/>
      <c r="D97" s="23"/>
      <c r="E97" s="23"/>
      <c r="F97" s="23"/>
      <c r="G97" s="23"/>
      <c r="H97" s="23"/>
      <c r="I97" s="23"/>
      <c r="J97" s="23"/>
      <c r="K97" s="23"/>
      <c r="L97" s="23"/>
      <c r="M97" s="23"/>
      <c r="N97" s="23"/>
      <c r="O97" s="23"/>
      <c r="P97" s="23"/>
      <c r="Q97" s="23"/>
      <c r="R97" s="23"/>
      <c r="S97" s="23"/>
      <c r="T97" s="23"/>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row>
    <row r="98" spans="1:50" x14ac:dyDescent="0.35">
      <c r="A98" s="23"/>
      <c r="B98" s="23"/>
      <c r="C98" s="23"/>
      <c r="D98" s="23"/>
      <c r="E98" s="23"/>
      <c r="F98" s="23"/>
      <c r="G98" s="23"/>
      <c r="H98" s="23"/>
      <c r="I98" s="23"/>
      <c r="J98" s="23"/>
      <c r="K98" s="23"/>
      <c r="L98" s="23"/>
      <c r="M98" s="23"/>
      <c r="N98" s="23"/>
      <c r="O98" s="23"/>
      <c r="P98" s="23"/>
      <c r="Q98" s="23"/>
      <c r="R98" s="23"/>
      <c r="S98" s="23"/>
      <c r="T98" s="23"/>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row>
    <row r="99" spans="1:50" x14ac:dyDescent="0.35">
      <c r="A99" s="23"/>
      <c r="B99" s="23"/>
      <c r="C99" s="23"/>
      <c r="D99" s="23"/>
      <c r="E99" s="23"/>
      <c r="F99" s="23"/>
      <c r="G99" s="23"/>
      <c r="H99" s="23"/>
      <c r="I99" s="23"/>
      <c r="J99" s="23"/>
      <c r="K99" s="23"/>
      <c r="L99" s="23"/>
      <c r="M99" s="23"/>
      <c r="N99" s="23"/>
      <c r="O99" s="23"/>
      <c r="P99" s="23"/>
      <c r="Q99" s="23"/>
      <c r="R99" s="23"/>
      <c r="S99" s="23"/>
      <c r="T99" s="23"/>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row>
    <row r="100" spans="1:50" x14ac:dyDescent="0.35">
      <c r="A100" s="23"/>
      <c r="B100" s="23"/>
      <c r="C100" s="23"/>
      <c r="D100" s="23"/>
      <c r="E100" s="23"/>
      <c r="F100" s="23"/>
      <c r="G100" s="23"/>
      <c r="H100" s="23"/>
      <c r="I100" s="23"/>
      <c r="J100" s="23"/>
      <c r="K100" s="23"/>
      <c r="L100" s="23"/>
      <c r="M100" s="23"/>
      <c r="N100" s="23"/>
      <c r="O100" s="23"/>
      <c r="P100" s="23"/>
      <c r="Q100" s="23"/>
      <c r="R100" s="23"/>
      <c r="S100" s="23"/>
      <c r="T100" s="23"/>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row>
    <row r="101" spans="1:50" x14ac:dyDescent="0.35">
      <c r="A101" s="23"/>
      <c r="B101" s="23"/>
      <c r="C101" s="23"/>
      <c r="D101" s="23"/>
      <c r="E101" s="23"/>
      <c r="F101" s="23"/>
      <c r="G101" s="23"/>
      <c r="H101" s="23"/>
      <c r="I101" s="23"/>
      <c r="J101" s="23"/>
      <c r="K101" s="23"/>
      <c r="L101" s="23"/>
      <c r="M101" s="23"/>
      <c r="N101" s="23"/>
      <c r="O101" s="23"/>
      <c r="P101" s="23"/>
      <c r="Q101" s="23"/>
      <c r="R101" s="23"/>
      <c r="S101" s="23"/>
      <c r="T101" s="23"/>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row>
    <row r="102" spans="1:50" x14ac:dyDescent="0.35">
      <c r="A102" s="23"/>
      <c r="B102" s="23"/>
      <c r="C102" s="23"/>
      <c r="D102" s="23"/>
      <c r="E102" s="23"/>
      <c r="F102" s="23"/>
      <c r="G102" s="23"/>
      <c r="H102" s="23"/>
      <c r="I102" s="23"/>
      <c r="J102" s="23"/>
      <c r="K102" s="23"/>
      <c r="L102" s="23"/>
      <c r="M102" s="23"/>
      <c r="N102" s="23"/>
      <c r="O102" s="23"/>
      <c r="P102" s="23"/>
      <c r="Q102" s="23"/>
      <c r="R102" s="23"/>
      <c r="S102" s="23"/>
      <c r="T102" s="23"/>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row>
    <row r="103" spans="1:50" x14ac:dyDescent="0.35">
      <c r="A103" s="23"/>
      <c r="B103" s="23"/>
      <c r="C103" s="23"/>
      <c r="D103" s="23"/>
      <c r="E103" s="23"/>
      <c r="F103" s="23"/>
      <c r="G103" s="23"/>
      <c r="H103" s="23"/>
      <c r="I103" s="23"/>
      <c r="J103" s="23"/>
      <c r="K103" s="23"/>
      <c r="L103" s="23"/>
      <c r="M103" s="23"/>
      <c r="N103" s="23"/>
      <c r="O103" s="23"/>
      <c r="P103" s="23"/>
      <c r="Q103" s="23"/>
      <c r="R103" s="23"/>
      <c r="S103" s="23"/>
      <c r="T103" s="23"/>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row>
    <row r="104" spans="1:50" x14ac:dyDescent="0.35">
      <c r="A104" s="23"/>
      <c r="B104" s="23"/>
      <c r="C104" s="23"/>
      <c r="D104" s="23"/>
      <c r="E104" s="23"/>
      <c r="F104" s="23"/>
      <c r="G104" s="23"/>
      <c r="H104" s="23"/>
      <c r="I104" s="23"/>
      <c r="J104" s="23"/>
      <c r="K104" s="23"/>
      <c r="L104" s="23"/>
      <c r="M104" s="23"/>
      <c r="N104" s="23"/>
      <c r="O104" s="23"/>
      <c r="P104" s="23"/>
      <c r="Q104" s="23"/>
      <c r="R104" s="23"/>
      <c r="S104" s="23"/>
      <c r="T104" s="23"/>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row>
    <row r="105" spans="1:50" x14ac:dyDescent="0.35">
      <c r="A105" s="23"/>
      <c r="B105" s="23"/>
      <c r="C105" s="23"/>
      <c r="D105" s="23"/>
      <c r="E105" s="23"/>
      <c r="F105" s="23"/>
      <c r="G105" s="23"/>
      <c r="H105" s="23"/>
      <c r="I105" s="23"/>
      <c r="J105" s="23"/>
      <c r="K105" s="23"/>
      <c r="L105" s="23"/>
      <c r="M105" s="23"/>
      <c r="N105" s="23"/>
      <c r="O105" s="23"/>
      <c r="P105" s="23"/>
      <c r="Q105" s="23"/>
      <c r="R105" s="23"/>
      <c r="S105" s="23"/>
      <c r="T105" s="23"/>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row>
    <row r="106" spans="1:50" x14ac:dyDescent="0.35">
      <c r="A106" s="23"/>
      <c r="B106" s="23"/>
      <c r="C106" s="23"/>
      <c r="D106" s="23"/>
      <c r="E106" s="23"/>
      <c r="F106" s="23"/>
      <c r="G106" s="23"/>
      <c r="H106" s="23"/>
      <c r="I106" s="23"/>
      <c r="J106" s="23"/>
      <c r="K106" s="23"/>
      <c r="L106" s="23"/>
      <c r="M106" s="23"/>
      <c r="N106" s="23"/>
      <c r="O106" s="23"/>
      <c r="P106" s="23"/>
      <c r="Q106" s="23"/>
      <c r="R106" s="23"/>
      <c r="S106" s="23"/>
      <c r="T106" s="23"/>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row>
    <row r="107" spans="1:50" x14ac:dyDescent="0.35">
      <c r="A107" s="23"/>
      <c r="B107" s="23"/>
      <c r="C107" s="23"/>
      <c r="D107" s="23"/>
      <c r="E107" s="23"/>
      <c r="F107" s="23"/>
      <c r="G107" s="23"/>
      <c r="H107" s="23"/>
      <c r="I107" s="23"/>
      <c r="J107" s="23"/>
      <c r="K107" s="23"/>
      <c r="L107" s="23"/>
      <c r="M107" s="23"/>
      <c r="N107" s="23"/>
      <c r="O107" s="23"/>
      <c r="P107" s="23"/>
      <c r="Q107" s="23"/>
      <c r="R107" s="23"/>
      <c r="S107" s="23"/>
      <c r="T107" s="23"/>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row>
    <row r="108" spans="1:50" x14ac:dyDescent="0.35">
      <c r="A108" s="23"/>
      <c r="B108" s="23"/>
      <c r="C108" s="23"/>
      <c r="D108" s="23"/>
      <c r="E108" s="23"/>
      <c r="F108" s="23"/>
      <c r="G108" s="23"/>
      <c r="H108" s="23"/>
      <c r="I108" s="23"/>
      <c r="J108" s="23"/>
      <c r="K108" s="23"/>
      <c r="L108" s="23"/>
      <c r="M108" s="23"/>
      <c r="N108" s="23"/>
      <c r="O108" s="23"/>
      <c r="P108" s="23"/>
      <c r="Q108" s="23"/>
      <c r="R108" s="23"/>
      <c r="S108" s="23"/>
      <c r="T108" s="23"/>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row>
    <row r="109" spans="1:50" x14ac:dyDescent="0.35">
      <c r="A109" s="23"/>
      <c r="B109" s="23"/>
      <c r="C109" s="23"/>
      <c r="D109" s="23"/>
      <c r="E109" s="23"/>
      <c r="F109" s="23"/>
      <c r="G109" s="23"/>
      <c r="H109" s="23"/>
      <c r="I109" s="23"/>
      <c r="J109" s="23"/>
      <c r="K109" s="23"/>
      <c r="L109" s="23"/>
      <c r="M109" s="23"/>
      <c r="N109" s="23"/>
      <c r="O109" s="23"/>
      <c r="P109" s="23"/>
      <c r="Q109" s="23"/>
      <c r="R109" s="23"/>
      <c r="S109" s="23"/>
      <c r="T109" s="23"/>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row>
    <row r="110" spans="1:50" x14ac:dyDescent="0.35">
      <c r="A110" s="23"/>
      <c r="B110" s="23"/>
      <c r="C110" s="23"/>
      <c r="D110" s="23"/>
      <c r="E110" s="23"/>
      <c r="F110" s="23"/>
      <c r="G110" s="23"/>
      <c r="H110" s="23"/>
      <c r="I110" s="23"/>
      <c r="J110" s="23"/>
      <c r="K110" s="23"/>
      <c r="L110" s="23"/>
      <c r="M110" s="23"/>
      <c r="N110" s="23"/>
      <c r="O110" s="23"/>
      <c r="P110" s="23"/>
      <c r="Q110" s="23"/>
      <c r="R110" s="23"/>
      <c r="S110" s="23"/>
      <c r="T110" s="23"/>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row>
    <row r="111" spans="1:50" x14ac:dyDescent="0.35">
      <c r="A111" s="23"/>
      <c r="B111" s="23"/>
      <c r="C111" s="23"/>
      <c r="D111" s="23"/>
      <c r="E111" s="23"/>
      <c r="F111" s="23"/>
      <c r="G111" s="23"/>
      <c r="H111" s="23"/>
      <c r="I111" s="23"/>
      <c r="J111" s="23"/>
      <c r="K111" s="23"/>
      <c r="L111" s="23"/>
      <c r="M111" s="23"/>
      <c r="N111" s="23"/>
      <c r="O111" s="23"/>
      <c r="P111" s="23"/>
      <c r="Q111" s="23"/>
      <c r="R111" s="23"/>
      <c r="S111" s="23"/>
      <c r="T111" s="23"/>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row>
    <row r="112" spans="1:50" x14ac:dyDescent="0.35">
      <c r="A112" s="23"/>
      <c r="B112" s="23"/>
      <c r="C112" s="23"/>
      <c r="D112" s="23"/>
      <c r="E112" s="23"/>
      <c r="F112" s="23"/>
      <c r="G112" s="23"/>
      <c r="H112" s="23"/>
      <c r="I112" s="23"/>
      <c r="J112" s="23"/>
      <c r="K112" s="23"/>
      <c r="L112" s="23"/>
      <c r="M112" s="23"/>
      <c r="N112" s="23"/>
      <c r="O112" s="23"/>
      <c r="P112" s="23"/>
      <c r="Q112" s="23"/>
      <c r="R112" s="23"/>
      <c r="S112" s="23"/>
      <c r="T112" s="23"/>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row>
    <row r="113" spans="1:50" x14ac:dyDescent="0.35">
      <c r="A113" s="23"/>
      <c r="B113" s="23"/>
      <c r="C113" s="23"/>
      <c r="D113" s="23"/>
      <c r="E113" s="23"/>
      <c r="F113" s="23"/>
      <c r="G113" s="23"/>
      <c r="H113" s="23"/>
      <c r="I113" s="23"/>
      <c r="J113" s="23"/>
      <c r="K113" s="23"/>
      <c r="L113" s="23"/>
      <c r="M113" s="23"/>
      <c r="N113" s="23"/>
      <c r="O113" s="23"/>
      <c r="P113" s="23"/>
      <c r="Q113" s="23"/>
      <c r="R113" s="23"/>
      <c r="S113" s="23"/>
      <c r="T113" s="23"/>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row>
    <row r="114" spans="1:50" x14ac:dyDescent="0.35">
      <c r="A114" s="23"/>
      <c r="B114" s="23"/>
      <c r="C114" s="23"/>
      <c r="D114" s="23"/>
      <c r="E114" s="23"/>
      <c r="F114" s="23"/>
      <c r="G114" s="23"/>
      <c r="H114" s="23"/>
      <c r="I114" s="23"/>
      <c r="J114" s="23"/>
      <c r="K114" s="23"/>
      <c r="L114" s="23"/>
      <c r="M114" s="23"/>
      <c r="N114" s="23"/>
      <c r="O114" s="23"/>
      <c r="P114" s="23"/>
      <c r="Q114" s="23"/>
      <c r="R114" s="23"/>
      <c r="S114" s="23"/>
      <c r="T114" s="23"/>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row>
    <row r="115" spans="1:50" x14ac:dyDescent="0.35">
      <c r="A115" s="23"/>
      <c r="B115" s="23"/>
      <c r="C115" s="23"/>
      <c r="D115" s="23"/>
      <c r="E115" s="23"/>
      <c r="F115" s="23"/>
      <c r="G115" s="23"/>
      <c r="H115" s="23"/>
      <c r="I115" s="23"/>
      <c r="J115" s="23"/>
      <c r="K115" s="23"/>
      <c r="L115" s="23"/>
      <c r="M115" s="23"/>
      <c r="N115" s="23"/>
      <c r="O115" s="23"/>
      <c r="P115" s="23"/>
      <c r="Q115" s="23"/>
      <c r="R115" s="23"/>
      <c r="S115" s="23"/>
      <c r="T115" s="23"/>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row>
    <row r="116" spans="1:50" x14ac:dyDescent="0.35">
      <c r="A116" s="23"/>
      <c r="B116" s="23"/>
      <c r="C116" s="23"/>
      <c r="D116" s="23"/>
      <c r="E116" s="23"/>
      <c r="F116" s="23"/>
      <c r="G116" s="23"/>
      <c r="H116" s="23"/>
      <c r="I116" s="23"/>
      <c r="J116" s="23"/>
      <c r="K116" s="23"/>
      <c r="L116" s="23"/>
      <c r="M116" s="23"/>
      <c r="N116" s="23"/>
      <c r="O116" s="23"/>
      <c r="P116" s="23"/>
      <c r="Q116" s="23"/>
      <c r="R116" s="23"/>
      <c r="S116" s="23"/>
      <c r="T116" s="23"/>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row>
    <row r="117" spans="1:50" x14ac:dyDescent="0.35">
      <c r="A117" s="23"/>
      <c r="B117" s="23"/>
      <c r="C117" s="23"/>
      <c r="D117" s="23"/>
      <c r="E117" s="23"/>
      <c r="F117" s="23"/>
      <c r="G117" s="23"/>
      <c r="H117" s="23"/>
      <c r="I117" s="23"/>
      <c r="J117" s="23"/>
      <c r="K117" s="23"/>
      <c r="L117" s="23"/>
      <c r="M117" s="23"/>
      <c r="N117" s="23"/>
      <c r="O117" s="23"/>
      <c r="P117" s="23"/>
      <c r="Q117" s="23"/>
      <c r="R117" s="23"/>
      <c r="S117" s="23"/>
      <c r="T117" s="23"/>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row>
    <row r="118" spans="1:50" x14ac:dyDescent="0.35">
      <c r="A118" s="23"/>
      <c r="B118" s="23"/>
      <c r="C118" s="23"/>
      <c r="D118" s="23"/>
      <c r="E118" s="23"/>
      <c r="F118" s="23"/>
      <c r="G118" s="23"/>
      <c r="H118" s="23"/>
      <c r="I118" s="23"/>
      <c r="J118" s="23"/>
      <c r="K118" s="23"/>
      <c r="L118" s="23"/>
      <c r="M118" s="23"/>
      <c r="N118" s="23"/>
      <c r="O118" s="23"/>
      <c r="P118" s="23"/>
      <c r="Q118" s="23"/>
      <c r="R118" s="23"/>
      <c r="S118" s="23"/>
      <c r="T118" s="23"/>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row>
    <row r="119" spans="1:50" x14ac:dyDescent="0.35">
      <c r="A119" s="23"/>
      <c r="B119" s="23"/>
      <c r="C119" s="23"/>
      <c r="D119" s="23"/>
      <c r="E119" s="23"/>
      <c r="F119" s="23"/>
      <c r="G119" s="23"/>
      <c r="H119" s="23"/>
      <c r="I119" s="23"/>
      <c r="J119" s="23"/>
      <c r="K119" s="23"/>
      <c r="L119" s="23"/>
      <c r="M119" s="23"/>
      <c r="N119" s="23"/>
      <c r="O119" s="23"/>
      <c r="P119" s="23"/>
      <c r="Q119" s="23"/>
      <c r="R119" s="23"/>
      <c r="S119" s="23"/>
      <c r="T119" s="23"/>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row>
    <row r="120" spans="1:50" x14ac:dyDescent="0.35">
      <c r="A120" s="23"/>
      <c r="B120" s="23"/>
      <c r="C120" s="23"/>
      <c r="D120" s="23"/>
      <c r="E120" s="23"/>
      <c r="F120" s="23"/>
      <c r="G120" s="23"/>
      <c r="H120" s="23"/>
      <c r="I120" s="23"/>
      <c r="J120" s="23"/>
      <c r="K120" s="23"/>
      <c r="L120" s="23"/>
      <c r="M120" s="23"/>
      <c r="N120" s="23"/>
      <c r="O120" s="23"/>
      <c r="P120" s="23"/>
      <c r="Q120" s="23"/>
      <c r="R120" s="23"/>
      <c r="S120" s="23"/>
      <c r="T120" s="23"/>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row>
    <row r="121" spans="1:50" x14ac:dyDescent="0.35">
      <c r="A121" s="23"/>
      <c r="B121" s="23"/>
      <c r="C121" s="23"/>
      <c r="D121" s="23"/>
      <c r="E121" s="23"/>
      <c r="F121" s="23"/>
      <c r="G121" s="23"/>
      <c r="H121" s="23"/>
      <c r="I121" s="23"/>
      <c r="J121" s="23"/>
      <c r="K121" s="23"/>
      <c r="L121" s="23"/>
      <c r="M121" s="23"/>
      <c r="N121" s="23"/>
      <c r="O121" s="23"/>
      <c r="P121" s="23"/>
      <c r="Q121" s="23"/>
      <c r="R121" s="23"/>
      <c r="S121" s="23"/>
      <c r="T121" s="23"/>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row>
    <row r="122" spans="1:50" x14ac:dyDescent="0.35">
      <c r="A122" s="23"/>
      <c r="B122" s="23"/>
      <c r="C122" s="23"/>
      <c r="D122" s="23"/>
      <c r="E122" s="23"/>
      <c r="F122" s="23"/>
      <c r="G122" s="23"/>
      <c r="H122" s="23"/>
      <c r="I122" s="23"/>
      <c r="J122" s="23"/>
      <c r="K122" s="23"/>
      <c r="L122" s="23"/>
      <c r="M122" s="23"/>
      <c r="N122" s="23"/>
      <c r="O122" s="23"/>
      <c r="P122" s="23"/>
      <c r="Q122" s="23"/>
      <c r="R122" s="23"/>
      <c r="S122" s="23"/>
      <c r="T122" s="23"/>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row>
    <row r="123" spans="1:50" x14ac:dyDescent="0.35">
      <c r="A123" s="23"/>
      <c r="B123" s="23"/>
      <c r="C123" s="23"/>
      <c r="D123" s="23"/>
      <c r="E123" s="23"/>
      <c r="F123" s="23"/>
      <c r="G123" s="23"/>
      <c r="H123" s="23"/>
      <c r="I123" s="23"/>
      <c r="J123" s="23"/>
      <c r="K123" s="23"/>
      <c r="L123" s="23"/>
      <c r="M123" s="23"/>
      <c r="N123" s="23"/>
      <c r="O123" s="23"/>
      <c r="P123" s="23"/>
      <c r="Q123" s="23"/>
      <c r="R123" s="23"/>
      <c r="S123" s="23"/>
      <c r="T123" s="23"/>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row>
    <row r="124" spans="1:50" x14ac:dyDescent="0.35">
      <c r="A124" s="23"/>
      <c r="B124" s="23"/>
      <c r="C124" s="23"/>
      <c r="D124" s="23"/>
      <c r="E124" s="23"/>
      <c r="F124" s="23"/>
      <c r="G124" s="23"/>
      <c r="H124" s="23"/>
      <c r="I124" s="23"/>
      <c r="J124" s="23"/>
      <c r="K124" s="23"/>
      <c r="L124" s="23"/>
      <c r="M124" s="23"/>
      <c r="N124" s="23"/>
      <c r="O124" s="23"/>
      <c r="P124" s="23"/>
      <c r="Q124" s="23"/>
      <c r="R124" s="23"/>
      <c r="S124" s="23"/>
      <c r="T124" s="23"/>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row>
    <row r="125" spans="1:50" x14ac:dyDescent="0.35">
      <c r="A125" s="23"/>
      <c r="B125" s="23"/>
      <c r="C125" s="23"/>
      <c r="D125" s="23"/>
      <c r="E125" s="23"/>
      <c r="F125" s="23"/>
      <c r="G125" s="23"/>
      <c r="H125" s="23"/>
      <c r="I125" s="23"/>
      <c r="J125" s="23"/>
      <c r="K125" s="23"/>
      <c r="L125" s="23"/>
      <c r="M125" s="23"/>
      <c r="N125" s="23"/>
      <c r="O125" s="23"/>
      <c r="P125" s="23"/>
      <c r="Q125" s="23"/>
      <c r="R125" s="23"/>
      <c r="S125" s="23"/>
      <c r="T125" s="23"/>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row>
    <row r="126" spans="1:50" x14ac:dyDescent="0.35">
      <c r="A126" s="23"/>
      <c r="B126" s="23"/>
      <c r="C126" s="23"/>
      <c r="D126" s="23"/>
      <c r="E126" s="23"/>
      <c r="F126" s="23"/>
      <c r="G126" s="23"/>
      <c r="H126" s="23"/>
      <c r="I126" s="23"/>
      <c r="J126" s="23"/>
      <c r="K126" s="23"/>
      <c r="L126" s="23"/>
      <c r="M126" s="23"/>
      <c r="N126" s="23"/>
      <c r="O126" s="23"/>
      <c r="P126" s="23"/>
      <c r="Q126" s="23"/>
      <c r="R126" s="23"/>
      <c r="S126" s="23"/>
      <c r="T126" s="23"/>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row>
    <row r="127" spans="1:50" x14ac:dyDescent="0.35">
      <c r="A127" s="23"/>
      <c r="B127" s="23"/>
      <c r="C127" s="23"/>
      <c r="D127" s="23"/>
      <c r="E127" s="23"/>
      <c r="F127" s="23"/>
      <c r="G127" s="23"/>
      <c r="H127" s="23"/>
      <c r="I127" s="23"/>
      <c r="J127" s="23"/>
      <c r="K127" s="23"/>
      <c r="L127" s="23"/>
      <c r="M127" s="23"/>
      <c r="N127" s="23"/>
      <c r="O127" s="23"/>
      <c r="P127" s="23"/>
      <c r="Q127" s="23"/>
      <c r="R127" s="23"/>
      <c r="S127" s="23"/>
      <c r="T127" s="23"/>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row>
    <row r="128" spans="1:50" x14ac:dyDescent="0.35">
      <c r="A128" s="23"/>
      <c r="B128" s="23"/>
      <c r="C128" s="23"/>
      <c r="D128" s="23"/>
      <c r="E128" s="23"/>
      <c r="F128" s="23"/>
      <c r="G128" s="23"/>
      <c r="H128" s="23"/>
      <c r="I128" s="23"/>
      <c r="J128" s="23"/>
      <c r="K128" s="23"/>
      <c r="L128" s="23"/>
      <c r="M128" s="23"/>
      <c r="N128" s="23"/>
      <c r="O128" s="23"/>
      <c r="P128" s="23"/>
      <c r="Q128" s="23"/>
      <c r="R128" s="23"/>
      <c r="S128" s="23"/>
      <c r="T128" s="23"/>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row>
    <row r="129" spans="1:50" x14ac:dyDescent="0.35">
      <c r="A129" s="23"/>
      <c r="B129" s="23"/>
      <c r="C129" s="23"/>
      <c r="D129" s="23"/>
      <c r="E129" s="23"/>
      <c r="F129" s="23"/>
      <c r="G129" s="23"/>
      <c r="H129" s="23"/>
      <c r="I129" s="23"/>
      <c r="J129" s="23"/>
      <c r="K129" s="23"/>
      <c r="L129" s="23"/>
      <c r="M129" s="23"/>
      <c r="N129" s="23"/>
      <c r="O129" s="23"/>
      <c r="P129" s="23"/>
      <c r="Q129" s="23"/>
      <c r="R129" s="23"/>
      <c r="S129" s="23"/>
      <c r="T129" s="23"/>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row>
    <row r="130" spans="1:50" x14ac:dyDescent="0.35">
      <c r="A130" s="23"/>
      <c r="B130" s="23"/>
      <c r="C130" s="23"/>
      <c r="D130" s="23"/>
      <c r="E130" s="23"/>
      <c r="F130" s="23"/>
      <c r="G130" s="23"/>
      <c r="H130" s="23"/>
      <c r="I130" s="23"/>
      <c r="J130" s="23"/>
      <c r="K130" s="23"/>
      <c r="L130" s="23"/>
      <c r="M130" s="23"/>
      <c r="N130" s="23"/>
      <c r="O130" s="23"/>
      <c r="P130" s="23"/>
      <c r="Q130" s="23"/>
      <c r="R130" s="23"/>
      <c r="S130" s="23"/>
      <c r="T130" s="23"/>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row>
    <row r="131" spans="1:50" x14ac:dyDescent="0.35">
      <c r="A131" s="23"/>
      <c r="B131" s="23"/>
      <c r="C131" s="23"/>
      <c r="D131" s="23"/>
      <c r="E131" s="23"/>
      <c r="F131" s="23"/>
      <c r="G131" s="23"/>
      <c r="H131" s="23"/>
      <c r="I131" s="23"/>
      <c r="J131" s="23"/>
      <c r="K131" s="23"/>
      <c r="L131" s="23"/>
      <c r="M131" s="23"/>
      <c r="N131" s="23"/>
      <c r="O131" s="23"/>
      <c r="P131" s="23"/>
      <c r="Q131" s="23"/>
      <c r="R131" s="23"/>
      <c r="S131" s="23"/>
      <c r="T131" s="23"/>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row>
    <row r="132" spans="1:50" x14ac:dyDescent="0.35">
      <c r="A132" s="23"/>
      <c r="B132" s="23"/>
      <c r="C132" s="23"/>
      <c r="D132" s="23"/>
      <c r="E132" s="23"/>
      <c r="F132" s="23"/>
      <c r="G132" s="23"/>
      <c r="H132" s="23"/>
      <c r="I132" s="23"/>
      <c r="J132" s="23"/>
      <c r="K132" s="23"/>
      <c r="L132" s="23"/>
      <c r="M132" s="23"/>
      <c r="N132" s="23"/>
      <c r="O132" s="23"/>
      <c r="P132" s="23"/>
      <c r="Q132" s="23"/>
      <c r="R132" s="23"/>
      <c r="S132" s="23"/>
      <c r="T132" s="23"/>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row>
    <row r="133" spans="1:50" x14ac:dyDescent="0.35">
      <c r="A133" s="23"/>
      <c r="B133" s="23"/>
      <c r="C133" s="23"/>
      <c r="D133" s="23"/>
      <c r="E133" s="23"/>
      <c r="F133" s="23"/>
      <c r="G133" s="23"/>
      <c r="H133" s="23"/>
      <c r="I133" s="23"/>
      <c r="J133" s="23"/>
      <c r="K133" s="23"/>
      <c r="L133" s="23"/>
      <c r="M133" s="23"/>
      <c r="N133" s="23"/>
      <c r="O133" s="23"/>
      <c r="P133" s="23"/>
      <c r="Q133" s="23"/>
      <c r="R133" s="23"/>
      <c r="S133" s="23"/>
      <c r="T133" s="23"/>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row>
    <row r="134" spans="1:50" x14ac:dyDescent="0.35">
      <c r="A134" s="23"/>
      <c r="B134" s="23"/>
      <c r="C134" s="23"/>
      <c r="D134" s="23"/>
      <c r="E134" s="23"/>
      <c r="F134" s="23"/>
      <c r="G134" s="23"/>
      <c r="H134" s="23"/>
      <c r="I134" s="23"/>
      <c r="J134" s="23"/>
      <c r="K134" s="23"/>
      <c r="L134" s="23"/>
      <c r="M134" s="23"/>
      <c r="N134" s="23"/>
      <c r="O134" s="23"/>
      <c r="P134" s="23"/>
      <c r="Q134" s="23"/>
      <c r="R134" s="23"/>
      <c r="S134" s="23"/>
      <c r="T134" s="23"/>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row>
    <row r="135" spans="1:50" x14ac:dyDescent="0.35">
      <c r="A135" s="23"/>
      <c r="B135" s="23"/>
      <c r="C135" s="23"/>
      <c r="D135" s="23"/>
      <c r="E135" s="23"/>
      <c r="F135" s="23"/>
      <c r="G135" s="23"/>
      <c r="H135" s="23"/>
      <c r="I135" s="23"/>
      <c r="J135" s="23"/>
      <c r="K135" s="23"/>
      <c r="L135" s="23"/>
      <c r="M135" s="23"/>
      <c r="N135" s="23"/>
      <c r="O135" s="23"/>
      <c r="P135" s="23"/>
      <c r="Q135" s="23"/>
      <c r="R135" s="23"/>
      <c r="S135" s="23"/>
      <c r="T135" s="23"/>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row>
    <row r="136" spans="1:50" x14ac:dyDescent="0.35">
      <c r="A136" s="23"/>
      <c r="B136" s="23"/>
      <c r="C136" s="23"/>
      <c r="D136" s="23"/>
      <c r="E136" s="23"/>
      <c r="F136" s="23"/>
      <c r="G136" s="23"/>
      <c r="H136" s="23"/>
      <c r="I136" s="23"/>
      <c r="J136" s="23"/>
      <c r="K136" s="23"/>
      <c r="L136" s="23"/>
      <c r="M136" s="23"/>
      <c r="N136" s="23"/>
      <c r="O136" s="23"/>
      <c r="P136" s="23"/>
      <c r="Q136" s="23"/>
      <c r="R136" s="23"/>
      <c r="S136" s="23"/>
      <c r="T136" s="23"/>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row>
    <row r="137" spans="1:50" x14ac:dyDescent="0.35">
      <c r="A137" s="23"/>
      <c r="B137" s="23"/>
      <c r="C137" s="23"/>
      <c r="D137" s="23"/>
      <c r="E137" s="23"/>
      <c r="F137" s="23"/>
      <c r="G137" s="23"/>
      <c r="H137" s="23"/>
      <c r="I137" s="23"/>
      <c r="J137" s="23"/>
      <c r="K137" s="23"/>
      <c r="L137" s="23"/>
      <c r="M137" s="23"/>
      <c r="N137" s="23"/>
      <c r="O137" s="23"/>
      <c r="P137" s="23"/>
      <c r="Q137" s="23"/>
      <c r="R137" s="23"/>
      <c r="S137" s="23"/>
      <c r="T137" s="23"/>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row>
    <row r="138" spans="1:50" x14ac:dyDescent="0.35">
      <c r="A138" s="23"/>
      <c r="B138" s="23"/>
      <c r="C138" s="23"/>
      <c r="D138" s="23"/>
      <c r="E138" s="23"/>
      <c r="F138" s="23"/>
      <c r="G138" s="23"/>
      <c r="H138" s="23"/>
      <c r="I138" s="23"/>
      <c r="J138" s="23"/>
      <c r="K138" s="23"/>
      <c r="L138" s="23"/>
      <c r="M138" s="23"/>
      <c r="N138" s="23"/>
      <c r="O138" s="23"/>
      <c r="P138" s="23"/>
      <c r="Q138" s="23"/>
      <c r="R138" s="23"/>
      <c r="S138" s="23"/>
      <c r="T138" s="23"/>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row>
    <row r="139" spans="1:50" x14ac:dyDescent="0.35">
      <c r="A139" s="23"/>
      <c r="B139" s="23"/>
      <c r="C139" s="23"/>
      <c r="D139" s="23"/>
      <c r="E139" s="23"/>
      <c r="F139" s="23"/>
      <c r="G139" s="23"/>
      <c r="H139" s="23"/>
      <c r="I139" s="23"/>
      <c r="J139" s="23"/>
      <c r="K139" s="23"/>
      <c r="L139" s="23"/>
      <c r="M139" s="23"/>
      <c r="N139" s="23"/>
      <c r="O139" s="23"/>
      <c r="P139" s="23"/>
      <c r="Q139" s="23"/>
      <c r="R139" s="23"/>
      <c r="S139" s="23"/>
      <c r="T139" s="23"/>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row>
    <row r="140" spans="1:50" x14ac:dyDescent="0.35">
      <c r="A140" s="23"/>
      <c r="B140" s="23"/>
      <c r="C140" s="23"/>
      <c r="D140" s="23"/>
      <c r="E140" s="23"/>
      <c r="F140" s="23"/>
      <c r="G140" s="23"/>
      <c r="H140" s="23"/>
      <c r="I140" s="23"/>
      <c r="J140" s="23"/>
      <c r="K140" s="23"/>
      <c r="L140" s="23"/>
      <c r="M140" s="23"/>
      <c r="N140" s="23"/>
      <c r="O140" s="23"/>
      <c r="P140" s="23"/>
      <c r="Q140" s="23"/>
      <c r="R140" s="23"/>
      <c r="S140" s="23"/>
      <c r="T140" s="23"/>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row>
    <row r="141" spans="1:50" x14ac:dyDescent="0.35">
      <c r="A141" s="23"/>
      <c r="B141" s="23"/>
      <c r="C141" s="23"/>
      <c r="D141" s="23"/>
      <c r="E141" s="23"/>
      <c r="F141" s="23"/>
      <c r="G141" s="23"/>
      <c r="H141" s="23"/>
      <c r="I141" s="23"/>
      <c r="J141" s="23"/>
      <c r="K141" s="23"/>
      <c r="L141" s="23"/>
      <c r="M141" s="23"/>
      <c r="N141" s="23"/>
      <c r="O141" s="23"/>
      <c r="P141" s="23"/>
      <c r="Q141" s="23"/>
      <c r="R141" s="23"/>
      <c r="S141" s="23"/>
      <c r="T141" s="23"/>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row>
    <row r="142" spans="1:50" x14ac:dyDescent="0.35">
      <c r="A142" s="23"/>
      <c r="B142" s="23"/>
      <c r="C142" s="23"/>
      <c r="D142" s="23"/>
      <c r="E142" s="23"/>
      <c r="F142" s="23"/>
      <c r="G142" s="23"/>
      <c r="H142" s="23"/>
      <c r="I142" s="23"/>
      <c r="J142" s="23"/>
      <c r="K142" s="23"/>
      <c r="L142" s="23"/>
      <c r="M142" s="23"/>
      <c r="N142" s="23"/>
      <c r="O142" s="23"/>
      <c r="P142" s="23"/>
      <c r="Q142" s="23"/>
      <c r="R142" s="23"/>
      <c r="S142" s="23"/>
      <c r="T142" s="23"/>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row>
    <row r="143" spans="1:50" x14ac:dyDescent="0.35">
      <c r="A143" s="23"/>
      <c r="B143" s="23"/>
      <c r="C143" s="23"/>
      <c r="D143" s="23"/>
      <c r="E143" s="23"/>
      <c r="F143" s="23"/>
      <c r="G143" s="23"/>
      <c r="H143" s="23"/>
      <c r="I143" s="23"/>
      <c r="J143" s="23"/>
      <c r="K143" s="23"/>
      <c r="L143" s="23"/>
      <c r="M143" s="23"/>
      <c r="N143" s="23"/>
      <c r="O143" s="23"/>
      <c r="P143" s="23"/>
      <c r="Q143" s="23"/>
      <c r="R143" s="23"/>
      <c r="S143" s="23"/>
      <c r="T143" s="23"/>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row>
    <row r="144" spans="1:50" x14ac:dyDescent="0.35">
      <c r="A144" s="23"/>
      <c r="B144" s="23"/>
      <c r="C144" s="23"/>
      <c r="D144" s="23"/>
      <c r="E144" s="23"/>
      <c r="F144" s="23"/>
      <c r="G144" s="23"/>
      <c r="H144" s="23"/>
      <c r="I144" s="23"/>
      <c r="J144" s="23"/>
      <c r="K144" s="23"/>
      <c r="L144" s="23"/>
      <c r="M144" s="23"/>
      <c r="N144" s="23"/>
      <c r="O144" s="23"/>
      <c r="P144" s="23"/>
      <c r="Q144" s="23"/>
      <c r="R144" s="23"/>
      <c r="S144" s="23"/>
      <c r="T144" s="23"/>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row>
    <row r="145" spans="1:50" x14ac:dyDescent="0.35">
      <c r="A145" s="23"/>
      <c r="B145" s="23"/>
      <c r="C145" s="23"/>
      <c r="D145" s="23"/>
      <c r="E145" s="23"/>
      <c r="F145" s="23"/>
      <c r="G145" s="23"/>
      <c r="H145" s="23"/>
      <c r="I145" s="23"/>
      <c r="J145" s="23"/>
      <c r="K145" s="23"/>
      <c r="L145" s="23"/>
      <c r="M145" s="23"/>
      <c r="N145" s="23"/>
      <c r="O145" s="23"/>
      <c r="P145" s="23"/>
      <c r="Q145" s="23"/>
      <c r="R145" s="23"/>
      <c r="S145" s="23"/>
      <c r="T145" s="23"/>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row>
    <row r="146" spans="1:50" x14ac:dyDescent="0.35">
      <c r="A146" s="23"/>
      <c r="B146" s="23"/>
      <c r="C146" s="23"/>
      <c r="D146" s="23"/>
      <c r="E146" s="23"/>
      <c r="F146" s="23"/>
      <c r="G146" s="23"/>
      <c r="H146" s="23"/>
      <c r="I146" s="23"/>
      <c r="J146" s="23"/>
      <c r="K146" s="23"/>
      <c r="L146" s="23"/>
      <c r="M146" s="23"/>
      <c r="N146" s="23"/>
      <c r="O146" s="23"/>
      <c r="P146" s="23"/>
      <c r="Q146" s="23"/>
      <c r="R146" s="23"/>
      <c r="S146" s="23"/>
      <c r="T146" s="23"/>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row>
    <row r="147" spans="1:50" x14ac:dyDescent="0.35">
      <c r="A147" s="23"/>
      <c r="B147" s="23"/>
      <c r="C147" s="23"/>
      <c r="D147" s="23"/>
      <c r="E147" s="23"/>
      <c r="F147" s="23"/>
      <c r="G147" s="23"/>
      <c r="H147" s="23"/>
      <c r="I147" s="23"/>
      <c r="J147" s="23"/>
      <c r="K147" s="23"/>
      <c r="L147" s="23"/>
      <c r="M147" s="23"/>
      <c r="N147" s="23"/>
      <c r="O147" s="23"/>
      <c r="P147" s="23"/>
      <c r="Q147" s="23"/>
      <c r="R147" s="23"/>
      <c r="S147" s="23"/>
      <c r="T147" s="23"/>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row>
    <row r="148" spans="1:50" x14ac:dyDescent="0.35">
      <c r="A148" s="23"/>
      <c r="B148" s="23"/>
      <c r="C148" s="23"/>
      <c r="D148" s="23"/>
      <c r="E148" s="23"/>
      <c r="F148" s="23"/>
      <c r="G148" s="23"/>
      <c r="H148" s="23"/>
      <c r="I148" s="23"/>
      <c r="J148" s="23"/>
      <c r="K148" s="23"/>
      <c r="L148" s="23"/>
      <c r="M148" s="23"/>
      <c r="N148" s="23"/>
      <c r="O148" s="23"/>
      <c r="P148" s="23"/>
      <c r="Q148" s="23"/>
      <c r="R148" s="23"/>
      <c r="S148" s="23"/>
      <c r="T148" s="23"/>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row>
    <row r="149" spans="1:50" x14ac:dyDescent="0.35">
      <c r="A149" s="23"/>
      <c r="B149" s="23"/>
      <c r="C149" s="23"/>
      <c r="D149" s="23"/>
      <c r="E149" s="23"/>
      <c r="F149" s="23"/>
      <c r="G149" s="23"/>
      <c r="H149" s="23"/>
      <c r="I149" s="23"/>
      <c r="J149" s="23"/>
      <c r="K149" s="23"/>
      <c r="L149" s="23"/>
      <c r="M149" s="23"/>
      <c r="N149" s="23"/>
      <c r="O149" s="23"/>
      <c r="P149" s="23"/>
      <c r="Q149" s="23"/>
      <c r="R149" s="23"/>
      <c r="S149" s="23"/>
      <c r="T149" s="23"/>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row>
    <row r="150" spans="1:50" x14ac:dyDescent="0.35">
      <c r="A150" s="23"/>
      <c r="B150" s="23"/>
      <c r="C150" s="23"/>
      <c r="D150" s="23"/>
      <c r="E150" s="23"/>
      <c r="F150" s="23"/>
      <c r="G150" s="23"/>
      <c r="H150" s="23"/>
      <c r="I150" s="23"/>
      <c r="J150" s="23"/>
      <c r="K150" s="23"/>
      <c r="L150" s="23"/>
      <c r="M150" s="23"/>
      <c r="N150" s="23"/>
      <c r="O150" s="23"/>
      <c r="P150" s="23"/>
      <c r="Q150" s="23"/>
      <c r="R150" s="23"/>
      <c r="S150" s="23"/>
      <c r="T150" s="23"/>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row>
    <row r="151" spans="1:50" x14ac:dyDescent="0.35">
      <c r="A151" s="23"/>
      <c r="B151" s="23"/>
      <c r="C151" s="23"/>
      <c r="D151" s="23"/>
      <c r="E151" s="23"/>
      <c r="F151" s="23"/>
      <c r="G151" s="23"/>
      <c r="H151" s="23"/>
      <c r="I151" s="23"/>
      <c r="J151" s="23"/>
      <c r="K151" s="23"/>
      <c r="L151" s="23"/>
      <c r="M151" s="23"/>
      <c r="N151" s="23"/>
      <c r="O151" s="23"/>
      <c r="P151" s="23"/>
      <c r="Q151" s="23"/>
      <c r="R151" s="23"/>
      <c r="S151" s="23"/>
      <c r="T151" s="23"/>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row>
    <row r="152" spans="1:50" x14ac:dyDescent="0.35">
      <c r="A152" s="23"/>
      <c r="B152" s="23"/>
      <c r="C152" s="23"/>
      <c r="D152" s="23"/>
      <c r="E152" s="23"/>
      <c r="F152" s="23"/>
      <c r="G152" s="23"/>
      <c r="H152" s="23"/>
      <c r="I152" s="23"/>
      <c r="J152" s="23"/>
      <c r="K152" s="23"/>
      <c r="L152" s="23"/>
      <c r="M152" s="23"/>
      <c r="N152" s="23"/>
      <c r="O152" s="23"/>
      <c r="P152" s="23"/>
      <c r="Q152" s="23"/>
      <c r="R152" s="23"/>
      <c r="S152" s="23"/>
      <c r="T152" s="23"/>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row>
    <row r="153" spans="1:50" x14ac:dyDescent="0.35">
      <c r="A153" s="23"/>
      <c r="B153" s="23"/>
      <c r="C153" s="23"/>
      <c r="D153" s="23"/>
      <c r="E153" s="23"/>
      <c r="F153" s="23"/>
      <c r="G153" s="23"/>
      <c r="H153" s="23"/>
      <c r="I153" s="23"/>
      <c r="J153" s="23"/>
      <c r="K153" s="23"/>
      <c r="L153" s="23"/>
      <c r="M153" s="23"/>
      <c r="N153" s="23"/>
      <c r="O153" s="23"/>
      <c r="P153" s="23"/>
      <c r="Q153" s="23"/>
      <c r="R153" s="23"/>
      <c r="S153" s="23"/>
      <c r="T153" s="23"/>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row>
    <row r="154" spans="1:50" x14ac:dyDescent="0.35">
      <c r="A154" s="23"/>
      <c r="B154" s="23"/>
      <c r="C154" s="23"/>
      <c r="D154" s="23"/>
      <c r="E154" s="23"/>
      <c r="F154" s="23"/>
      <c r="G154" s="23"/>
      <c r="H154" s="23"/>
      <c r="I154" s="23"/>
      <c r="J154" s="23"/>
      <c r="K154" s="23"/>
      <c r="L154" s="23"/>
      <c r="M154" s="23"/>
      <c r="N154" s="23"/>
      <c r="O154" s="23"/>
      <c r="P154" s="23"/>
      <c r="Q154" s="23"/>
      <c r="R154" s="23"/>
      <c r="S154" s="23"/>
      <c r="T154" s="23"/>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row>
    <row r="155" spans="1:50" x14ac:dyDescent="0.35">
      <c r="A155" s="23"/>
      <c r="B155" s="23"/>
      <c r="C155" s="23"/>
      <c r="D155" s="23"/>
      <c r="E155" s="23"/>
      <c r="F155" s="23"/>
      <c r="G155" s="23"/>
      <c r="H155" s="23"/>
      <c r="I155" s="23"/>
      <c r="J155" s="23"/>
      <c r="K155" s="23"/>
      <c r="L155" s="23"/>
      <c r="M155" s="23"/>
      <c r="N155" s="23"/>
      <c r="O155" s="23"/>
      <c r="P155" s="23"/>
      <c r="Q155" s="23"/>
      <c r="R155" s="23"/>
      <c r="S155" s="23"/>
      <c r="T155" s="23"/>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row>
    <row r="156" spans="1:50" x14ac:dyDescent="0.35">
      <c r="A156" s="23"/>
      <c r="B156" s="23"/>
      <c r="C156" s="23"/>
      <c r="D156" s="23"/>
      <c r="E156" s="23"/>
      <c r="F156" s="23"/>
      <c r="G156" s="23"/>
      <c r="H156" s="23"/>
      <c r="I156" s="23"/>
      <c r="J156" s="23"/>
      <c r="K156" s="23"/>
      <c r="L156" s="23"/>
      <c r="M156" s="23"/>
      <c r="N156" s="23"/>
      <c r="O156" s="23"/>
      <c r="P156" s="23"/>
      <c r="Q156" s="23"/>
      <c r="R156" s="23"/>
      <c r="S156" s="23"/>
      <c r="T156" s="23"/>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row>
    <row r="157" spans="1:50" x14ac:dyDescent="0.35">
      <c r="A157" s="23"/>
      <c r="B157" s="23"/>
      <c r="C157" s="23"/>
      <c r="D157" s="23"/>
      <c r="E157" s="23"/>
      <c r="F157" s="23"/>
      <c r="G157" s="23"/>
      <c r="H157" s="23"/>
      <c r="I157" s="23"/>
      <c r="J157" s="23"/>
      <c r="K157" s="23"/>
      <c r="L157" s="23"/>
      <c r="M157" s="23"/>
      <c r="N157" s="23"/>
      <c r="O157" s="23"/>
      <c r="P157" s="23"/>
      <c r="Q157" s="23"/>
      <c r="R157" s="23"/>
      <c r="S157" s="23"/>
      <c r="T157" s="23"/>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row>
    <row r="158" spans="1:50" x14ac:dyDescent="0.35">
      <c r="A158" s="23"/>
      <c r="B158" s="23"/>
      <c r="C158" s="23"/>
      <c r="D158" s="23"/>
      <c r="E158" s="23"/>
      <c r="F158" s="23"/>
      <c r="G158" s="23"/>
      <c r="H158" s="23"/>
      <c r="I158" s="23"/>
      <c r="J158" s="23"/>
      <c r="K158" s="23"/>
      <c r="L158" s="23"/>
      <c r="M158" s="23"/>
      <c r="N158" s="23"/>
      <c r="O158" s="23"/>
      <c r="P158" s="23"/>
      <c r="Q158" s="23"/>
      <c r="R158" s="23"/>
      <c r="S158" s="23"/>
      <c r="T158" s="23"/>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row>
    <row r="159" spans="1:50" x14ac:dyDescent="0.35">
      <c r="A159" s="23"/>
      <c r="B159" s="23"/>
      <c r="C159" s="23"/>
      <c r="D159" s="23"/>
      <c r="E159" s="23"/>
      <c r="F159" s="23"/>
      <c r="G159" s="23"/>
      <c r="H159" s="23"/>
      <c r="I159" s="23"/>
      <c r="J159" s="23"/>
      <c r="K159" s="23"/>
      <c r="L159" s="23"/>
      <c r="M159" s="23"/>
      <c r="N159" s="23"/>
      <c r="O159" s="23"/>
      <c r="P159" s="23"/>
      <c r="Q159" s="23"/>
      <c r="R159" s="23"/>
      <c r="S159" s="23"/>
      <c r="T159" s="23"/>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row>
    <row r="160" spans="1:50" x14ac:dyDescent="0.35">
      <c r="A160" s="23"/>
      <c r="B160" s="23"/>
      <c r="C160" s="23"/>
      <c r="D160" s="23"/>
      <c r="E160" s="23"/>
      <c r="F160" s="23"/>
      <c r="G160" s="23"/>
      <c r="H160" s="23"/>
      <c r="I160" s="23"/>
      <c r="J160" s="23"/>
      <c r="K160" s="23"/>
      <c r="L160" s="23"/>
      <c r="M160" s="23"/>
      <c r="N160" s="23"/>
      <c r="O160" s="23"/>
      <c r="P160" s="23"/>
      <c r="Q160" s="23"/>
      <c r="R160" s="23"/>
      <c r="S160" s="23"/>
      <c r="T160" s="23"/>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row>
    <row r="161" spans="1:50" x14ac:dyDescent="0.35">
      <c r="A161" s="23"/>
      <c r="B161" s="23"/>
      <c r="C161" s="23"/>
      <c r="D161" s="23"/>
      <c r="E161" s="23"/>
      <c r="F161" s="23"/>
      <c r="G161" s="23"/>
      <c r="H161" s="23"/>
      <c r="I161" s="23"/>
      <c r="J161" s="23"/>
      <c r="K161" s="23"/>
      <c r="L161" s="23"/>
      <c r="M161" s="23"/>
      <c r="N161" s="23"/>
      <c r="O161" s="23"/>
      <c r="P161" s="23"/>
      <c r="Q161" s="23"/>
      <c r="R161" s="23"/>
      <c r="S161" s="23"/>
      <c r="T161" s="23"/>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row>
    <row r="162" spans="1:50" x14ac:dyDescent="0.35">
      <c r="A162" s="23"/>
      <c r="B162" s="23"/>
      <c r="C162" s="23"/>
      <c r="D162" s="23"/>
      <c r="E162" s="23"/>
      <c r="F162" s="23"/>
      <c r="G162" s="23"/>
      <c r="H162" s="23"/>
      <c r="I162" s="23"/>
      <c r="J162" s="23"/>
      <c r="K162" s="23"/>
      <c r="L162" s="23"/>
      <c r="M162" s="23"/>
      <c r="N162" s="23"/>
      <c r="O162" s="23"/>
      <c r="P162" s="23"/>
      <c r="Q162" s="23"/>
      <c r="R162" s="23"/>
      <c r="S162" s="23"/>
      <c r="T162" s="23"/>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row>
    <row r="163" spans="1:50" x14ac:dyDescent="0.35">
      <c r="A163" s="23"/>
      <c r="B163" s="23"/>
      <c r="C163" s="23"/>
      <c r="D163" s="23"/>
      <c r="E163" s="23"/>
      <c r="F163" s="23"/>
      <c r="G163" s="23"/>
      <c r="H163" s="23"/>
      <c r="I163" s="23"/>
      <c r="J163" s="23"/>
      <c r="K163" s="23"/>
      <c r="L163" s="23"/>
      <c r="M163" s="23"/>
      <c r="N163" s="23"/>
      <c r="O163" s="23"/>
      <c r="P163" s="23"/>
      <c r="Q163" s="23"/>
      <c r="R163" s="23"/>
      <c r="S163" s="23"/>
      <c r="T163" s="23"/>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row>
    <row r="164" spans="1:50" x14ac:dyDescent="0.35">
      <c r="A164" s="23"/>
      <c r="B164" s="23"/>
      <c r="C164" s="23"/>
      <c r="D164" s="23"/>
      <c r="E164" s="23"/>
      <c r="F164" s="23"/>
      <c r="G164" s="23"/>
      <c r="H164" s="23"/>
      <c r="I164" s="23"/>
      <c r="J164" s="23"/>
      <c r="K164" s="23"/>
      <c r="L164" s="23"/>
      <c r="M164" s="23"/>
      <c r="N164" s="23"/>
      <c r="O164" s="23"/>
      <c r="P164" s="23"/>
      <c r="Q164" s="23"/>
      <c r="R164" s="23"/>
      <c r="S164" s="23"/>
      <c r="T164" s="23"/>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row>
    <row r="165" spans="1:50" x14ac:dyDescent="0.35">
      <c r="A165" s="23"/>
      <c r="B165" s="23"/>
      <c r="C165" s="23"/>
      <c r="D165" s="23"/>
      <c r="E165" s="23"/>
      <c r="F165" s="23"/>
      <c r="G165" s="23"/>
      <c r="H165" s="23"/>
      <c r="I165" s="23"/>
      <c r="J165" s="23"/>
      <c r="K165" s="23"/>
      <c r="L165" s="23"/>
      <c r="M165" s="23"/>
      <c r="N165" s="23"/>
      <c r="O165" s="23"/>
      <c r="P165" s="23"/>
      <c r="Q165" s="23"/>
      <c r="R165" s="23"/>
      <c r="S165" s="23"/>
      <c r="T165" s="23"/>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row>
    <row r="166" spans="1:50" x14ac:dyDescent="0.35">
      <c r="A166" s="23"/>
      <c r="B166" s="23"/>
      <c r="C166" s="23"/>
      <c r="D166" s="23"/>
      <c r="E166" s="23"/>
      <c r="F166" s="23"/>
      <c r="G166" s="23"/>
      <c r="H166" s="23"/>
      <c r="I166" s="23"/>
      <c r="J166" s="23"/>
      <c r="K166" s="23"/>
      <c r="L166" s="23"/>
      <c r="M166" s="23"/>
      <c r="N166" s="23"/>
      <c r="O166" s="23"/>
      <c r="P166" s="23"/>
      <c r="Q166" s="23"/>
      <c r="R166" s="23"/>
      <c r="S166" s="23"/>
      <c r="T166" s="23"/>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row>
    <row r="167" spans="1:50" x14ac:dyDescent="0.35">
      <c r="A167" s="23"/>
      <c r="B167" s="23"/>
      <c r="C167" s="23"/>
      <c r="D167" s="23"/>
      <c r="E167" s="23"/>
      <c r="F167" s="23"/>
      <c r="G167" s="23"/>
      <c r="H167" s="23"/>
      <c r="I167" s="23"/>
      <c r="J167" s="23"/>
      <c r="K167" s="23"/>
      <c r="L167" s="23"/>
      <c r="M167" s="23"/>
      <c r="N167" s="23"/>
      <c r="O167" s="23"/>
      <c r="P167" s="23"/>
      <c r="Q167" s="23"/>
      <c r="R167" s="23"/>
      <c r="S167" s="23"/>
      <c r="T167" s="23"/>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row>
    <row r="168" spans="1:50" x14ac:dyDescent="0.35">
      <c r="A168" s="23"/>
      <c r="B168" s="23"/>
      <c r="C168" s="23"/>
      <c r="D168" s="23"/>
      <c r="E168" s="23"/>
      <c r="F168" s="23"/>
      <c r="G168" s="23"/>
      <c r="H168" s="23"/>
      <c r="I168" s="23"/>
      <c r="J168" s="23"/>
      <c r="K168" s="23"/>
      <c r="L168" s="23"/>
      <c r="M168" s="23"/>
      <c r="N168" s="23"/>
      <c r="O168" s="23"/>
      <c r="P168" s="23"/>
      <c r="Q168" s="23"/>
      <c r="R168" s="23"/>
      <c r="S168" s="23"/>
      <c r="T168" s="23"/>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row>
    <row r="169" spans="1:50" x14ac:dyDescent="0.35">
      <c r="A169" s="23"/>
      <c r="B169" s="23"/>
      <c r="C169" s="23"/>
      <c r="D169" s="23"/>
      <c r="E169" s="23"/>
      <c r="F169" s="23"/>
      <c r="G169" s="23"/>
      <c r="H169" s="23"/>
      <c r="I169" s="23"/>
      <c r="J169" s="23"/>
      <c r="K169" s="23"/>
      <c r="L169" s="23"/>
      <c r="M169" s="23"/>
      <c r="N169" s="23"/>
      <c r="O169" s="23"/>
      <c r="P169" s="23"/>
      <c r="Q169" s="23"/>
      <c r="R169" s="23"/>
      <c r="S169" s="23"/>
      <c r="T169" s="23"/>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row>
    <row r="170" spans="1:50" x14ac:dyDescent="0.35">
      <c r="A170" s="23"/>
      <c r="B170" s="23"/>
      <c r="C170" s="23"/>
      <c r="D170" s="23"/>
      <c r="E170" s="23"/>
      <c r="F170" s="23"/>
      <c r="G170" s="23"/>
      <c r="H170" s="23"/>
      <c r="I170" s="23"/>
      <c r="J170" s="23"/>
      <c r="K170" s="23"/>
      <c r="L170" s="23"/>
      <c r="M170" s="23"/>
      <c r="N170" s="23"/>
      <c r="O170" s="23"/>
      <c r="P170" s="23"/>
      <c r="Q170" s="23"/>
      <c r="R170" s="23"/>
      <c r="S170" s="23"/>
      <c r="T170" s="23"/>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row>
    <row r="171" spans="1:50" x14ac:dyDescent="0.35">
      <c r="A171" s="23"/>
      <c r="B171" s="23"/>
      <c r="C171" s="23"/>
      <c r="D171" s="23"/>
      <c r="E171" s="23"/>
      <c r="F171" s="23"/>
      <c r="G171" s="23"/>
      <c r="H171" s="23"/>
      <c r="I171" s="23"/>
      <c r="J171" s="23"/>
      <c r="K171" s="23"/>
      <c r="L171" s="23"/>
      <c r="M171" s="23"/>
      <c r="N171" s="23"/>
      <c r="O171" s="23"/>
      <c r="P171" s="23"/>
      <c r="Q171" s="23"/>
      <c r="R171" s="23"/>
      <c r="S171" s="23"/>
      <c r="T171" s="23"/>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row>
    <row r="172" spans="1:50" x14ac:dyDescent="0.35">
      <c r="A172" s="23"/>
      <c r="B172" s="23"/>
      <c r="C172" s="23"/>
      <c r="D172" s="23"/>
      <c r="E172" s="23"/>
      <c r="F172" s="23"/>
      <c r="G172" s="23"/>
      <c r="H172" s="23"/>
      <c r="I172" s="23"/>
      <c r="J172" s="23"/>
      <c r="K172" s="23"/>
      <c r="L172" s="23"/>
      <c r="M172" s="23"/>
      <c r="N172" s="23"/>
      <c r="O172" s="23"/>
      <c r="P172" s="23"/>
      <c r="Q172" s="23"/>
      <c r="R172" s="23"/>
      <c r="S172" s="23"/>
      <c r="T172" s="23"/>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row>
    <row r="173" spans="1:50" x14ac:dyDescent="0.35">
      <c r="A173" s="23"/>
      <c r="B173" s="23"/>
      <c r="C173" s="23"/>
      <c r="D173" s="23"/>
      <c r="E173" s="23"/>
      <c r="F173" s="23"/>
      <c r="G173" s="23"/>
      <c r="H173" s="23"/>
      <c r="I173" s="23"/>
      <c r="J173" s="23"/>
      <c r="K173" s="23"/>
      <c r="L173" s="23"/>
      <c r="M173" s="23"/>
      <c r="N173" s="23"/>
      <c r="O173" s="23"/>
      <c r="P173" s="23"/>
      <c r="Q173" s="23"/>
      <c r="R173" s="23"/>
      <c r="S173" s="23"/>
      <c r="T173" s="23"/>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row>
    <row r="174" spans="1:50" x14ac:dyDescent="0.35">
      <c r="A174" s="23"/>
      <c r="B174" s="23"/>
      <c r="C174" s="23"/>
      <c r="D174" s="23"/>
      <c r="E174" s="23"/>
      <c r="F174" s="23"/>
      <c r="G174" s="23"/>
      <c r="H174" s="23"/>
      <c r="I174" s="23"/>
      <c r="J174" s="23"/>
      <c r="K174" s="23"/>
      <c r="L174" s="23"/>
      <c r="M174" s="23"/>
      <c r="N174" s="23"/>
      <c r="O174" s="23"/>
      <c r="P174" s="23"/>
      <c r="Q174" s="23"/>
      <c r="R174" s="23"/>
      <c r="S174" s="23"/>
      <c r="T174" s="23"/>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row>
    <row r="175" spans="1:50" x14ac:dyDescent="0.35">
      <c r="A175" s="23"/>
      <c r="B175" s="23"/>
      <c r="C175" s="23"/>
      <c r="D175" s="23"/>
      <c r="E175" s="23"/>
      <c r="F175" s="23"/>
      <c r="G175" s="23"/>
      <c r="H175" s="23"/>
      <c r="I175" s="23"/>
      <c r="J175" s="23"/>
      <c r="K175" s="23"/>
      <c r="L175" s="23"/>
      <c r="M175" s="23"/>
      <c r="N175" s="23"/>
      <c r="O175" s="23"/>
      <c r="P175" s="23"/>
      <c r="Q175" s="23"/>
      <c r="R175" s="23"/>
      <c r="S175" s="23"/>
      <c r="T175" s="23"/>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row>
    <row r="176" spans="1:50" x14ac:dyDescent="0.35">
      <c r="A176" s="23"/>
      <c r="B176" s="23"/>
      <c r="C176" s="23"/>
      <c r="D176" s="23"/>
      <c r="E176" s="23"/>
      <c r="F176" s="23"/>
      <c r="G176" s="23"/>
      <c r="H176" s="23"/>
      <c r="I176" s="23"/>
      <c r="J176" s="23"/>
      <c r="K176" s="23"/>
      <c r="L176" s="23"/>
      <c r="M176" s="23"/>
      <c r="N176" s="23"/>
      <c r="O176" s="23"/>
      <c r="P176" s="23"/>
      <c r="Q176" s="23"/>
      <c r="R176" s="23"/>
      <c r="S176" s="23"/>
      <c r="T176" s="23"/>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row>
    <row r="177" spans="1:50" x14ac:dyDescent="0.35">
      <c r="A177" s="23"/>
      <c r="B177" s="23"/>
      <c r="C177" s="23"/>
      <c r="D177" s="23"/>
      <c r="E177" s="23"/>
      <c r="F177" s="23"/>
      <c r="G177" s="23"/>
      <c r="H177" s="23"/>
      <c r="I177" s="23"/>
      <c r="J177" s="23"/>
      <c r="K177" s="23"/>
      <c r="L177" s="23"/>
      <c r="M177" s="23"/>
      <c r="N177" s="23"/>
      <c r="O177" s="23"/>
      <c r="P177" s="23"/>
      <c r="Q177" s="23"/>
      <c r="R177" s="23"/>
      <c r="S177" s="23"/>
      <c r="T177" s="23"/>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row>
    <row r="178" spans="1:50" x14ac:dyDescent="0.35">
      <c r="A178" s="23"/>
      <c r="B178" s="23"/>
      <c r="C178" s="23"/>
      <c r="D178" s="23"/>
      <c r="E178" s="23"/>
      <c r="F178" s="23"/>
      <c r="G178" s="23"/>
      <c r="H178" s="23"/>
      <c r="I178" s="23"/>
      <c r="J178" s="23"/>
      <c r="K178" s="23"/>
      <c r="L178" s="23"/>
      <c r="M178" s="23"/>
      <c r="N178" s="23"/>
      <c r="O178" s="23"/>
      <c r="P178" s="23"/>
      <c r="Q178" s="23"/>
      <c r="R178" s="23"/>
      <c r="S178" s="23"/>
      <c r="T178" s="23"/>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row>
    <row r="179" spans="1:50" x14ac:dyDescent="0.35">
      <c r="A179" s="23"/>
      <c r="B179" s="23"/>
      <c r="C179" s="23"/>
      <c r="D179" s="23"/>
      <c r="E179" s="23"/>
      <c r="F179" s="23"/>
      <c r="G179" s="23"/>
      <c r="H179" s="23"/>
      <c r="I179" s="23"/>
      <c r="J179" s="23"/>
      <c r="K179" s="23"/>
      <c r="L179" s="23"/>
      <c r="M179" s="23"/>
      <c r="N179" s="23"/>
      <c r="O179" s="23"/>
      <c r="P179" s="23"/>
      <c r="Q179" s="23"/>
      <c r="R179" s="23"/>
      <c r="S179" s="23"/>
      <c r="T179" s="23"/>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row>
    <row r="180" spans="1:50" x14ac:dyDescent="0.35">
      <c r="A180" s="23"/>
      <c r="B180" s="23"/>
      <c r="C180" s="23"/>
      <c r="D180" s="23"/>
      <c r="E180" s="23"/>
      <c r="F180" s="23"/>
      <c r="G180" s="23"/>
      <c r="H180" s="23"/>
      <c r="I180" s="23"/>
      <c r="J180" s="23"/>
      <c r="K180" s="23"/>
      <c r="L180" s="23"/>
      <c r="M180" s="23"/>
      <c r="N180" s="23"/>
      <c r="O180" s="23"/>
      <c r="P180" s="23"/>
      <c r="Q180" s="23"/>
      <c r="R180" s="23"/>
      <c r="S180" s="23"/>
      <c r="T180" s="23"/>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row>
    <row r="181" spans="1:50" x14ac:dyDescent="0.35">
      <c r="A181" s="23"/>
      <c r="B181" s="23"/>
      <c r="C181" s="23"/>
      <c r="D181" s="23"/>
      <c r="E181" s="23"/>
      <c r="F181" s="23"/>
      <c r="G181" s="23"/>
      <c r="H181" s="23"/>
      <c r="I181" s="23"/>
      <c r="J181" s="23"/>
      <c r="K181" s="23"/>
      <c r="L181" s="23"/>
      <c r="M181" s="23"/>
      <c r="N181" s="23"/>
      <c r="O181" s="23"/>
      <c r="P181" s="23"/>
      <c r="Q181" s="23"/>
      <c r="R181" s="23"/>
      <c r="S181" s="23"/>
      <c r="T181" s="23"/>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row>
    <row r="182" spans="1:50" x14ac:dyDescent="0.35">
      <c r="A182" s="23"/>
      <c r="B182" s="23"/>
      <c r="C182" s="23"/>
      <c r="D182" s="23"/>
      <c r="E182" s="23"/>
      <c r="F182" s="23"/>
      <c r="G182" s="23"/>
      <c r="H182" s="23"/>
      <c r="I182" s="23"/>
      <c r="J182" s="23"/>
      <c r="K182" s="23"/>
      <c r="L182" s="23"/>
      <c r="M182" s="23"/>
      <c r="N182" s="23"/>
      <c r="O182" s="23"/>
      <c r="P182" s="23"/>
      <c r="Q182" s="23"/>
      <c r="R182" s="23"/>
      <c r="S182" s="23"/>
      <c r="T182" s="23"/>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row>
    <row r="183" spans="1:50" x14ac:dyDescent="0.35">
      <c r="A183" s="23"/>
      <c r="B183" s="23"/>
      <c r="C183" s="23"/>
      <c r="D183" s="23"/>
      <c r="E183" s="23"/>
      <c r="F183" s="23"/>
      <c r="G183" s="23"/>
      <c r="H183" s="23"/>
      <c r="I183" s="23"/>
      <c r="J183" s="23"/>
      <c r="K183" s="23"/>
      <c r="L183" s="23"/>
      <c r="M183" s="23"/>
      <c r="N183" s="23"/>
      <c r="O183" s="23"/>
      <c r="P183" s="23"/>
      <c r="Q183" s="23"/>
      <c r="R183" s="23"/>
      <c r="S183" s="23"/>
      <c r="T183" s="23"/>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row>
    <row r="184" spans="1:50" x14ac:dyDescent="0.35">
      <c r="A184" s="23"/>
      <c r="B184" s="23"/>
      <c r="C184" s="23"/>
      <c r="D184" s="23"/>
      <c r="E184" s="23"/>
      <c r="F184" s="23"/>
      <c r="G184" s="23"/>
      <c r="H184" s="23"/>
      <c r="I184" s="23"/>
      <c r="J184" s="23"/>
      <c r="K184" s="23"/>
      <c r="L184" s="23"/>
      <c r="M184" s="23"/>
      <c r="N184" s="23"/>
      <c r="O184" s="23"/>
      <c r="P184" s="23"/>
      <c r="Q184" s="23"/>
      <c r="R184" s="23"/>
      <c r="S184" s="23"/>
      <c r="T184" s="23"/>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row>
    <row r="185" spans="1:50" x14ac:dyDescent="0.35">
      <c r="A185" s="23"/>
      <c r="B185" s="23"/>
      <c r="C185" s="23"/>
      <c r="D185" s="23"/>
      <c r="E185" s="23"/>
      <c r="F185" s="23"/>
      <c r="G185" s="23"/>
      <c r="H185" s="23"/>
      <c r="I185" s="23"/>
      <c r="J185" s="23"/>
      <c r="K185" s="23"/>
      <c r="L185" s="23"/>
      <c r="M185" s="23"/>
      <c r="N185" s="23"/>
      <c r="O185" s="23"/>
      <c r="P185" s="23"/>
      <c r="Q185" s="23"/>
      <c r="R185" s="23"/>
      <c r="S185" s="23"/>
      <c r="T185" s="23"/>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row>
    <row r="186" spans="1:50" x14ac:dyDescent="0.35">
      <c r="A186" s="23"/>
      <c r="B186" s="23"/>
      <c r="C186" s="23"/>
      <c r="D186" s="23"/>
      <c r="E186" s="23"/>
      <c r="F186" s="23"/>
      <c r="G186" s="23"/>
      <c r="H186" s="23"/>
      <c r="I186" s="23"/>
      <c r="J186" s="23"/>
      <c r="K186" s="23"/>
      <c r="L186" s="23"/>
      <c r="M186" s="23"/>
      <c r="N186" s="23"/>
      <c r="O186" s="23"/>
      <c r="P186" s="23"/>
      <c r="Q186" s="23"/>
      <c r="R186" s="23"/>
      <c r="S186" s="23"/>
      <c r="T186" s="23"/>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row>
    <row r="187" spans="1:50" x14ac:dyDescent="0.35">
      <c r="A187" s="23"/>
      <c r="B187" s="23"/>
      <c r="C187" s="23"/>
      <c r="D187" s="23"/>
      <c r="E187" s="23"/>
      <c r="F187" s="23"/>
      <c r="G187" s="23"/>
      <c r="H187" s="23"/>
      <c r="I187" s="23"/>
      <c r="J187" s="23"/>
      <c r="K187" s="23"/>
      <c r="L187" s="23"/>
      <c r="M187" s="23"/>
      <c r="N187" s="23"/>
      <c r="O187" s="23"/>
      <c r="P187" s="23"/>
      <c r="Q187" s="23"/>
      <c r="R187" s="23"/>
      <c r="S187" s="23"/>
      <c r="T187" s="23"/>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row>
    <row r="188" spans="1:50" x14ac:dyDescent="0.35">
      <c r="A188" s="23"/>
      <c r="B188" s="23"/>
      <c r="C188" s="23"/>
      <c r="D188" s="23"/>
      <c r="E188" s="23"/>
      <c r="F188" s="23"/>
      <c r="G188" s="23"/>
      <c r="H188" s="23"/>
      <c r="I188" s="23"/>
      <c r="J188" s="23"/>
      <c r="K188" s="23"/>
      <c r="L188" s="23"/>
      <c r="M188" s="23"/>
      <c r="N188" s="23"/>
      <c r="O188" s="23"/>
      <c r="P188" s="23"/>
      <c r="Q188" s="23"/>
      <c r="R188" s="23"/>
      <c r="S188" s="23"/>
      <c r="T188" s="23"/>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row>
    <row r="189" spans="1:50" x14ac:dyDescent="0.35">
      <c r="A189" s="23"/>
      <c r="B189" s="23"/>
      <c r="C189" s="23"/>
      <c r="D189" s="23"/>
      <c r="E189" s="23"/>
      <c r="F189" s="23"/>
      <c r="G189" s="23"/>
      <c r="H189" s="23"/>
      <c r="I189" s="23"/>
      <c r="J189" s="23"/>
      <c r="K189" s="23"/>
      <c r="L189" s="23"/>
      <c r="M189" s="23"/>
      <c r="N189" s="23"/>
      <c r="O189" s="23"/>
      <c r="P189" s="23"/>
      <c r="Q189" s="23"/>
      <c r="R189" s="23"/>
      <c r="S189" s="23"/>
      <c r="T189" s="23"/>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row>
    <row r="190" spans="1:50" x14ac:dyDescent="0.35">
      <c r="A190" s="23"/>
      <c r="B190" s="23"/>
      <c r="C190" s="23"/>
      <c r="D190" s="23"/>
      <c r="E190" s="23"/>
      <c r="F190" s="23"/>
      <c r="G190" s="23"/>
      <c r="H190" s="23"/>
      <c r="I190" s="23"/>
      <c r="J190" s="23"/>
      <c r="K190" s="23"/>
      <c r="L190" s="23"/>
      <c r="M190" s="23"/>
      <c r="N190" s="23"/>
      <c r="O190" s="23"/>
      <c r="P190" s="23"/>
      <c r="Q190" s="23"/>
      <c r="R190" s="23"/>
      <c r="S190" s="23"/>
      <c r="T190" s="23"/>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row>
    <row r="191" spans="1:50" x14ac:dyDescent="0.35">
      <c r="A191" s="23"/>
      <c r="B191" s="23"/>
      <c r="C191" s="23"/>
      <c r="D191" s="23"/>
      <c r="E191" s="23"/>
      <c r="F191" s="23"/>
      <c r="G191" s="23"/>
      <c r="H191" s="23"/>
      <c r="I191" s="23"/>
      <c r="J191" s="23"/>
      <c r="K191" s="23"/>
      <c r="L191" s="23"/>
      <c r="M191" s="23"/>
      <c r="N191" s="23"/>
      <c r="O191" s="23"/>
      <c r="P191" s="23"/>
      <c r="Q191" s="23"/>
      <c r="R191" s="23"/>
      <c r="S191" s="23"/>
      <c r="T191" s="23"/>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row>
    <row r="192" spans="1:50" x14ac:dyDescent="0.35">
      <c r="A192" s="23"/>
      <c r="B192" s="23"/>
      <c r="C192" s="23"/>
      <c r="D192" s="23"/>
      <c r="E192" s="23"/>
      <c r="F192" s="23"/>
      <c r="G192" s="23"/>
      <c r="H192" s="23"/>
      <c r="I192" s="23"/>
      <c r="J192" s="23"/>
      <c r="K192" s="23"/>
      <c r="L192" s="23"/>
      <c r="M192" s="23"/>
      <c r="N192" s="23"/>
      <c r="O192" s="23"/>
      <c r="P192" s="23"/>
      <c r="Q192" s="23"/>
      <c r="R192" s="23"/>
      <c r="S192" s="23"/>
      <c r="T192" s="23"/>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row>
    <row r="193" spans="1:50" x14ac:dyDescent="0.35">
      <c r="A193" s="23"/>
      <c r="B193" s="23"/>
      <c r="C193" s="23"/>
      <c r="D193" s="23"/>
      <c r="E193" s="23"/>
      <c r="F193" s="23"/>
      <c r="G193" s="23"/>
      <c r="H193" s="23"/>
      <c r="I193" s="23"/>
      <c r="J193" s="23"/>
      <c r="K193" s="23"/>
      <c r="L193" s="23"/>
      <c r="M193" s="23"/>
      <c r="N193" s="23"/>
      <c r="O193" s="23"/>
      <c r="P193" s="23"/>
      <c r="Q193" s="23"/>
      <c r="R193" s="23"/>
      <c r="S193" s="23"/>
      <c r="T193" s="23"/>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row>
    <row r="194" spans="1:50" x14ac:dyDescent="0.35">
      <c r="A194" s="23"/>
      <c r="B194" s="23"/>
      <c r="C194" s="23"/>
      <c r="D194" s="23"/>
      <c r="E194" s="23"/>
      <c r="F194" s="23"/>
      <c r="G194" s="23"/>
      <c r="H194" s="23"/>
      <c r="I194" s="23"/>
      <c r="J194" s="23"/>
      <c r="K194" s="23"/>
      <c r="L194" s="23"/>
      <c r="M194" s="23"/>
      <c r="N194" s="23"/>
      <c r="O194" s="23"/>
      <c r="P194" s="23"/>
      <c r="Q194" s="23"/>
      <c r="R194" s="23"/>
      <c r="S194" s="23"/>
      <c r="T194" s="23"/>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row>
    <row r="195" spans="1:50" x14ac:dyDescent="0.35">
      <c r="A195" s="23"/>
      <c r="B195" s="23"/>
      <c r="C195" s="23"/>
      <c r="D195" s="23"/>
      <c r="E195" s="23"/>
      <c r="F195" s="23"/>
      <c r="G195" s="23"/>
      <c r="H195" s="23"/>
      <c r="I195" s="23"/>
      <c r="J195" s="23"/>
      <c r="K195" s="23"/>
      <c r="L195" s="23"/>
      <c r="M195" s="23"/>
      <c r="N195" s="23"/>
      <c r="O195" s="23"/>
      <c r="P195" s="23"/>
      <c r="Q195" s="23"/>
      <c r="R195" s="23"/>
      <c r="S195" s="23"/>
      <c r="T195" s="23"/>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row>
    <row r="196" spans="1:50" x14ac:dyDescent="0.35">
      <c r="A196" s="23"/>
      <c r="B196" s="23"/>
      <c r="C196" s="23"/>
      <c r="D196" s="23"/>
      <c r="E196" s="23"/>
      <c r="F196" s="23"/>
      <c r="G196" s="23"/>
      <c r="H196" s="23"/>
      <c r="I196" s="23"/>
      <c r="J196" s="23"/>
      <c r="K196" s="23"/>
      <c r="L196" s="23"/>
      <c r="M196" s="23"/>
      <c r="N196" s="23"/>
      <c r="O196" s="23"/>
      <c r="P196" s="23"/>
      <c r="Q196" s="23"/>
      <c r="R196" s="23"/>
      <c r="S196" s="23"/>
      <c r="T196" s="23"/>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row>
    <row r="197" spans="1:50" x14ac:dyDescent="0.35">
      <c r="A197" s="23"/>
      <c r="B197" s="23"/>
      <c r="C197" s="23"/>
      <c r="D197" s="23"/>
      <c r="E197" s="23"/>
      <c r="F197" s="23"/>
      <c r="G197" s="23"/>
      <c r="H197" s="23"/>
      <c r="I197" s="23"/>
      <c r="J197" s="23"/>
      <c r="K197" s="23"/>
      <c r="L197" s="23"/>
      <c r="M197" s="23"/>
      <c r="N197" s="23"/>
      <c r="O197" s="23"/>
      <c r="P197" s="23"/>
      <c r="Q197" s="23"/>
      <c r="R197" s="23"/>
      <c r="S197" s="23"/>
      <c r="T197" s="23"/>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row>
    <row r="198" spans="1:50" x14ac:dyDescent="0.35">
      <c r="A198" s="23"/>
      <c r="B198" s="23"/>
      <c r="C198" s="23"/>
      <c r="D198" s="23"/>
      <c r="E198" s="23"/>
      <c r="F198" s="23"/>
      <c r="G198" s="23"/>
      <c r="H198" s="23"/>
      <c r="I198" s="23"/>
      <c r="J198" s="23"/>
      <c r="K198" s="23"/>
      <c r="L198" s="23"/>
      <c r="M198" s="23"/>
      <c r="N198" s="23"/>
      <c r="O198" s="23"/>
      <c r="P198" s="23"/>
      <c r="Q198" s="23"/>
      <c r="R198" s="23"/>
      <c r="S198" s="23"/>
      <c r="T198" s="23"/>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row>
    <row r="199" spans="1:50" x14ac:dyDescent="0.35">
      <c r="A199" s="23"/>
      <c r="B199" s="23"/>
      <c r="C199" s="23"/>
      <c r="D199" s="23"/>
      <c r="E199" s="23"/>
      <c r="F199" s="23"/>
      <c r="G199" s="23"/>
      <c r="H199" s="23"/>
      <c r="I199" s="23"/>
      <c r="J199" s="23"/>
      <c r="K199" s="23"/>
      <c r="L199" s="23"/>
      <c r="M199" s="23"/>
      <c r="N199" s="23"/>
      <c r="O199" s="23"/>
      <c r="P199" s="23"/>
      <c r="Q199" s="23"/>
      <c r="R199" s="23"/>
      <c r="S199" s="23"/>
      <c r="T199" s="23"/>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row>
    <row r="200" spans="1:50" x14ac:dyDescent="0.35">
      <c r="A200" s="23"/>
      <c r="B200" s="23"/>
      <c r="C200" s="23"/>
      <c r="D200" s="23"/>
      <c r="E200" s="23"/>
      <c r="F200" s="23"/>
      <c r="G200" s="23"/>
      <c r="H200" s="23"/>
      <c r="I200" s="23"/>
      <c r="J200" s="23"/>
      <c r="K200" s="23"/>
      <c r="L200" s="23"/>
      <c r="M200" s="23"/>
      <c r="N200" s="23"/>
      <c r="O200" s="23"/>
      <c r="P200" s="23"/>
      <c r="Q200" s="23"/>
      <c r="R200" s="23"/>
      <c r="S200" s="23"/>
      <c r="T200" s="23"/>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row>
    <row r="201" spans="1:50" x14ac:dyDescent="0.35">
      <c r="A201" s="23"/>
      <c r="B201" s="23"/>
      <c r="C201" s="23"/>
      <c r="D201" s="23"/>
      <c r="E201" s="23"/>
      <c r="F201" s="23"/>
      <c r="G201" s="23"/>
      <c r="H201" s="23"/>
      <c r="I201" s="23"/>
      <c r="J201" s="23"/>
      <c r="K201" s="23"/>
      <c r="L201" s="23"/>
      <c r="M201" s="23"/>
      <c r="N201" s="23"/>
      <c r="O201" s="23"/>
      <c r="P201" s="23"/>
      <c r="Q201" s="23"/>
      <c r="R201" s="23"/>
      <c r="S201" s="23"/>
      <c r="T201" s="23"/>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row>
    <row r="202" spans="1:50" x14ac:dyDescent="0.35">
      <c r="A202" s="23"/>
      <c r="B202" s="23"/>
      <c r="C202" s="23"/>
      <c r="D202" s="23"/>
      <c r="E202" s="23"/>
      <c r="F202" s="23"/>
      <c r="G202" s="23"/>
      <c r="H202" s="23"/>
      <c r="I202" s="23"/>
      <c r="J202" s="23"/>
      <c r="K202" s="23"/>
      <c r="L202" s="23"/>
      <c r="M202" s="23"/>
      <c r="N202" s="23"/>
      <c r="O202" s="23"/>
      <c r="P202" s="23"/>
      <c r="Q202" s="23"/>
      <c r="R202" s="23"/>
      <c r="S202" s="23"/>
      <c r="T202" s="23"/>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row>
    <row r="203" spans="1:50" x14ac:dyDescent="0.35">
      <c r="A203" s="23"/>
      <c r="B203" s="23"/>
      <c r="C203" s="23"/>
      <c r="D203" s="23"/>
      <c r="E203" s="23"/>
      <c r="F203" s="23"/>
      <c r="G203" s="23"/>
      <c r="H203" s="23"/>
      <c r="I203" s="23"/>
      <c r="J203" s="23"/>
      <c r="K203" s="23"/>
      <c r="L203" s="23"/>
      <c r="M203" s="23"/>
      <c r="N203" s="23"/>
      <c r="O203" s="23"/>
      <c r="P203" s="23"/>
      <c r="Q203" s="23"/>
      <c r="R203" s="23"/>
      <c r="S203" s="23"/>
      <c r="T203" s="23"/>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row>
    <row r="204" spans="1:50" x14ac:dyDescent="0.35">
      <c r="A204" s="23"/>
      <c r="B204" s="23"/>
      <c r="C204" s="23"/>
      <c r="D204" s="23"/>
      <c r="E204" s="23"/>
      <c r="F204" s="23"/>
      <c r="G204" s="23"/>
      <c r="H204" s="23"/>
      <c r="I204" s="23"/>
      <c r="J204" s="23"/>
      <c r="K204" s="23"/>
      <c r="L204" s="23"/>
      <c r="M204" s="23"/>
      <c r="N204" s="23"/>
      <c r="O204" s="23"/>
      <c r="P204" s="23"/>
      <c r="Q204" s="23"/>
      <c r="R204" s="23"/>
      <c r="S204" s="23"/>
      <c r="T204" s="23"/>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row>
    <row r="205" spans="1:50" x14ac:dyDescent="0.35">
      <c r="A205" s="23"/>
      <c r="B205" s="23"/>
      <c r="C205" s="23"/>
      <c r="D205" s="23"/>
      <c r="E205" s="23"/>
      <c r="F205" s="23"/>
      <c r="G205" s="23"/>
      <c r="H205" s="23"/>
      <c r="I205" s="23"/>
      <c r="J205" s="23"/>
      <c r="K205" s="23"/>
      <c r="L205" s="23"/>
      <c r="M205" s="23"/>
      <c r="N205" s="23"/>
      <c r="O205" s="23"/>
      <c r="P205" s="23"/>
      <c r="Q205" s="23"/>
      <c r="R205" s="23"/>
      <c r="S205" s="23"/>
      <c r="T205" s="23"/>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row>
    <row r="206" spans="1:50" x14ac:dyDescent="0.35">
      <c r="A206" s="23"/>
      <c r="B206" s="23"/>
      <c r="C206" s="23"/>
      <c r="D206" s="23"/>
      <c r="E206" s="23"/>
      <c r="F206" s="23"/>
      <c r="G206" s="23"/>
      <c r="H206" s="23"/>
      <c r="I206" s="23"/>
      <c r="J206" s="23"/>
      <c r="K206" s="23"/>
      <c r="L206" s="23"/>
      <c r="M206" s="23"/>
      <c r="N206" s="23"/>
      <c r="O206" s="23"/>
      <c r="P206" s="23"/>
      <c r="Q206" s="23"/>
      <c r="R206" s="23"/>
      <c r="S206" s="23"/>
      <c r="T206" s="23"/>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row>
    <row r="207" spans="1:50" x14ac:dyDescent="0.35">
      <c r="A207" s="23"/>
      <c r="B207" s="23"/>
      <c r="C207" s="23"/>
      <c r="D207" s="23"/>
      <c r="E207" s="23"/>
      <c r="F207" s="23"/>
      <c r="G207" s="23"/>
      <c r="H207" s="23"/>
      <c r="I207" s="23"/>
      <c r="J207" s="23"/>
      <c r="K207" s="23"/>
      <c r="L207" s="23"/>
      <c r="M207" s="23"/>
      <c r="N207" s="23"/>
      <c r="O207" s="23"/>
      <c r="P207" s="23"/>
      <c r="Q207" s="23"/>
      <c r="R207" s="23"/>
      <c r="S207" s="23"/>
      <c r="T207" s="23"/>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row>
    <row r="208" spans="1:50" x14ac:dyDescent="0.35">
      <c r="A208" s="23"/>
      <c r="B208" s="23"/>
      <c r="C208" s="23"/>
      <c r="D208" s="23"/>
      <c r="E208" s="23"/>
      <c r="F208" s="23"/>
      <c r="G208" s="23"/>
      <c r="H208" s="23"/>
      <c r="I208" s="23"/>
      <c r="J208" s="23"/>
      <c r="K208" s="23"/>
      <c r="L208" s="23"/>
      <c r="M208" s="23"/>
      <c r="N208" s="23"/>
      <c r="O208" s="23"/>
      <c r="P208" s="23"/>
      <c r="Q208" s="23"/>
      <c r="R208" s="23"/>
      <c r="S208" s="23"/>
      <c r="T208" s="23"/>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row>
    <row r="209" spans="1:50" x14ac:dyDescent="0.35">
      <c r="A209" s="23"/>
      <c r="B209" s="23"/>
      <c r="C209" s="23"/>
      <c r="D209" s="23"/>
      <c r="E209" s="23"/>
      <c r="F209" s="23"/>
      <c r="G209" s="23"/>
      <c r="H209" s="23"/>
      <c r="I209" s="23"/>
      <c r="J209" s="23"/>
      <c r="K209" s="23"/>
      <c r="L209" s="23"/>
      <c r="M209" s="23"/>
      <c r="N209" s="23"/>
      <c r="O209" s="23"/>
      <c r="P209" s="23"/>
      <c r="Q209" s="23"/>
      <c r="R209" s="23"/>
      <c r="S209" s="23"/>
      <c r="T209" s="23"/>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row>
    <row r="210" spans="1:50" x14ac:dyDescent="0.35">
      <c r="A210" s="23"/>
      <c r="B210" s="23"/>
      <c r="C210" s="23"/>
      <c r="D210" s="23"/>
      <c r="E210" s="23"/>
      <c r="F210" s="23"/>
      <c r="G210" s="23"/>
      <c r="H210" s="23"/>
      <c r="I210" s="23"/>
      <c r="J210" s="23"/>
      <c r="K210" s="23"/>
      <c r="L210" s="23"/>
      <c r="M210" s="23"/>
      <c r="N210" s="23"/>
      <c r="O210" s="23"/>
      <c r="P210" s="23"/>
      <c r="Q210" s="23"/>
      <c r="R210" s="23"/>
      <c r="S210" s="23"/>
      <c r="T210" s="23"/>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row>
    <row r="211" spans="1:50" x14ac:dyDescent="0.35">
      <c r="A211" s="23"/>
      <c r="B211" s="23"/>
      <c r="C211" s="23"/>
      <c r="D211" s="23"/>
      <c r="E211" s="23"/>
      <c r="F211" s="23"/>
      <c r="G211" s="23"/>
      <c r="H211" s="23"/>
      <c r="I211" s="23"/>
      <c r="J211" s="23"/>
      <c r="K211" s="23"/>
      <c r="L211" s="23"/>
      <c r="M211" s="23"/>
      <c r="N211" s="23"/>
      <c r="O211" s="23"/>
      <c r="P211" s="23"/>
      <c r="Q211" s="23"/>
      <c r="R211" s="23"/>
      <c r="S211" s="23"/>
      <c r="T211" s="23"/>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row>
    <row r="212" spans="1:50" x14ac:dyDescent="0.35">
      <c r="A212" s="23"/>
      <c r="B212" s="23"/>
      <c r="C212" s="23"/>
      <c r="D212" s="23"/>
      <c r="E212" s="23"/>
      <c r="F212" s="23"/>
      <c r="G212" s="23"/>
      <c r="H212" s="23"/>
      <c r="I212" s="23"/>
      <c r="J212" s="23"/>
      <c r="K212" s="23"/>
      <c r="L212" s="23"/>
      <c r="M212" s="23"/>
      <c r="N212" s="23"/>
      <c r="O212" s="23"/>
      <c r="P212" s="23"/>
      <c r="Q212" s="23"/>
      <c r="R212" s="23"/>
      <c r="S212" s="23"/>
      <c r="T212" s="23"/>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row>
    <row r="213" spans="1:50" x14ac:dyDescent="0.35">
      <c r="A213" s="23"/>
      <c r="B213" s="23"/>
      <c r="C213" s="23"/>
      <c r="D213" s="23"/>
      <c r="E213" s="23"/>
      <c r="F213" s="23"/>
      <c r="G213" s="23"/>
      <c r="H213" s="23"/>
      <c r="I213" s="23"/>
      <c r="J213" s="23"/>
      <c r="K213" s="23"/>
      <c r="L213" s="23"/>
      <c r="M213" s="23"/>
      <c r="N213" s="23"/>
      <c r="O213" s="23"/>
      <c r="P213" s="23"/>
      <c r="Q213" s="23"/>
      <c r="R213" s="23"/>
      <c r="S213" s="23"/>
      <c r="T213" s="23"/>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row>
    <row r="214" spans="1:50" x14ac:dyDescent="0.35">
      <c r="A214" s="23"/>
      <c r="B214" s="23"/>
      <c r="C214" s="23"/>
      <c r="D214" s="23"/>
      <c r="E214" s="23"/>
      <c r="F214" s="23"/>
      <c r="G214" s="23"/>
      <c r="H214" s="23"/>
      <c r="I214" s="23"/>
      <c r="J214" s="23"/>
      <c r="K214" s="23"/>
      <c r="L214" s="23"/>
      <c r="M214" s="23"/>
      <c r="N214" s="23"/>
      <c r="O214" s="23"/>
      <c r="P214" s="23"/>
      <c r="Q214" s="23"/>
      <c r="R214" s="23"/>
      <c r="S214" s="23"/>
      <c r="T214" s="23"/>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row>
    <row r="215" spans="1:50" x14ac:dyDescent="0.35">
      <c r="A215" s="23"/>
      <c r="B215" s="23"/>
      <c r="C215" s="23"/>
      <c r="D215" s="23"/>
      <c r="E215" s="23"/>
      <c r="F215" s="23"/>
      <c r="G215" s="23"/>
      <c r="H215" s="23"/>
      <c r="I215" s="23"/>
      <c r="J215" s="23"/>
      <c r="K215" s="23"/>
      <c r="L215" s="23"/>
      <c r="M215" s="23"/>
      <c r="N215" s="23"/>
      <c r="O215" s="23"/>
      <c r="P215" s="23"/>
      <c r="Q215" s="23"/>
      <c r="R215" s="23"/>
      <c r="S215" s="23"/>
      <c r="T215" s="23"/>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row>
    <row r="216" spans="1:50" x14ac:dyDescent="0.35">
      <c r="A216" s="23"/>
      <c r="B216" s="23"/>
      <c r="C216" s="23"/>
      <c r="D216" s="23"/>
      <c r="E216" s="23"/>
      <c r="F216" s="23"/>
      <c r="G216" s="23"/>
      <c r="H216" s="23"/>
      <c r="I216" s="23"/>
      <c r="J216" s="23"/>
      <c r="K216" s="23"/>
      <c r="L216" s="23"/>
      <c r="M216" s="23"/>
      <c r="N216" s="23"/>
      <c r="O216" s="23"/>
      <c r="P216" s="23"/>
      <c r="Q216" s="23"/>
      <c r="R216" s="23"/>
      <c r="S216" s="23"/>
      <c r="T216" s="23"/>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row>
    <row r="217" spans="1:50" x14ac:dyDescent="0.35">
      <c r="A217" s="23"/>
      <c r="B217" s="23"/>
      <c r="C217" s="23"/>
      <c r="D217" s="23"/>
      <c r="E217" s="23"/>
      <c r="F217" s="23"/>
      <c r="G217" s="23"/>
      <c r="H217" s="23"/>
      <c r="I217" s="23"/>
      <c r="J217" s="23"/>
      <c r="K217" s="23"/>
      <c r="L217" s="23"/>
      <c r="M217" s="23"/>
      <c r="N217" s="23"/>
      <c r="O217" s="23"/>
      <c r="P217" s="23"/>
      <c r="Q217" s="23"/>
      <c r="R217" s="23"/>
      <c r="S217" s="23"/>
      <c r="T217" s="23"/>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row>
    <row r="218" spans="1:50" x14ac:dyDescent="0.35">
      <c r="A218" s="23"/>
      <c r="B218" s="23"/>
      <c r="C218" s="23"/>
      <c r="D218" s="23"/>
      <c r="E218" s="23"/>
      <c r="F218" s="23"/>
      <c r="G218" s="23"/>
      <c r="H218" s="23"/>
      <c r="I218" s="23"/>
      <c r="J218" s="23"/>
      <c r="K218" s="23"/>
      <c r="L218" s="23"/>
      <c r="M218" s="23"/>
      <c r="N218" s="23"/>
      <c r="O218" s="23"/>
      <c r="P218" s="23"/>
      <c r="Q218" s="23"/>
      <c r="R218" s="23"/>
      <c r="S218" s="23"/>
      <c r="T218" s="23"/>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row>
    <row r="219" spans="1:50" x14ac:dyDescent="0.35">
      <c r="A219" s="23"/>
      <c r="B219" s="23"/>
      <c r="C219" s="23"/>
      <c r="D219" s="23"/>
      <c r="E219" s="23"/>
      <c r="F219" s="23"/>
      <c r="G219" s="23"/>
      <c r="H219" s="23"/>
      <c r="I219" s="23"/>
      <c r="J219" s="23"/>
      <c r="K219" s="23"/>
      <c r="L219" s="23"/>
      <c r="M219" s="23"/>
      <c r="N219" s="23"/>
      <c r="O219" s="23"/>
      <c r="P219" s="23"/>
      <c r="Q219" s="23"/>
      <c r="R219" s="23"/>
      <c r="S219" s="23"/>
      <c r="T219" s="23"/>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row>
    <row r="220" spans="1:50" x14ac:dyDescent="0.35">
      <c r="A220" s="23"/>
      <c r="B220" s="23"/>
      <c r="C220" s="23"/>
      <c r="D220" s="23"/>
      <c r="E220" s="23"/>
      <c r="F220" s="23"/>
      <c r="G220" s="23"/>
      <c r="H220" s="23"/>
      <c r="I220" s="23"/>
      <c r="J220" s="23"/>
      <c r="K220" s="23"/>
      <c r="L220" s="23"/>
      <c r="M220" s="23"/>
      <c r="N220" s="23"/>
      <c r="O220" s="23"/>
      <c r="P220" s="23"/>
      <c r="Q220" s="23"/>
      <c r="R220" s="23"/>
      <c r="S220" s="23"/>
      <c r="T220" s="23"/>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row>
    <row r="221" spans="1:50" x14ac:dyDescent="0.35">
      <c r="A221" s="23"/>
      <c r="B221" s="23"/>
      <c r="C221" s="23"/>
      <c r="D221" s="23"/>
      <c r="E221" s="23"/>
      <c r="F221" s="23"/>
      <c r="G221" s="23"/>
      <c r="H221" s="23"/>
      <c r="I221" s="23"/>
      <c r="J221" s="23"/>
      <c r="K221" s="23"/>
      <c r="L221" s="23"/>
      <c r="M221" s="23"/>
      <c r="N221" s="23"/>
      <c r="O221" s="23"/>
      <c r="P221" s="23"/>
      <c r="Q221" s="23"/>
      <c r="R221" s="23"/>
      <c r="S221" s="23"/>
      <c r="T221" s="23"/>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row>
    <row r="222" spans="1:50" x14ac:dyDescent="0.35">
      <c r="A222" s="23"/>
      <c r="B222" s="23"/>
      <c r="C222" s="23"/>
      <c r="D222" s="23"/>
      <c r="E222" s="23"/>
      <c r="F222" s="23"/>
      <c r="G222" s="23"/>
      <c r="H222" s="23"/>
      <c r="I222" s="23"/>
      <c r="J222" s="23"/>
      <c r="K222" s="23"/>
      <c r="L222" s="23"/>
      <c r="M222" s="23"/>
      <c r="N222" s="23"/>
      <c r="O222" s="23"/>
      <c r="P222" s="23"/>
      <c r="Q222" s="23"/>
      <c r="R222" s="23"/>
      <c r="S222" s="23"/>
      <c r="T222" s="23"/>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row>
    <row r="223" spans="1:50" x14ac:dyDescent="0.35">
      <c r="A223" s="23"/>
      <c r="B223" s="23"/>
      <c r="C223" s="23"/>
      <c r="D223" s="23"/>
      <c r="E223" s="23"/>
      <c r="F223" s="23"/>
      <c r="G223" s="23"/>
      <c r="H223" s="23"/>
      <c r="I223" s="23"/>
      <c r="J223" s="23"/>
      <c r="K223" s="23"/>
      <c r="L223" s="23"/>
      <c r="M223" s="23"/>
      <c r="N223" s="23"/>
      <c r="O223" s="23"/>
      <c r="P223" s="23"/>
      <c r="Q223" s="23"/>
      <c r="R223" s="23"/>
      <c r="S223" s="23"/>
      <c r="T223" s="23"/>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row>
    <row r="224" spans="1:50" x14ac:dyDescent="0.35">
      <c r="A224" s="23"/>
      <c r="B224" s="23"/>
      <c r="C224" s="23"/>
      <c r="D224" s="23"/>
      <c r="E224" s="23"/>
      <c r="F224" s="23"/>
      <c r="G224" s="23"/>
      <c r="H224" s="23"/>
      <c r="I224" s="23"/>
      <c r="J224" s="23"/>
      <c r="K224" s="23"/>
      <c r="L224" s="23"/>
      <c r="M224" s="23"/>
      <c r="N224" s="23"/>
      <c r="O224" s="23"/>
      <c r="P224" s="23"/>
      <c r="Q224" s="23"/>
      <c r="R224" s="23"/>
      <c r="S224" s="23"/>
      <c r="T224" s="23"/>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row>
    <row r="225" spans="1:50" x14ac:dyDescent="0.35">
      <c r="A225" s="23"/>
      <c r="B225" s="23"/>
      <c r="C225" s="23"/>
      <c r="D225" s="23"/>
      <c r="E225" s="23"/>
      <c r="F225" s="23"/>
      <c r="G225" s="23"/>
      <c r="H225" s="23"/>
      <c r="I225" s="23"/>
      <c r="J225" s="23"/>
      <c r="K225" s="23"/>
      <c r="L225" s="23"/>
      <c r="M225" s="23"/>
      <c r="N225" s="23"/>
      <c r="O225" s="23"/>
      <c r="P225" s="23"/>
      <c r="Q225" s="23"/>
      <c r="R225" s="23"/>
      <c r="S225" s="23"/>
      <c r="T225" s="23"/>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row>
    <row r="226" spans="1:50" x14ac:dyDescent="0.35">
      <c r="A226" s="23"/>
      <c r="B226" s="23"/>
      <c r="C226" s="23"/>
      <c r="D226" s="23"/>
      <c r="E226" s="23"/>
      <c r="F226" s="23"/>
      <c r="G226" s="23"/>
      <c r="H226" s="23"/>
      <c r="I226" s="23"/>
      <c r="J226" s="23"/>
      <c r="K226" s="23"/>
      <c r="L226" s="23"/>
      <c r="M226" s="23"/>
      <c r="N226" s="23"/>
      <c r="O226" s="23"/>
      <c r="P226" s="23"/>
      <c r="Q226" s="23"/>
      <c r="R226" s="23"/>
      <c r="S226" s="23"/>
      <c r="T226" s="23"/>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row>
    <row r="227" spans="1:50" x14ac:dyDescent="0.35">
      <c r="A227" s="23"/>
      <c r="B227" s="23"/>
      <c r="C227" s="23"/>
      <c r="D227" s="23"/>
      <c r="E227" s="23"/>
      <c r="F227" s="23"/>
      <c r="G227" s="23"/>
      <c r="H227" s="23"/>
      <c r="I227" s="23"/>
      <c r="J227" s="23"/>
      <c r="K227" s="23"/>
      <c r="L227" s="23"/>
      <c r="M227" s="23"/>
      <c r="N227" s="23"/>
      <c r="O227" s="23"/>
      <c r="P227" s="23"/>
      <c r="Q227" s="23"/>
      <c r="R227" s="23"/>
      <c r="S227" s="23"/>
      <c r="T227" s="23"/>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row>
    <row r="228" spans="1:50" x14ac:dyDescent="0.35">
      <c r="A228" s="23"/>
      <c r="B228" s="23"/>
      <c r="C228" s="23"/>
      <c r="D228" s="23"/>
      <c r="E228" s="23"/>
      <c r="F228" s="23"/>
      <c r="G228" s="23"/>
      <c r="H228" s="23"/>
      <c r="I228" s="23"/>
      <c r="J228" s="23"/>
      <c r="K228" s="23"/>
      <c r="L228" s="23"/>
      <c r="M228" s="23"/>
      <c r="N228" s="23"/>
      <c r="O228" s="23"/>
      <c r="P228" s="23"/>
      <c r="Q228" s="23"/>
      <c r="R228" s="23"/>
      <c r="S228" s="23"/>
      <c r="T228" s="23"/>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row>
    <row r="229" spans="1:50" x14ac:dyDescent="0.35">
      <c r="A229" s="23"/>
      <c r="B229" s="23"/>
      <c r="C229" s="23"/>
      <c r="D229" s="23"/>
      <c r="E229" s="23"/>
      <c r="F229" s="23"/>
      <c r="G229" s="23"/>
      <c r="H229" s="23"/>
      <c r="I229" s="23"/>
      <c r="J229" s="23"/>
      <c r="K229" s="23"/>
      <c r="L229" s="23"/>
      <c r="M229" s="23"/>
      <c r="N229" s="23"/>
      <c r="O229" s="23"/>
      <c r="P229" s="23"/>
      <c r="Q229" s="23"/>
      <c r="R229" s="23"/>
      <c r="S229" s="23"/>
      <c r="T229" s="23"/>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row>
    <row r="230" spans="1:50" x14ac:dyDescent="0.35">
      <c r="A230" s="23"/>
      <c r="B230" s="23"/>
      <c r="C230" s="23"/>
      <c r="D230" s="23"/>
      <c r="E230" s="23"/>
      <c r="F230" s="23"/>
      <c r="G230" s="23"/>
      <c r="H230" s="23"/>
      <c r="I230" s="23"/>
      <c r="J230" s="23"/>
      <c r="K230" s="23"/>
      <c r="L230" s="23"/>
      <c r="M230" s="23"/>
      <c r="N230" s="23"/>
      <c r="O230" s="23"/>
      <c r="P230" s="23"/>
      <c r="Q230" s="23"/>
      <c r="R230" s="23"/>
      <c r="S230" s="23"/>
      <c r="T230" s="23"/>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row>
    <row r="231" spans="1:50" x14ac:dyDescent="0.35">
      <c r="A231" s="23"/>
      <c r="B231" s="23"/>
      <c r="C231" s="23"/>
      <c r="D231" s="23"/>
      <c r="E231" s="23"/>
      <c r="F231" s="23"/>
      <c r="G231" s="23"/>
      <c r="H231" s="23"/>
      <c r="I231" s="23"/>
      <c r="J231" s="23"/>
      <c r="K231" s="23"/>
      <c r="L231" s="23"/>
      <c r="M231" s="23"/>
      <c r="N231" s="23"/>
      <c r="O231" s="23"/>
      <c r="P231" s="23"/>
      <c r="Q231" s="23"/>
      <c r="R231" s="23"/>
      <c r="S231" s="23"/>
      <c r="T231" s="23"/>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row>
    <row r="232" spans="1:50" x14ac:dyDescent="0.35">
      <c r="A232" s="23"/>
      <c r="B232" s="23"/>
      <c r="C232" s="23"/>
      <c r="D232" s="23"/>
      <c r="E232" s="23"/>
      <c r="F232" s="23"/>
      <c r="G232" s="23"/>
      <c r="H232" s="23"/>
      <c r="I232" s="23"/>
      <c r="J232" s="23"/>
      <c r="K232" s="23"/>
      <c r="L232" s="23"/>
      <c r="M232" s="23"/>
      <c r="N232" s="23"/>
      <c r="O232" s="23"/>
      <c r="P232" s="23"/>
      <c r="Q232" s="23"/>
      <c r="R232" s="23"/>
      <c r="S232" s="23"/>
      <c r="T232" s="23"/>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row>
    <row r="233" spans="1:50" x14ac:dyDescent="0.35">
      <c r="A233" s="23"/>
      <c r="B233" s="23"/>
      <c r="C233" s="23"/>
      <c r="D233" s="23"/>
      <c r="E233" s="23"/>
      <c r="F233" s="23"/>
      <c r="G233" s="23"/>
      <c r="H233" s="23"/>
      <c r="I233" s="23"/>
      <c r="J233" s="23"/>
      <c r="K233" s="23"/>
      <c r="L233" s="23"/>
      <c r="M233" s="23"/>
      <c r="N233" s="23"/>
      <c r="O233" s="23"/>
      <c r="P233" s="23"/>
      <c r="Q233" s="23"/>
      <c r="R233" s="23"/>
      <c r="S233" s="23"/>
      <c r="T233" s="23"/>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row>
    <row r="234" spans="1:50" x14ac:dyDescent="0.35">
      <c r="A234" s="23"/>
      <c r="B234" s="23"/>
      <c r="C234" s="23"/>
      <c r="D234" s="23"/>
      <c r="E234" s="23"/>
      <c r="F234" s="23"/>
      <c r="G234" s="23"/>
      <c r="H234" s="23"/>
      <c r="I234" s="23"/>
      <c r="J234" s="23"/>
      <c r="K234" s="23"/>
      <c r="L234" s="23"/>
      <c r="M234" s="23"/>
      <c r="N234" s="23"/>
      <c r="O234" s="23"/>
      <c r="P234" s="23"/>
      <c r="Q234" s="23"/>
      <c r="R234" s="23"/>
      <c r="S234" s="23"/>
      <c r="T234" s="23"/>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row>
    <row r="235" spans="1:50" x14ac:dyDescent="0.35">
      <c r="A235" s="23"/>
      <c r="B235" s="23"/>
      <c r="C235" s="23"/>
      <c r="D235" s="23"/>
      <c r="E235" s="23"/>
      <c r="F235" s="23"/>
      <c r="G235" s="23"/>
      <c r="H235" s="23"/>
      <c r="I235" s="23"/>
      <c r="J235" s="23"/>
      <c r="K235" s="23"/>
      <c r="L235" s="23"/>
      <c r="M235" s="23"/>
      <c r="N235" s="23"/>
      <c r="O235" s="23"/>
      <c r="P235" s="23"/>
      <c r="Q235" s="23"/>
      <c r="R235" s="23"/>
      <c r="S235" s="23"/>
      <c r="T235" s="23"/>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row>
    <row r="236" spans="1:50" x14ac:dyDescent="0.35">
      <c r="A236" s="23"/>
      <c r="B236" s="23"/>
      <c r="C236" s="23"/>
      <c r="D236" s="23"/>
      <c r="E236" s="23"/>
      <c r="F236" s="23"/>
      <c r="G236" s="23"/>
      <c r="H236" s="23"/>
      <c r="I236" s="23"/>
      <c r="J236" s="23"/>
      <c r="K236" s="23"/>
      <c r="L236" s="23"/>
      <c r="M236" s="23"/>
      <c r="N236" s="23"/>
      <c r="O236" s="23"/>
      <c r="P236" s="23"/>
      <c r="Q236" s="23"/>
      <c r="R236" s="23"/>
      <c r="S236" s="23"/>
      <c r="T236" s="23"/>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row>
    <row r="237" spans="1:50" x14ac:dyDescent="0.35">
      <c r="A237" s="23"/>
      <c r="B237" s="23"/>
      <c r="C237" s="23"/>
      <c r="D237" s="23"/>
      <c r="E237" s="23"/>
      <c r="F237" s="23"/>
      <c r="G237" s="23"/>
      <c r="H237" s="23"/>
      <c r="I237" s="23"/>
      <c r="J237" s="23"/>
      <c r="K237" s="23"/>
      <c r="L237" s="23"/>
      <c r="M237" s="23"/>
      <c r="N237" s="23"/>
      <c r="O237" s="23"/>
      <c r="P237" s="23"/>
      <c r="Q237" s="23"/>
      <c r="R237" s="23"/>
      <c r="S237" s="23"/>
      <c r="T237" s="23"/>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row>
    <row r="238" spans="1:50" x14ac:dyDescent="0.35">
      <c r="A238" s="23"/>
      <c r="B238" s="23"/>
      <c r="C238" s="23"/>
      <c r="D238" s="23"/>
      <c r="E238" s="23"/>
      <c r="F238" s="23"/>
      <c r="G238" s="23"/>
      <c r="H238" s="23"/>
      <c r="I238" s="23"/>
      <c r="J238" s="23"/>
      <c r="K238" s="23"/>
      <c r="L238" s="23"/>
      <c r="M238" s="23"/>
      <c r="N238" s="23"/>
      <c r="O238" s="23"/>
      <c r="P238" s="23"/>
      <c r="Q238" s="23"/>
      <c r="R238" s="23"/>
      <c r="S238" s="23"/>
      <c r="T238" s="23"/>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row>
    <row r="239" spans="1:50" x14ac:dyDescent="0.35">
      <c r="A239" s="23"/>
      <c r="B239" s="23"/>
      <c r="C239" s="23"/>
      <c r="D239" s="23"/>
      <c r="E239" s="23"/>
      <c r="F239" s="23"/>
      <c r="G239" s="23"/>
      <c r="H239" s="23"/>
      <c r="I239" s="23"/>
      <c r="J239" s="23"/>
      <c r="K239" s="23"/>
      <c r="L239" s="23"/>
      <c r="M239" s="23"/>
      <c r="N239" s="23"/>
      <c r="O239" s="23"/>
      <c r="P239" s="23"/>
      <c r="Q239" s="23"/>
      <c r="R239" s="23"/>
      <c r="S239" s="23"/>
      <c r="T239" s="23"/>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row>
    <row r="240" spans="1:50" x14ac:dyDescent="0.35">
      <c r="A240" s="23"/>
      <c r="B240" s="23"/>
      <c r="C240" s="23"/>
      <c r="D240" s="23"/>
      <c r="E240" s="23"/>
      <c r="F240" s="23"/>
      <c r="G240" s="23"/>
      <c r="H240" s="23"/>
      <c r="I240" s="23"/>
      <c r="J240" s="23"/>
      <c r="K240" s="23"/>
      <c r="L240" s="23"/>
      <c r="M240" s="23"/>
      <c r="N240" s="23"/>
      <c r="O240" s="23"/>
      <c r="P240" s="23"/>
      <c r="Q240" s="23"/>
      <c r="R240" s="23"/>
      <c r="S240" s="23"/>
      <c r="T240" s="23"/>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row>
    <row r="241" spans="1:50" x14ac:dyDescent="0.35">
      <c r="A241" s="23"/>
      <c r="B241" s="23"/>
      <c r="C241" s="23"/>
      <c r="D241" s="23"/>
      <c r="E241" s="23"/>
      <c r="F241" s="23"/>
      <c r="G241" s="23"/>
      <c r="H241" s="23"/>
      <c r="I241" s="23"/>
      <c r="J241" s="23"/>
      <c r="K241" s="23"/>
      <c r="L241" s="23"/>
      <c r="M241" s="23"/>
      <c r="N241" s="23"/>
      <c r="O241" s="23"/>
      <c r="P241" s="23"/>
      <c r="Q241" s="23"/>
      <c r="R241" s="23"/>
      <c r="S241" s="23"/>
      <c r="T241" s="23"/>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row>
    <row r="242" spans="1:50" x14ac:dyDescent="0.35">
      <c r="A242" s="23"/>
      <c r="B242" s="23"/>
      <c r="C242" s="23"/>
      <c r="D242" s="23"/>
      <c r="E242" s="23"/>
      <c r="F242" s="23"/>
      <c r="G242" s="23"/>
      <c r="H242" s="23"/>
      <c r="I242" s="23"/>
      <c r="J242" s="23"/>
      <c r="K242" s="23"/>
      <c r="L242" s="23"/>
      <c r="M242" s="23"/>
      <c r="N242" s="23"/>
      <c r="O242" s="23"/>
      <c r="P242" s="23"/>
      <c r="Q242" s="23"/>
      <c r="R242" s="23"/>
      <c r="S242" s="23"/>
      <c r="T242" s="23"/>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row>
    <row r="243" spans="1:50" x14ac:dyDescent="0.35">
      <c r="A243" s="23"/>
      <c r="B243" s="23"/>
      <c r="C243" s="23"/>
      <c r="D243" s="23"/>
      <c r="E243" s="23"/>
      <c r="F243" s="23"/>
      <c r="G243" s="23"/>
      <c r="H243" s="23"/>
      <c r="I243" s="23"/>
      <c r="J243" s="23"/>
      <c r="K243" s="23"/>
      <c r="L243" s="23"/>
      <c r="M243" s="23"/>
      <c r="N243" s="23"/>
      <c r="O243" s="23"/>
      <c r="P243" s="23"/>
      <c r="Q243" s="23"/>
      <c r="R243" s="23"/>
      <c r="S243" s="23"/>
      <c r="T243" s="23"/>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row>
    <row r="244" spans="1:50" x14ac:dyDescent="0.35">
      <c r="A244" s="23"/>
      <c r="B244" s="23"/>
      <c r="C244" s="23"/>
      <c r="D244" s="23"/>
      <c r="E244" s="23"/>
      <c r="F244" s="23"/>
      <c r="G244" s="23"/>
      <c r="H244" s="23"/>
      <c r="I244" s="23"/>
      <c r="J244" s="23"/>
      <c r="K244" s="23"/>
      <c r="L244" s="23"/>
      <c r="M244" s="23"/>
      <c r="N244" s="23"/>
      <c r="O244" s="23"/>
      <c r="P244" s="23"/>
      <c r="Q244" s="23"/>
      <c r="R244" s="23"/>
      <c r="S244" s="23"/>
      <c r="T244" s="23"/>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row>
    <row r="245" spans="1:50" x14ac:dyDescent="0.35">
      <c r="A245" s="23"/>
      <c r="B245" s="23"/>
      <c r="C245" s="23"/>
      <c r="D245" s="23"/>
      <c r="E245" s="23"/>
      <c r="F245" s="23"/>
      <c r="G245" s="23"/>
      <c r="H245" s="23"/>
      <c r="I245" s="23"/>
      <c r="J245" s="23"/>
      <c r="K245" s="23"/>
      <c r="L245" s="23"/>
      <c r="M245" s="23"/>
      <c r="N245" s="23"/>
      <c r="O245" s="23"/>
      <c r="P245" s="23"/>
      <c r="Q245" s="23"/>
      <c r="R245" s="23"/>
      <c r="S245" s="23"/>
      <c r="T245" s="23"/>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row>
    <row r="246" spans="1:50" x14ac:dyDescent="0.35">
      <c r="A246" s="23"/>
      <c r="B246" s="23"/>
      <c r="C246" s="23"/>
      <c r="D246" s="23"/>
      <c r="E246" s="23"/>
      <c r="F246" s="23"/>
      <c r="G246" s="23"/>
      <c r="H246" s="23"/>
      <c r="I246" s="23"/>
      <c r="J246" s="23"/>
      <c r="K246" s="23"/>
      <c r="L246" s="23"/>
      <c r="M246" s="23"/>
      <c r="N246" s="23"/>
      <c r="O246" s="23"/>
      <c r="P246" s="23"/>
      <c r="Q246" s="23"/>
      <c r="R246" s="23"/>
      <c r="S246" s="23"/>
      <c r="T246" s="23"/>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row>
    <row r="247" spans="1:50" x14ac:dyDescent="0.35">
      <c r="A247" s="23"/>
      <c r="B247" s="23"/>
      <c r="C247" s="23"/>
      <c r="D247" s="23"/>
      <c r="E247" s="23"/>
      <c r="F247" s="23"/>
      <c r="G247" s="23"/>
      <c r="H247" s="23"/>
      <c r="I247" s="23"/>
      <c r="J247" s="23"/>
      <c r="K247" s="23"/>
      <c r="L247" s="23"/>
      <c r="M247" s="23"/>
      <c r="N247" s="23"/>
      <c r="O247" s="23"/>
      <c r="P247" s="23"/>
      <c r="Q247" s="23"/>
      <c r="R247" s="23"/>
      <c r="S247" s="23"/>
      <c r="T247" s="23"/>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row>
    <row r="248" spans="1:50" x14ac:dyDescent="0.35">
      <c r="A248" s="23"/>
      <c r="B248" s="23"/>
      <c r="C248" s="23"/>
      <c r="D248" s="23"/>
      <c r="E248" s="23"/>
      <c r="F248" s="23"/>
      <c r="G248" s="23"/>
      <c r="H248" s="23"/>
      <c r="I248" s="23"/>
      <c r="J248" s="23"/>
      <c r="K248" s="23"/>
      <c r="L248" s="23"/>
      <c r="M248" s="23"/>
      <c r="N248" s="23"/>
      <c r="O248" s="23"/>
      <c r="P248" s="23"/>
      <c r="Q248" s="23"/>
      <c r="R248" s="23"/>
      <c r="S248" s="23"/>
      <c r="T248" s="23"/>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row>
    <row r="249" spans="1:50" x14ac:dyDescent="0.35">
      <c r="A249" s="23"/>
      <c r="B249" s="23"/>
      <c r="C249" s="23"/>
      <c r="D249" s="23"/>
      <c r="E249" s="23"/>
      <c r="F249" s="23"/>
      <c r="G249" s="23"/>
      <c r="H249" s="23"/>
      <c r="I249" s="23"/>
      <c r="J249" s="23"/>
      <c r="K249" s="23"/>
      <c r="L249" s="23"/>
      <c r="M249" s="23"/>
      <c r="N249" s="23"/>
      <c r="O249" s="23"/>
      <c r="P249" s="23"/>
      <c r="Q249" s="23"/>
      <c r="R249" s="23"/>
      <c r="S249" s="23"/>
      <c r="T249" s="23"/>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row>
    <row r="250" spans="1:50" x14ac:dyDescent="0.35">
      <c r="A250" s="23"/>
      <c r="B250" s="23"/>
      <c r="C250" s="23"/>
      <c r="D250" s="23"/>
      <c r="E250" s="23"/>
      <c r="F250" s="23"/>
      <c r="G250" s="23"/>
      <c r="H250" s="23"/>
      <c r="I250" s="23"/>
      <c r="J250" s="23"/>
      <c r="K250" s="23"/>
      <c r="L250" s="23"/>
      <c r="M250" s="23"/>
      <c r="N250" s="23"/>
      <c r="O250" s="23"/>
      <c r="P250" s="23"/>
      <c r="Q250" s="23"/>
      <c r="R250" s="23"/>
      <c r="S250" s="23"/>
      <c r="T250" s="23"/>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row>
    <row r="251" spans="1:50" x14ac:dyDescent="0.35">
      <c r="A251" s="23"/>
      <c r="B251" s="23"/>
      <c r="C251" s="23"/>
      <c r="D251" s="23"/>
      <c r="E251" s="23"/>
      <c r="F251" s="23"/>
      <c r="G251" s="23"/>
      <c r="H251" s="23"/>
      <c r="I251" s="23"/>
      <c r="J251" s="23"/>
      <c r="K251" s="23"/>
      <c r="L251" s="23"/>
      <c r="M251" s="23"/>
      <c r="N251" s="23"/>
      <c r="O251" s="23"/>
      <c r="P251" s="23"/>
      <c r="Q251" s="23"/>
      <c r="R251" s="23"/>
      <c r="S251" s="23"/>
      <c r="T251" s="23"/>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row>
    <row r="252" spans="1:50" x14ac:dyDescent="0.35">
      <c r="A252" s="23"/>
      <c r="B252" s="23"/>
      <c r="C252" s="23"/>
      <c r="D252" s="23"/>
      <c r="E252" s="23"/>
      <c r="F252" s="23"/>
      <c r="G252" s="23"/>
      <c r="H252" s="23"/>
      <c r="I252" s="23"/>
      <c r="J252" s="23"/>
      <c r="K252" s="23"/>
      <c r="L252" s="23"/>
      <c r="M252" s="23"/>
      <c r="N252" s="23"/>
      <c r="O252" s="23"/>
      <c r="P252" s="23"/>
      <c r="Q252" s="23"/>
      <c r="R252" s="23"/>
      <c r="S252" s="23"/>
      <c r="T252" s="23"/>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row>
    <row r="253" spans="1:50" x14ac:dyDescent="0.35">
      <c r="A253" s="23"/>
      <c r="B253" s="23"/>
      <c r="C253" s="23"/>
      <c r="D253" s="23"/>
      <c r="E253" s="23"/>
      <c r="F253" s="23"/>
      <c r="G253" s="23"/>
      <c r="H253" s="23"/>
      <c r="I253" s="23"/>
      <c r="J253" s="23"/>
      <c r="K253" s="23"/>
      <c r="L253" s="23"/>
      <c r="M253" s="23"/>
      <c r="N253" s="23"/>
      <c r="O253" s="23"/>
      <c r="P253" s="23"/>
      <c r="Q253" s="23"/>
      <c r="R253" s="23"/>
      <c r="S253" s="23"/>
      <c r="T253" s="23"/>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row>
    <row r="254" spans="1:50" x14ac:dyDescent="0.35">
      <c r="A254" s="23"/>
      <c r="B254" s="23"/>
      <c r="C254" s="23"/>
      <c r="D254" s="23"/>
      <c r="E254" s="23"/>
      <c r="F254" s="23"/>
      <c r="G254" s="23"/>
      <c r="H254" s="23"/>
      <c r="I254" s="23"/>
      <c r="J254" s="23"/>
      <c r="K254" s="23"/>
      <c r="L254" s="23"/>
      <c r="M254" s="23"/>
      <c r="N254" s="23"/>
      <c r="O254" s="23"/>
      <c r="P254" s="23"/>
      <c r="Q254" s="23"/>
      <c r="R254" s="23"/>
      <c r="S254" s="23"/>
      <c r="T254" s="23"/>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row>
    <row r="255" spans="1:50" x14ac:dyDescent="0.35">
      <c r="A255" s="23"/>
      <c r="B255" s="23"/>
      <c r="C255" s="23"/>
      <c r="D255" s="23"/>
      <c r="E255" s="23"/>
      <c r="F255" s="23"/>
      <c r="G255" s="23"/>
      <c r="H255" s="23"/>
      <c r="I255" s="23"/>
      <c r="J255" s="23"/>
      <c r="K255" s="23"/>
      <c r="L255" s="23"/>
      <c r="M255" s="23"/>
      <c r="N255" s="23"/>
      <c r="O255" s="23"/>
      <c r="P255" s="23"/>
      <c r="Q255" s="23"/>
      <c r="R255" s="23"/>
      <c r="S255" s="23"/>
      <c r="T255" s="23"/>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row>
    <row r="256" spans="1:50" x14ac:dyDescent="0.35">
      <c r="A256" s="23"/>
      <c r="B256" s="23"/>
      <c r="C256" s="23"/>
      <c r="D256" s="23"/>
      <c r="E256" s="23"/>
      <c r="F256" s="23"/>
      <c r="G256" s="23"/>
      <c r="H256" s="23"/>
      <c r="I256" s="23"/>
      <c r="J256" s="23"/>
      <c r="K256" s="23"/>
      <c r="L256" s="23"/>
      <c r="M256" s="23"/>
      <c r="N256" s="23"/>
      <c r="O256" s="23"/>
      <c r="P256" s="23"/>
      <c r="Q256" s="23"/>
      <c r="R256" s="23"/>
      <c r="S256" s="23"/>
      <c r="T256" s="23"/>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row>
    <row r="257" spans="1:50" x14ac:dyDescent="0.35">
      <c r="A257" s="23"/>
      <c r="B257" s="23"/>
      <c r="C257" s="23"/>
      <c r="D257" s="23"/>
      <c r="E257" s="23"/>
      <c r="F257" s="23"/>
      <c r="G257" s="23"/>
      <c r="H257" s="23"/>
      <c r="I257" s="23"/>
      <c r="J257" s="23"/>
      <c r="K257" s="23"/>
      <c r="L257" s="23"/>
      <c r="M257" s="23"/>
      <c r="N257" s="23"/>
      <c r="O257" s="23"/>
      <c r="P257" s="23"/>
      <c r="Q257" s="23"/>
      <c r="R257" s="23"/>
      <c r="S257" s="23"/>
      <c r="T257" s="23"/>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row>
    <row r="258" spans="1:50" x14ac:dyDescent="0.35">
      <c r="A258" s="23"/>
      <c r="B258" s="23"/>
      <c r="C258" s="23"/>
      <c r="D258" s="23"/>
      <c r="E258" s="23"/>
      <c r="F258" s="23"/>
      <c r="G258" s="23"/>
      <c r="H258" s="23"/>
      <c r="I258" s="23"/>
      <c r="J258" s="23"/>
      <c r="K258" s="23"/>
      <c r="L258" s="23"/>
      <c r="M258" s="23"/>
      <c r="N258" s="23"/>
      <c r="O258" s="23"/>
      <c r="P258" s="23"/>
      <c r="Q258" s="23"/>
      <c r="R258" s="23"/>
      <c r="S258" s="23"/>
      <c r="T258" s="23"/>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row>
    <row r="259" spans="1:50" x14ac:dyDescent="0.35">
      <c r="A259" s="23"/>
      <c r="B259" s="23"/>
      <c r="C259" s="23"/>
      <c r="D259" s="23"/>
      <c r="E259" s="23"/>
      <c r="F259" s="23"/>
      <c r="G259" s="23"/>
      <c r="H259" s="23"/>
      <c r="I259" s="23"/>
      <c r="J259" s="23"/>
      <c r="K259" s="23"/>
      <c r="L259" s="23"/>
      <c r="M259" s="23"/>
      <c r="N259" s="23"/>
      <c r="O259" s="23"/>
      <c r="P259" s="23"/>
      <c r="Q259" s="23"/>
      <c r="R259" s="23"/>
      <c r="S259" s="23"/>
      <c r="T259" s="23"/>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row>
    <row r="260" spans="1:50" x14ac:dyDescent="0.35">
      <c r="A260" s="23"/>
      <c r="B260" s="23"/>
      <c r="C260" s="23"/>
      <c r="D260" s="23"/>
      <c r="E260" s="23"/>
      <c r="F260" s="23"/>
      <c r="G260" s="23"/>
      <c r="H260" s="23"/>
      <c r="I260" s="23"/>
      <c r="J260" s="23"/>
      <c r="K260" s="23"/>
      <c r="L260" s="23"/>
      <c r="M260" s="23"/>
      <c r="N260" s="23"/>
      <c r="O260" s="23"/>
      <c r="P260" s="23"/>
      <c r="Q260" s="23"/>
      <c r="R260" s="23"/>
      <c r="S260" s="23"/>
      <c r="T260" s="23"/>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row>
    <row r="261" spans="1:50" x14ac:dyDescent="0.35">
      <c r="A261" s="23"/>
      <c r="B261" s="23"/>
      <c r="C261" s="23"/>
      <c r="D261" s="23"/>
      <c r="E261" s="23"/>
      <c r="F261" s="23"/>
      <c r="G261" s="23"/>
      <c r="H261" s="23"/>
      <c r="I261" s="23"/>
      <c r="J261" s="23"/>
      <c r="K261" s="23"/>
      <c r="L261" s="23"/>
      <c r="M261" s="23"/>
      <c r="N261" s="23"/>
      <c r="O261" s="23"/>
      <c r="P261" s="23"/>
      <c r="Q261" s="23"/>
      <c r="R261" s="23"/>
      <c r="S261" s="23"/>
      <c r="T261" s="23"/>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row>
    <row r="262" spans="1:50" x14ac:dyDescent="0.35">
      <c r="A262" s="23"/>
      <c r="B262" s="23"/>
      <c r="C262" s="23"/>
      <c r="D262" s="23"/>
      <c r="E262" s="23"/>
      <c r="F262" s="23"/>
      <c r="G262" s="23"/>
      <c r="H262" s="23"/>
      <c r="I262" s="23"/>
      <c r="J262" s="23"/>
      <c r="K262" s="23"/>
      <c r="L262" s="23"/>
      <c r="M262" s="23"/>
      <c r="N262" s="23"/>
      <c r="O262" s="23"/>
      <c r="P262" s="23"/>
      <c r="Q262" s="23"/>
      <c r="R262" s="23"/>
      <c r="S262" s="23"/>
      <c r="T262" s="23"/>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row>
    <row r="263" spans="1:50" x14ac:dyDescent="0.35">
      <c r="A263" s="23"/>
      <c r="B263" s="23"/>
      <c r="C263" s="23"/>
      <c r="D263" s="23"/>
      <c r="E263" s="23"/>
      <c r="F263" s="23"/>
      <c r="G263" s="23"/>
      <c r="H263" s="23"/>
      <c r="I263" s="23"/>
      <c r="J263" s="23"/>
      <c r="K263" s="23"/>
      <c r="L263" s="23"/>
      <c r="M263" s="23"/>
      <c r="N263" s="23"/>
      <c r="O263" s="23"/>
      <c r="P263" s="23"/>
      <c r="Q263" s="23"/>
      <c r="R263" s="23"/>
      <c r="S263" s="23"/>
      <c r="T263" s="23"/>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row>
    <row r="264" spans="1:50" x14ac:dyDescent="0.35">
      <c r="A264" s="23"/>
      <c r="B264" s="23"/>
      <c r="C264" s="23"/>
      <c r="D264" s="23"/>
      <c r="E264" s="23"/>
      <c r="F264" s="23"/>
      <c r="G264" s="23"/>
      <c r="H264" s="23"/>
      <c r="I264" s="23"/>
      <c r="J264" s="23"/>
      <c r="K264" s="23"/>
      <c r="L264" s="23"/>
      <c r="M264" s="23"/>
      <c r="N264" s="23"/>
      <c r="O264" s="23"/>
      <c r="P264" s="23"/>
      <c r="Q264" s="23"/>
      <c r="R264" s="23"/>
      <c r="S264" s="23"/>
      <c r="T264" s="23"/>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row>
    <row r="265" spans="1:50" x14ac:dyDescent="0.35">
      <c r="A265" s="23"/>
      <c r="B265" s="23"/>
      <c r="C265" s="23"/>
      <c r="D265" s="23"/>
      <c r="E265" s="23"/>
      <c r="F265" s="23"/>
      <c r="G265" s="23"/>
      <c r="H265" s="23"/>
      <c r="I265" s="23"/>
      <c r="J265" s="23"/>
      <c r="K265" s="23"/>
      <c r="L265" s="23"/>
      <c r="M265" s="23"/>
      <c r="N265" s="23"/>
      <c r="O265" s="23"/>
      <c r="P265" s="23"/>
      <c r="Q265" s="23"/>
      <c r="R265" s="23"/>
      <c r="S265" s="23"/>
      <c r="T265" s="23"/>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row>
    <row r="266" spans="1:50" x14ac:dyDescent="0.35">
      <c r="A266" s="23"/>
      <c r="B266" s="23"/>
      <c r="C266" s="23"/>
      <c r="D266" s="23"/>
      <c r="E266" s="23"/>
      <c r="F266" s="23"/>
      <c r="G266" s="23"/>
      <c r="H266" s="23"/>
      <c r="I266" s="23"/>
      <c r="J266" s="23"/>
      <c r="K266" s="23"/>
      <c r="L266" s="23"/>
      <c r="M266" s="23"/>
      <c r="N266" s="23"/>
      <c r="O266" s="23"/>
      <c r="P266" s="23"/>
      <c r="Q266" s="23"/>
      <c r="R266" s="23"/>
      <c r="S266" s="23"/>
      <c r="T266" s="23"/>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row>
    <row r="267" spans="1:50" x14ac:dyDescent="0.35">
      <c r="A267" s="23"/>
      <c r="B267" s="23"/>
      <c r="C267" s="23"/>
      <c r="D267" s="23"/>
      <c r="E267" s="23"/>
      <c r="F267" s="23"/>
      <c r="G267" s="23"/>
      <c r="H267" s="23"/>
      <c r="I267" s="23"/>
      <c r="J267" s="23"/>
      <c r="K267" s="23"/>
      <c r="L267" s="23"/>
      <c r="M267" s="23"/>
      <c r="N267" s="23"/>
      <c r="O267" s="23"/>
      <c r="P267" s="23"/>
      <c r="Q267" s="23"/>
      <c r="R267" s="23"/>
      <c r="S267" s="23"/>
      <c r="T267" s="23"/>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row>
    <row r="268" spans="1:50" x14ac:dyDescent="0.35">
      <c r="A268" s="23"/>
      <c r="B268" s="23"/>
      <c r="C268" s="23"/>
      <c r="D268" s="23"/>
      <c r="E268" s="23"/>
      <c r="F268" s="23"/>
      <c r="G268" s="23"/>
      <c r="H268" s="23"/>
      <c r="I268" s="23"/>
      <c r="J268" s="23"/>
      <c r="K268" s="23"/>
      <c r="L268" s="23"/>
      <c r="M268" s="23"/>
      <c r="N268" s="23"/>
      <c r="O268" s="23"/>
      <c r="P268" s="23"/>
      <c r="Q268" s="23"/>
      <c r="R268" s="23"/>
      <c r="S268" s="23"/>
      <c r="T268" s="23"/>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row>
    <row r="269" spans="1:50" x14ac:dyDescent="0.35">
      <c r="A269" s="23"/>
      <c r="B269" s="23"/>
      <c r="C269" s="23"/>
      <c r="D269" s="23"/>
      <c r="E269" s="23"/>
      <c r="F269" s="23"/>
      <c r="G269" s="23"/>
      <c r="H269" s="23"/>
      <c r="I269" s="23"/>
      <c r="J269" s="23"/>
      <c r="K269" s="23"/>
      <c r="L269" s="23"/>
      <c r="M269" s="23"/>
      <c r="N269" s="23"/>
      <c r="O269" s="23"/>
      <c r="P269" s="23"/>
      <c r="Q269" s="23"/>
      <c r="R269" s="23"/>
      <c r="S269" s="23"/>
      <c r="T269" s="23"/>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row>
    <row r="270" spans="1:50" x14ac:dyDescent="0.35">
      <c r="A270" s="23"/>
      <c r="B270" s="23"/>
      <c r="C270" s="23"/>
      <c r="D270" s="23"/>
      <c r="E270" s="23"/>
      <c r="F270" s="23"/>
      <c r="G270" s="23"/>
      <c r="H270" s="23"/>
      <c r="I270" s="23"/>
      <c r="J270" s="23"/>
      <c r="K270" s="23"/>
      <c r="L270" s="23"/>
      <c r="M270" s="23"/>
      <c r="N270" s="23"/>
      <c r="O270" s="23"/>
      <c r="P270" s="23"/>
      <c r="Q270" s="23"/>
      <c r="R270" s="23"/>
      <c r="S270" s="23"/>
      <c r="T270" s="23"/>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row>
    <row r="271" spans="1:50" x14ac:dyDescent="0.35">
      <c r="A271" s="23"/>
      <c r="B271" s="23"/>
      <c r="C271" s="23"/>
      <c r="D271" s="23"/>
      <c r="E271" s="23"/>
      <c r="F271" s="23"/>
      <c r="G271" s="23"/>
      <c r="H271" s="23"/>
      <c r="I271" s="23"/>
      <c r="J271" s="23"/>
      <c r="K271" s="23"/>
      <c r="L271" s="23"/>
      <c r="M271" s="23"/>
      <c r="N271" s="23"/>
      <c r="O271" s="23"/>
      <c r="P271" s="23"/>
      <c r="Q271" s="23"/>
      <c r="R271" s="23"/>
      <c r="S271" s="23"/>
      <c r="T271" s="23"/>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row>
    <row r="272" spans="1:50" x14ac:dyDescent="0.35">
      <c r="A272" s="23"/>
      <c r="B272" s="23"/>
      <c r="C272" s="23"/>
      <c r="D272" s="23"/>
      <c r="E272" s="23"/>
      <c r="F272" s="23"/>
      <c r="G272" s="23"/>
      <c r="H272" s="23"/>
      <c r="I272" s="23"/>
      <c r="J272" s="23"/>
      <c r="K272" s="23"/>
      <c r="L272" s="23"/>
      <c r="M272" s="23"/>
      <c r="N272" s="23"/>
      <c r="O272" s="23"/>
      <c r="P272" s="23"/>
      <c r="Q272" s="23"/>
      <c r="R272" s="23"/>
      <c r="S272" s="23"/>
      <c r="T272" s="23"/>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row>
    <row r="273" spans="1:50" x14ac:dyDescent="0.35">
      <c r="A273" s="23"/>
      <c r="B273" s="23"/>
      <c r="C273" s="23"/>
      <c r="D273" s="23"/>
      <c r="E273" s="23"/>
      <c r="F273" s="23"/>
      <c r="G273" s="23"/>
      <c r="H273" s="23"/>
      <c r="I273" s="23"/>
      <c r="J273" s="23"/>
      <c r="K273" s="23"/>
      <c r="L273" s="23"/>
      <c r="M273" s="23"/>
      <c r="N273" s="23"/>
      <c r="O273" s="23"/>
      <c r="P273" s="23"/>
      <c r="Q273" s="23"/>
      <c r="R273" s="23"/>
      <c r="S273" s="23"/>
      <c r="T273" s="23"/>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row>
    <row r="274" spans="1:50" x14ac:dyDescent="0.35">
      <c r="A274" s="23"/>
      <c r="B274" s="23"/>
      <c r="C274" s="23"/>
      <c r="D274" s="23"/>
      <c r="E274" s="23"/>
      <c r="F274" s="23"/>
      <c r="G274" s="23"/>
      <c r="H274" s="23"/>
      <c r="I274" s="23"/>
      <c r="J274" s="23"/>
      <c r="K274" s="23"/>
      <c r="L274" s="23"/>
      <c r="M274" s="23"/>
      <c r="N274" s="23"/>
      <c r="O274" s="23"/>
      <c r="P274" s="23"/>
      <c r="Q274" s="23"/>
      <c r="R274" s="23"/>
      <c r="S274" s="23"/>
      <c r="T274" s="23"/>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row>
    <row r="275" spans="1:50" x14ac:dyDescent="0.35">
      <c r="A275" s="23"/>
      <c r="B275" s="23"/>
      <c r="C275" s="23"/>
      <c r="D275" s="23"/>
      <c r="E275" s="23"/>
      <c r="F275" s="23"/>
      <c r="G275" s="23"/>
      <c r="H275" s="23"/>
      <c r="I275" s="23"/>
      <c r="J275" s="23"/>
      <c r="K275" s="23"/>
      <c r="L275" s="23"/>
      <c r="M275" s="23"/>
      <c r="N275" s="23"/>
      <c r="O275" s="23"/>
      <c r="P275" s="23"/>
      <c r="Q275" s="23"/>
      <c r="R275" s="23"/>
      <c r="S275" s="23"/>
      <c r="T275" s="23"/>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row>
    <row r="276" spans="1:50" x14ac:dyDescent="0.35">
      <c r="A276" s="23"/>
      <c r="B276" s="23"/>
      <c r="C276" s="23"/>
      <c r="D276" s="23"/>
      <c r="E276" s="23"/>
      <c r="F276" s="23"/>
      <c r="G276" s="23"/>
      <c r="H276" s="23"/>
      <c r="I276" s="23"/>
      <c r="J276" s="23"/>
      <c r="K276" s="23"/>
      <c r="L276" s="23"/>
      <c r="M276" s="23"/>
      <c r="N276" s="23"/>
      <c r="O276" s="23"/>
      <c r="P276" s="23"/>
      <c r="Q276" s="23"/>
      <c r="R276" s="23"/>
      <c r="S276" s="23"/>
      <c r="T276" s="23"/>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row>
    <row r="277" spans="1:50" x14ac:dyDescent="0.35">
      <c r="A277" s="23"/>
      <c r="B277" s="23"/>
      <c r="C277" s="23"/>
      <c r="D277" s="23"/>
      <c r="E277" s="23"/>
      <c r="F277" s="23"/>
      <c r="G277" s="23"/>
      <c r="H277" s="23"/>
      <c r="I277" s="23"/>
      <c r="J277" s="23"/>
      <c r="K277" s="23"/>
      <c r="L277" s="23"/>
      <c r="M277" s="23"/>
      <c r="N277" s="23"/>
      <c r="O277" s="23"/>
      <c r="P277" s="23"/>
      <c r="Q277" s="23"/>
      <c r="R277" s="23"/>
      <c r="S277" s="23"/>
      <c r="T277" s="23"/>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row>
    <row r="278" spans="1:50" x14ac:dyDescent="0.35">
      <c r="A278" s="23"/>
      <c r="B278" s="23"/>
      <c r="C278" s="23"/>
      <c r="D278" s="23"/>
      <c r="E278" s="23"/>
      <c r="F278" s="23"/>
      <c r="G278" s="23"/>
      <c r="H278" s="23"/>
      <c r="I278" s="23"/>
      <c r="J278" s="23"/>
      <c r="K278" s="23"/>
      <c r="L278" s="23"/>
      <c r="M278" s="23"/>
      <c r="N278" s="23"/>
      <c r="O278" s="23"/>
      <c r="P278" s="23"/>
      <c r="Q278" s="23"/>
      <c r="R278" s="23"/>
      <c r="S278" s="23"/>
      <c r="T278" s="23"/>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row>
    <row r="279" spans="1:50" x14ac:dyDescent="0.35">
      <c r="A279" s="23"/>
      <c r="B279" s="23"/>
      <c r="C279" s="23"/>
      <c r="D279" s="23"/>
      <c r="E279" s="23"/>
      <c r="F279" s="23"/>
      <c r="G279" s="23"/>
      <c r="H279" s="23"/>
      <c r="I279" s="23"/>
      <c r="J279" s="23"/>
      <c r="K279" s="23"/>
      <c r="L279" s="23"/>
      <c r="M279" s="23"/>
      <c r="N279" s="23"/>
      <c r="O279" s="23"/>
      <c r="P279" s="23"/>
      <c r="Q279" s="23"/>
      <c r="R279" s="23"/>
      <c r="S279" s="23"/>
      <c r="T279" s="23"/>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row>
    <row r="280" spans="1:50" x14ac:dyDescent="0.35">
      <c r="A280" s="23"/>
      <c r="B280" s="23"/>
      <c r="C280" s="23"/>
      <c r="D280" s="23"/>
      <c r="E280" s="23"/>
      <c r="F280" s="23"/>
      <c r="G280" s="23"/>
      <c r="H280" s="23"/>
      <c r="I280" s="23"/>
      <c r="J280" s="23"/>
      <c r="K280" s="23"/>
      <c r="L280" s="23"/>
      <c r="M280" s="23"/>
      <c r="N280" s="23"/>
      <c r="O280" s="23"/>
      <c r="P280" s="23"/>
      <c r="Q280" s="23"/>
      <c r="R280" s="23"/>
      <c r="S280" s="23"/>
      <c r="T280" s="23"/>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row>
    <row r="281" spans="1:50" x14ac:dyDescent="0.35">
      <c r="A281" s="23"/>
      <c r="B281" s="23"/>
      <c r="C281" s="23"/>
      <c r="D281" s="23"/>
      <c r="E281" s="23"/>
      <c r="F281" s="23"/>
      <c r="G281" s="23"/>
      <c r="H281" s="23"/>
      <c r="I281" s="23"/>
      <c r="J281" s="23"/>
      <c r="K281" s="23"/>
      <c r="L281" s="23"/>
      <c r="M281" s="23"/>
      <c r="N281" s="23"/>
      <c r="O281" s="23"/>
      <c r="P281" s="23"/>
      <c r="Q281" s="23"/>
      <c r="R281" s="23"/>
      <c r="S281" s="23"/>
      <c r="T281" s="23"/>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row>
    <row r="282" spans="1:50" x14ac:dyDescent="0.35">
      <c r="A282" s="23"/>
      <c r="B282" s="23"/>
      <c r="C282" s="23"/>
      <c r="D282" s="23"/>
      <c r="E282" s="23"/>
      <c r="F282" s="23"/>
      <c r="G282" s="23"/>
      <c r="H282" s="23"/>
      <c r="I282" s="23"/>
      <c r="J282" s="23"/>
      <c r="K282" s="23"/>
      <c r="L282" s="23"/>
      <c r="M282" s="23"/>
      <c r="N282" s="23"/>
      <c r="O282" s="23"/>
      <c r="P282" s="23"/>
      <c r="Q282" s="23"/>
      <c r="R282" s="23"/>
      <c r="S282" s="23"/>
      <c r="T282" s="23"/>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row>
    <row r="283" spans="1:50" x14ac:dyDescent="0.35">
      <c r="A283" s="23"/>
      <c r="B283" s="23"/>
      <c r="C283" s="23"/>
      <c r="D283" s="23"/>
      <c r="E283" s="23"/>
      <c r="F283" s="23"/>
      <c r="G283" s="23"/>
      <c r="H283" s="23"/>
      <c r="I283" s="23"/>
      <c r="J283" s="23"/>
      <c r="K283" s="23"/>
      <c r="L283" s="23"/>
      <c r="M283" s="23"/>
      <c r="N283" s="23"/>
      <c r="O283" s="23"/>
      <c r="P283" s="23"/>
      <c r="Q283" s="23"/>
      <c r="R283" s="23"/>
      <c r="S283" s="23"/>
      <c r="T283" s="23"/>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row>
    <row r="284" spans="1:50" x14ac:dyDescent="0.35">
      <c r="A284" s="23"/>
      <c r="B284" s="23"/>
      <c r="C284" s="23"/>
      <c r="D284" s="23"/>
      <c r="E284" s="23"/>
      <c r="F284" s="23"/>
      <c r="G284" s="23"/>
      <c r="H284" s="23"/>
      <c r="I284" s="23"/>
      <c r="J284" s="23"/>
      <c r="K284" s="23"/>
      <c r="L284" s="23"/>
      <c r="M284" s="23"/>
      <c r="N284" s="23"/>
      <c r="O284" s="23"/>
      <c r="P284" s="23"/>
      <c r="Q284" s="23"/>
      <c r="R284" s="23"/>
      <c r="S284" s="23"/>
      <c r="T284" s="23"/>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row>
    <row r="285" spans="1:50" x14ac:dyDescent="0.35">
      <c r="A285" s="23"/>
      <c r="B285" s="23"/>
      <c r="C285" s="23"/>
      <c r="D285" s="23"/>
      <c r="E285" s="23"/>
      <c r="F285" s="23"/>
      <c r="G285" s="23"/>
      <c r="H285" s="23"/>
      <c r="I285" s="23"/>
      <c r="J285" s="23"/>
      <c r="K285" s="23"/>
      <c r="L285" s="23"/>
      <c r="M285" s="23"/>
      <c r="N285" s="23"/>
      <c r="O285" s="23"/>
      <c r="P285" s="23"/>
      <c r="Q285" s="23"/>
      <c r="R285" s="23"/>
      <c r="S285" s="23"/>
      <c r="T285" s="23"/>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row>
    <row r="286" spans="1:50" x14ac:dyDescent="0.35">
      <c r="A286" s="23"/>
      <c r="B286" s="23"/>
      <c r="C286" s="23"/>
      <c r="D286" s="23"/>
      <c r="E286" s="23"/>
      <c r="F286" s="23"/>
      <c r="G286" s="23"/>
      <c r="H286" s="23"/>
      <c r="I286" s="23"/>
      <c r="J286" s="23"/>
      <c r="K286" s="23"/>
      <c r="L286" s="23"/>
      <c r="M286" s="23"/>
      <c r="N286" s="23"/>
      <c r="O286" s="23"/>
      <c r="P286" s="23"/>
      <c r="Q286" s="23"/>
      <c r="R286" s="23"/>
      <c r="S286" s="23"/>
      <c r="T286" s="23"/>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row>
    <row r="287" spans="1:50" x14ac:dyDescent="0.35">
      <c r="A287" s="23"/>
      <c r="B287" s="23"/>
      <c r="C287" s="23"/>
      <c r="D287" s="23"/>
      <c r="E287" s="23"/>
      <c r="F287" s="23"/>
      <c r="G287" s="23"/>
      <c r="H287" s="23"/>
      <c r="I287" s="23"/>
      <c r="J287" s="23"/>
      <c r="K287" s="23"/>
      <c r="L287" s="23"/>
      <c r="M287" s="23"/>
      <c r="N287" s="23"/>
      <c r="O287" s="23"/>
      <c r="P287" s="23"/>
      <c r="Q287" s="23"/>
      <c r="R287" s="23"/>
      <c r="S287" s="23"/>
      <c r="T287" s="23"/>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row>
    <row r="288" spans="1:50" x14ac:dyDescent="0.35">
      <c r="A288" s="23"/>
      <c r="B288" s="23"/>
      <c r="C288" s="23"/>
      <c r="D288" s="23"/>
      <c r="E288" s="23"/>
      <c r="F288" s="23"/>
      <c r="G288" s="23"/>
      <c r="H288" s="23"/>
      <c r="I288" s="23"/>
      <c r="J288" s="23"/>
      <c r="K288" s="23"/>
      <c r="L288" s="23"/>
      <c r="M288" s="23"/>
      <c r="N288" s="23"/>
      <c r="O288" s="23"/>
      <c r="P288" s="23"/>
      <c r="Q288" s="23"/>
      <c r="R288" s="23"/>
      <c r="S288" s="23"/>
      <c r="T288" s="23"/>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row>
    <row r="289" spans="1:50" x14ac:dyDescent="0.35">
      <c r="A289" s="23"/>
      <c r="B289" s="23"/>
      <c r="C289" s="23"/>
      <c r="D289" s="23"/>
      <c r="E289" s="23"/>
      <c r="F289" s="23"/>
      <c r="G289" s="23"/>
      <c r="H289" s="23"/>
      <c r="I289" s="23"/>
      <c r="J289" s="23"/>
      <c r="K289" s="23"/>
      <c r="L289" s="23"/>
      <c r="M289" s="23"/>
      <c r="N289" s="23"/>
      <c r="O289" s="23"/>
      <c r="P289" s="23"/>
      <c r="Q289" s="23"/>
      <c r="R289" s="23"/>
      <c r="S289" s="23"/>
      <c r="T289" s="23"/>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row>
    <row r="290" spans="1:50" x14ac:dyDescent="0.35">
      <c r="A290" s="23"/>
      <c r="B290" s="23"/>
      <c r="C290" s="23"/>
      <c r="D290" s="23"/>
      <c r="E290" s="23"/>
      <c r="F290" s="23"/>
      <c r="G290" s="23"/>
      <c r="H290" s="23"/>
      <c r="I290" s="23"/>
      <c r="J290" s="23"/>
      <c r="K290" s="23"/>
      <c r="L290" s="23"/>
      <c r="M290" s="23"/>
      <c r="N290" s="23"/>
      <c r="O290" s="23"/>
      <c r="P290" s="23"/>
      <c r="Q290" s="23"/>
      <c r="R290" s="23"/>
      <c r="S290" s="23"/>
      <c r="T290" s="23"/>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row>
    <row r="291" spans="1:50" x14ac:dyDescent="0.35">
      <c r="A291" s="23"/>
      <c r="B291" s="23"/>
      <c r="C291" s="23"/>
      <c r="D291" s="23"/>
      <c r="E291" s="23"/>
      <c r="F291" s="23"/>
      <c r="G291" s="23"/>
      <c r="H291" s="23"/>
      <c r="I291" s="23"/>
      <c r="J291" s="23"/>
      <c r="K291" s="23"/>
      <c r="L291" s="23"/>
      <c r="M291" s="23"/>
      <c r="N291" s="23"/>
      <c r="O291" s="23"/>
      <c r="P291" s="23"/>
      <c r="Q291" s="23"/>
      <c r="R291" s="23"/>
      <c r="S291" s="23"/>
      <c r="T291" s="23"/>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row>
    <row r="292" spans="1:50" x14ac:dyDescent="0.35">
      <c r="A292" s="23"/>
      <c r="B292" s="23"/>
      <c r="C292" s="23"/>
      <c r="D292" s="23"/>
      <c r="E292" s="23"/>
      <c r="F292" s="23"/>
      <c r="G292" s="23"/>
      <c r="H292" s="23"/>
      <c r="I292" s="23"/>
      <c r="J292" s="23"/>
      <c r="K292" s="23"/>
      <c r="L292" s="23"/>
      <c r="M292" s="23"/>
      <c r="N292" s="23"/>
      <c r="O292" s="23"/>
      <c r="P292" s="23"/>
      <c r="Q292" s="23"/>
      <c r="R292" s="23"/>
      <c r="S292" s="23"/>
      <c r="T292" s="23"/>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row>
    <row r="293" spans="1:50" x14ac:dyDescent="0.35">
      <c r="A293" s="23"/>
      <c r="B293" s="23"/>
      <c r="C293" s="23"/>
      <c r="D293" s="23"/>
      <c r="E293" s="23"/>
      <c r="F293" s="23"/>
      <c r="G293" s="23"/>
      <c r="H293" s="23"/>
      <c r="I293" s="23"/>
      <c r="J293" s="23"/>
      <c r="K293" s="23"/>
      <c r="L293" s="23"/>
      <c r="M293" s="23"/>
      <c r="N293" s="23"/>
      <c r="O293" s="23"/>
      <c r="P293" s="23"/>
      <c r="Q293" s="23"/>
      <c r="R293" s="23"/>
      <c r="S293" s="23"/>
      <c r="T293" s="23"/>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row>
    <row r="294" spans="1:50" x14ac:dyDescent="0.35">
      <c r="A294" s="23"/>
      <c r="B294" s="23"/>
      <c r="C294" s="23"/>
      <c r="D294" s="23"/>
      <c r="E294" s="23"/>
      <c r="F294" s="23"/>
      <c r="G294" s="23"/>
      <c r="H294" s="23"/>
      <c r="I294" s="23"/>
      <c r="J294" s="23"/>
      <c r="K294" s="23"/>
      <c r="L294" s="23"/>
      <c r="M294" s="23"/>
      <c r="N294" s="23"/>
      <c r="O294" s="23"/>
      <c r="P294" s="23"/>
      <c r="Q294" s="23"/>
      <c r="R294" s="23"/>
      <c r="S294" s="23"/>
      <c r="T294" s="23"/>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row>
    <row r="295" spans="1:50" x14ac:dyDescent="0.35">
      <c r="A295" s="23"/>
      <c r="B295" s="23"/>
      <c r="C295" s="23"/>
      <c r="D295" s="23"/>
      <c r="E295" s="23"/>
      <c r="F295" s="23"/>
      <c r="G295" s="23"/>
      <c r="H295" s="23"/>
      <c r="I295" s="23"/>
      <c r="J295" s="23"/>
      <c r="K295" s="23"/>
      <c r="L295" s="23"/>
      <c r="M295" s="23"/>
      <c r="N295" s="23"/>
      <c r="O295" s="23"/>
      <c r="P295" s="23"/>
      <c r="Q295" s="23"/>
      <c r="R295" s="23"/>
      <c r="S295" s="23"/>
      <c r="T295" s="23"/>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row>
    <row r="296" spans="1:50" x14ac:dyDescent="0.35">
      <c r="A296" s="23"/>
      <c r="B296" s="23"/>
      <c r="C296" s="23"/>
      <c r="D296" s="23"/>
      <c r="E296" s="23"/>
      <c r="F296" s="23"/>
      <c r="G296" s="23"/>
      <c r="H296" s="23"/>
      <c r="I296" s="23"/>
      <c r="J296" s="23"/>
      <c r="K296" s="23"/>
      <c r="L296" s="23"/>
      <c r="M296" s="23"/>
      <c r="N296" s="23"/>
      <c r="O296" s="23"/>
      <c r="P296" s="23"/>
      <c r="Q296" s="23"/>
      <c r="R296" s="23"/>
      <c r="S296" s="23"/>
      <c r="T296" s="23"/>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row>
    <row r="297" spans="1:50" x14ac:dyDescent="0.35">
      <c r="A297" s="23"/>
      <c r="B297" s="23"/>
      <c r="C297" s="23"/>
      <c r="D297" s="23"/>
      <c r="E297" s="23"/>
      <c r="F297" s="23"/>
      <c r="G297" s="23"/>
      <c r="H297" s="23"/>
      <c r="I297" s="23"/>
      <c r="J297" s="23"/>
      <c r="K297" s="23"/>
      <c r="L297" s="23"/>
      <c r="M297" s="23"/>
      <c r="N297" s="23"/>
      <c r="O297" s="23"/>
      <c r="P297" s="23"/>
      <c r="Q297" s="23"/>
      <c r="R297" s="23"/>
      <c r="S297" s="23"/>
      <c r="T297" s="23"/>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row>
    <row r="298" spans="1:50" x14ac:dyDescent="0.35">
      <c r="A298" s="23"/>
      <c r="B298" s="23"/>
      <c r="C298" s="23"/>
      <c r="D298" s="23"/>
      <c r="E298" s="23"/>
      <c r="F298" s="23"/>
      <c r="G298" s="23"/>
      <c r="H298" s="23"/>
      <c r="I298" s="23"/>
      <c r="J298" s="23"/>
      <c r="K298" s="23"/>
      <c r="L298" s="23"/>
      <c r="M298" s="23"/>
      <c r="N298" s="23"/>
      <c r="O298" s="23"/>
      <c r="P298" s="23"/>
      <c r="Q298" s="23"/>
      <c r="R298" s="23"/>
      <c r="S298" s="23"/>
      <c r="T298" s="23"/>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row>
    <row r="299" spans="1:50" x14ac:dyDescent="0.35">
      <c r="A299" s="23"/>
      <c r="B299" s="23"/>
      <c r="C299" s="23"/>
      <c r="D299" s="23"/>
      <c r="E299" s="23"/>
      <c r="F299" s="23"/>
      <c r="G299" s="23"/>
      <c r="H299" s="23"/>
      <c r="I299" s="23"/>
      <c r="J299" s="23"/>
      <c r="K299" s="23"/>
      <c r="L299" s="23"/>
      <c r="M299" s="23"/>
      <c r="N299" s="23"/>
      <c r="O299" s="23"/>
      <c r="P299" s="23"/>
      <c r="Q299" s="23"/>
      <c r="R299" s="23"/>
      <c r="S299" s="23"/>
      <c r="T299" s="23"/>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row>
    <row r="300" spans="1:50" x14ac:dyDescent="0.35">
      <c r="A300" s="23"/>
      <c r="B300" s="23"/>
      <c r="C300" s="23"/>
      <c r="D300" s="23"/>
      <c r="E300" s="23"/>
      <c r="F300" s="23"/>
      <c r="G300" s="23"/>
      <c r="H300" s="23"/>
      <c r="I300" s="23"/>
      <c r="J300" s="23"/>
      <c r="K300" s="23"/>
      <c r="L300" s="23"/>
      <c r="M300" s="23"/>
      <c r="N300" s="23"/>
      <c r="O300" s="23"/>
      <c r="P300" s="23"/>
      <c r="Q300" s="23"/>
      <c r="R300" s="23"/>
      <c r="S300" s="23"/>
      <c r="T300" s="23"/>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row>
    <row r="301" spans="1:50" x14ac:dyDescent="0.35">
      <c r="A301" s="23"/>
      <c r="B301" s="23"/>
      <c r="C301" s="23"/>
      <c r="D301" s="23"/>
      <c r="E301" s="23"/>
      <c r="F301" s="23"/>
      <c r="G301" s="23"/>
      <c r="H301" s="23"/>
      <c r="I301" s="23"/>
      <c r="J301" s="23"/>
      <c r="K301" s="23"/>
      <c r="L301" s="23"/>
      <c r="M301" s="23"/>
      <c r="N301" s="23"/>
      <c r="O301" s="23"/>
      <c r="P301" s="23"/>
      <c r="Q301" s="23"/>
      <c r="R301" s="23"/>
      <c r="S301" s="23"/>
      <c r="T301" s="23"/>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row>
    <row r="302" spans="1:50" x14ac:dyDescent="0.35">
      <c r="A302" s="23"/>
      <c r="B302" s="23"/>
      <c r="C302" s="23"/>
      <c r="D302" s="23"/>
      <c r="E302" s="23"/>
      <c r="F302" s="23"/>
      <c r="G302" s="23"/>
      <c r="H302" s="23"/>
      <c r="I302" s="23"/>
      <c r="J302" s="23"/>
      <c r="K302" s="23"/>
      <c r="L302" s="23"/>
      <c r="M302" s="23"/>
      <c r="N302" s="23"/>
      <c r="O302" s="23"/>
      <c r="P302" s="23"/>
      <c r="Q302" s="23"/>
      <c r="R302" s="23"/>
      <c r="S302" s="23"/>
      <c r="T302" s="23"/>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row>
    <row r="303" spans="1:50" x14ac:dyDescent="0.35">
      <c r="A303" s="23"/>
      <c r="B303" s="23"/>
      <c r="C303" s="23"/>
      <c r="D303" s="23"/>
      <c r="E303" s="23"/>
      <c r="F303" s="23"/>
      <c r="G303" s="23"/>
      <c r="H303" s="23"/>
      <c r="I303" s="23"/>
      <c r="J303" s="23"/>
      <c r="K303" s="23"/>
      <c r="L303" s="23"/>
      <c r="M303" s="23"/>
      <c r="N303" s="23"/>
      <c r="O303" s="23"/>
      <c r="P303" s="23"/>
      <c r="Q303" s="23"/>
      <c r="R303" s="23"/>
      <c r="S303" s="23"/>
      <c r="T303" s="23"/>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row>
    <row r="304" spans="1:50" x14ac:dyDescent="0.35">
      <c r="A304" s="23"/>
      <c r="B304" s="23"/>
      <c r="C304" s="23"/>
      <c r="D304" s="23"/>
      <c r="E304" s="23"/>
      <c r="F304" s="23"/>
      <c r="G304" s="23"/>
      <c r="H304" s="23"/>
      <c r="I304" s="23"/>
      <c r="J304" s="23"/>
      <c r="K304" s="23"/>
      <c r="L304" s="23"/>
      <c r="M304" s="23"/>
      <c r="N304" s="23"/>
      <c r="O304" s="23"/>
      <c r="P304" s="23"/>
      <c r="Q304" s="23"/>
      <c r="R304" s="23"/>
      <c r="S304" s="23"/>
      <c r="T304" s="23"/>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row>
    <row r="305" spans="1:50" x14ac:dyDescent="0.35">
      <c r="A305" s="23"/>
      <c r="B305" s="23"/>
      <c r="C305" s="23"/>
      <c r="D305" s="23"/>
      <c r="E305" s="23"/>
      <c r="F305" s="23"/>
      <c r="G305" s="23"/>
      <c r="H305" s="23"/>
      <c r="I305" s="23"/>
      <c r="J305" s="23"/>
      <c r="K305" s="23"/>
      <c r="L305" s="23"/>
      <c r="M305" s="23"/>
      <c r="N305" s="23"/>
      <c r="O305" s="23"/>
      <c r="P305" s="23"/>
      <c r="Q305" s="23"/>
      <c r="R305" s="23"/>
      <c r="S305" s="23"/>
      <c r="T305" s="23"/>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row>
    <row r="306" spans="1:50" x14ac:dyDescent="0.35">
      <c r="A306" s="23"/>
      <c r="B306" s="23"/>
      <c r="C306" s="23"/>
      <c r="D306" s="23"/>
      <c r="E306" s="23"/>
      <c r="F306" s="23"/>
      <c r="G306" s="23"/>
      <c r="H306" s="23"/>
      <c r="I306" s="23"/>
      <c r="J306" s="23"/>
      <c r="K306" s="23"/>
      <c r="L306" s="23"/>
      <c r="M306" s="23"/>
      <c r="N306" s="23"/>
      <c r="O306" s="23"/>
      <c r="P306" s="23"/>
      <c r="Q306" s="23"/>
      <c r="R306" s="23"/>
      <c r="S306" s="23"/>
      <c r="T306" s="23"/>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row>
    <row r="307" spans="1:50" x14ac:dyDescent="0.35">
      <c r="A307" s="23"/>
      <c r="B307" s="23"/>
      <c r="C307" s="23"/>
      <c r="D307" s="23"/>
      <c r="E307" s="23"/>
      <c r="F307" s="23"/>
      <c r="G307" s="23"/>
      <c r="H307" s="23"/>
      <c r="I307" s="23"/>
      <c r="J307" s="23"/>
      <c r="K307" s="23"/>
      <c r="L307" s="23"/>
      <c r="M307" s="23"/>
      <c r="N307" s="23"/>
      <c r="O307" s="23"/>
      <c r="P307" s="23"/>
      <c r="Q307" s="23"/>
      <c r="R307" s="23"/>
      <c r="S307" s="23"/>
      <c r="T307" s="23"/>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row>
    <row r="308" spans="1:50" x14ac:dyDescent="0.35">
      <c r="A308" s="23"/>
      <c r="B308" s="23"/>
      <c r="C308" s="23"/>
      <c r="D308" s="23"/>
      <c r="E308" s="23"/>
      <c r="F308" s="23"/>
      <c r="G308" s="23"/>
      <c r="H308" s="23"/>
      <c r="I308" s="23"/>
      <c r="J308" s="23"/>
      <c r="K308" s="23"/>
      <c r="L308" s="23"/>
      <c r="M308" s="23"/>
      <c r="N308" s="23"/>
      <c r="O308" s="23"/>
      <c r="P308" s="23"/>
      <c r="Q308" s="23"/>
      <c r="R308" s="23"/>
      <c r="S308" s="23"/>
      <c r="T308" s="23"/>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row>
    <row r="309" spans="1:50" x14ac:dyDescent="0.35">
      <c r="A309" s="23"/>
      <c r="B309" s="23"/>
      <c r="C309" s="23"/>
      <c r="D309" s="23"/>
      <c r="E309" s="23"/>
      <c r="F309" s="23"/>
      <c r="G309" s="23"/>
      <c r="H309" s="23"/>
      <c r="I309" s="23"/>
      <c r="J309" s="23"/>
      <c r="K309" s="23"/>
      <c r="L309" s="23"/>
      <c r="M309" s="23"/>
      <c r="N309" s="23"/>
      <c r="O309" s="23"/>
      <c r="P309" s="23"/>
      <c r="Q309" s="23"/>
      <c r="R309" s="23"/>
      <c r="S309" s="23"/>
      <c r="T309" s="23"/>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row>
    <row r="310" spans="1:50" x14ac:dyDescent="0.35">
      <c r="A310" s="23"/>
      <c r="B310" s="23"/>
      <c r="C310" s="23"/>
      <c r="D310" s="23"/>
      <c r="E310" s="23"/>
      <c r="F310" s="23"/>
      <c r="G310" s="23"/>
      <c r="H310" s="23"/>
      <c r="I310" s="23"/>
      <c r="J310" s="23"/>
      <c r="K310" s="23"/>
      <c r="L310" s="23"/>
      <c r="M310" s="23"/>
      <c r="N310" s="23"/>
      <c r="O310" s="23"/>
      <c r="P310" s="23"/>
      <c r="Q310" s="23"/>
      <c r="R310" s="23"/>
      <c r="S310" s="23"/>
      <c r="T310" s="23"/>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row>
    <row r="311" spans="1:50" x14ac:dyDescent="0.35">
      <c r="A311" s="23"/>
      <c r="B311" s="23"/>
      <c r="C311" s="23"/>
      <c r="D311" s="23"/>
      <c r="E311" s="23"/>
      <c r="F311" s="23"/>
      <c r="G311" s="23"/>
      <c r="H311" s="23"/>
      <c r="I311" s="23"/>
      <c r="J311" s="23"/>
      <c r="K311" s="23"/>
      <c r="L311" s="23"/>
      <c r="M311" s="23"/>
      <c r="N311" s="23"/>
      <c r="O311" s="23"/>
      <c r="P311" s="23"/>
      <c r="Q311" s="23"/>
      <c r="R311" s="23"/>
      <c r="S311" s="23"/>
      <c r="T311" s="23"/>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row>
    <row r="312" spans="1:50" x14ac:dyDescent="0.35">
      <c r="A312" s="23"/>
      <c r="B312" s="23"/>
      <c r="C312" s="23"/>
      <c r="D312" s="23"/>
      <c r="E312" s="23"/>
      <c r="F312" s="23"/>
      <c r="G312" s="23"/>
      <c r="H312" s="23"/>
      <c r="I312" s="23"/>
      <c r="J312" s="23"/>
      <c r="K312" s="23"/>
      <c r="L312" s="23"/>
      <c r="M312" s="23"/>
      <c r="N312" s="23"/>
      <c r="O312" s="23"/>
      <c r="P312" s="23"/>
      <c r="Q312" s="23"/>
      <c r="R312" s="23"/>
      <c r="S312" s="23"/>
      <c r="T312" s="23"/>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row>
    <row r="313" spans="1:50" x14ac:dyDescent="0.35">
      <c r="A313" s="23"/>
      <c r="B313" s="23"/>
      <c r="C313" s="23"/>
      <c r="D313" s="23"/>
      <c r="E313" s="23"/>
      <c r="F313" s="23"/>
      <c r="G313" s="23"/>
      <c r="H313" s="23"/>
      <c r="I313" s="23"/>
      <c r="J313" s="23"/>
      <c r="K313" s="23"/>
      <c r="L313" s="23"/>
      <c r="M313" s="23"/>
      <c r="N313" s="23"/>
      <c r="O313" s="23"/>
      <c r="P313" s="23"/>
      <c r="Q313" s="23"/>
      <c r="R313" s="23"/>
      <c r="S313" s="23"/>
      <c r="T313" s="23"/>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row>
    <row r="314" spans="1:50" x14ac:dyDescent="0.35">
      <c r="A314" s="23"/>
      <c r="B314" s="23"/>
      <c r="C314" s="23"/>
      <c r="D314" s="23"/>
      <c r="E314" s="23"/>
      <c r="F314" s="23"/>
      <c r="G314" s="23"/>
      <c r="H314" s="23"/>
      <c r="I314" s="23"/>
      <c r="J314" s="23"/>
      <c r="K314" s="23"/>
      <c r="L314" s="23"/>
      <c r="M314" s="23"/>
      <c r="N314" s="23"/>
      <c r="O314" s="23"/>
      <c r="P314" s="23"/>
      <c r="Q314" s="23"/>
      <c r="R314" s="23"/>
      <c r="S314" s="23"/>
      <c r="T314" s="23"/>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row>
    <row r="315" spans="1:50" x14ac:dyDescent="0.35">
      <c r="A315" s="23"/>
      <c r="B315" s="23"/>
      <c r="C315" s="23"/>
      <c r="D315" s="23"/>
      <c r="E315" s="23"/>
      <c r="F315" s="23"/>
      <c r="G315" s="23"/>
      <c r="H315" s="23"/>
      <c r="I315" s="23"/>
      <c r="J315" s="23"/>
      <c r="K315" s="23"/>
      <c r="L315" s="23"/>
      <c r="M315" s="23"/>
      <c r="N315" s="23"/>
      <c r="O315" s="23"/>
      <c r="P315" s="23"/>
      <c r="Q315" s="23"/>
      <c r="R315" s="23"/>
      <c r="S315" s="23"/>
      <c r="T315" s="23"/>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row>
    <row r="316" spans="1:50" x14ac:dyDescent="0.35">
      <c r="A316" s="23"/>
      <c r="B316" s="23"/>
      <c r="C316" s="23"/>
      <c r="D316" s="23"/>
      <c r="E316" s="23"/>
      <c r="F316" s="23"/>
      <c r="G316" s="23"/>
      <c r="H316" s="23"/>
      <c r="I316" s="23"/>
      <c r="J316" s="23"/>
      <c r="K316" s="23"/>
      <c r="L316" s="23"/>
      <c r="M316" s="23"/>
      <c r="N316" s="23"/>
      <c r="O316" s="23"/>
      <c r="P316" s="23"/>
      <c r="Q316" s="23"/>
      <c r="R316" s="23"/>
      <c r="S316" s="23"/>
      <c r="T316" s="23"/>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row>
    <row r="317" spans="1:50" x14ac:dyDescent="0.35">
      <c r="A317" s="23"/>
      <c r="B317" s="23"/>
      <c r="C317" s="23"/>
      <c r="D317" s="23"/>
      <c r="E317" s="23"/>
      <c r="F317" s="23"/>
      <c r="G317" s="23"/>
      <c r="H317" s="23"/>
      <c r="I317" s="23"/>
      <c r="J317" s="23"/>
      <c r="K317" s="23"/>
      <c r="L317" s="23"/>
      <c r="M317" s="23"/>
      <c r="N317" s="23"/>
      <c r="O317" s="23"/>
      <c r="P317" s="23"/>
      <c r="Q317" s="23"/>
      <c r="R317" s="23"/>
      <c r="S317" s="23"/>
      <c r="T317" s="23"/>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row>
    <row r="318" spans="1:50" x14ac:dyDescent="0.35">
      <c r="A318" s="23"/>
      <c r="B318" s="23"/>
      <c r="C318" s="23"/>
      <c r="D318" s="23"/>
      <c r="E318" s="23"/>
      <c r="F318" s="23"/>
      <c r="G318" s="23"/>
      <c r="H318" s="23"/>
      <c r="I318" s="23"/>
      <c r="J318" s="23"/>
      <c r="K318" s="23"/>
      <c r="L318" s="23"/>
      <c r="M318" s="23"/>
      <c r="N318" s="23"/>
      <c r="O318" s="23"/>
      <c r="P318" s="23"/>
      <c r="Q318" s="23"/>
      <c r="R318" s="23"/>
      <c r="S318" s="23"/>
      <c r="T318" s="23"/>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row>
    <row r="319" spans="1:50" x14ac:dyDescent="0.35">
      <c r="A319" s="23"/>
      <c r="B319" s="23"/>
      <c r="C319" s="23"/>
      <c r="D319" s="23"/>
      <c r="E319" s="23"/>
      <c r="F319" s="23"/>
      <c r="G319" s="23"/>
      <c r="H319" s="23"/>
      <c r="I319" s="23"/>
      <c r="J319" s="23"/>
      <c r="K319" s="23"/>
      <c r="L319" s="23"/>
      <c r="M319" s="23"/>
      <c r="N319" s="23"/>
      <c r="O319" s="23"/>
      <c r="P319" s="23"/>
      <c r="Q319" s="23"/>
      <c r="R319" s="23"/>
      <c r="S319" s="23"/>
      <c r="T319" s="23"/>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row>
    <row r="320" spans="1:50" x14ac:dyDescent="0.35">
      <c r="A320" s="23"/>
      <c r="B320" s="23"/>
      <c r="C320" s="23"/>
      <c r="D320" s="23"/>
      <c r="E320" s="23"/>
      <c r="F320" s="23"/>
      <c r="G320" s="23"/>
      <c r="H320" s="23"/>
      <c r="I320" s="23"/>
      <c r="J320" s="23"/>
      <c r="K320" s="23"/>
      <c r="L320" s="23"/>
      <c r="M320" s="23"/>
      <c r="N320" s="23"/>
      <c r="O320" s="23"/>
      <c r="P320" s="23"/>
      <c r="Q320" s="23"/>
      <c r="R320" s="23"/>
      <c r="S320" s="23"/>
      <c r="T320" s="23"/>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row>
    <row r="321" spans="1:50" x14ac:dyDescent="0.35">
      <c r="A321" s="23"/>
      <c r="B321" s="23"/>
      <c r="C321" s="23"/>
      <c r="D321" s="23"/>
      <c r="E321" s="23"/>
      <c r="F321" s="23"/>
      <c r="G321" s="23"/>
      <c r="H321" s="23"/>
      <c r="I321" s="23"/>
      <c r="J321" s="23"/>
      <c r="K321" s="23"/>
      <c r="L321" s="23"/>
      <c r="M321" s="23"/>
      <c r="N321" s="23"/>
      <c r="O321" s="23"/>
      <c r="P321" s="23"/>
      <c r="Q321" s="23"/>
      <c r="R321" s="23"/>
      <c r="S321" s="23"/>
      <c r="T321" s="23"/>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row>
    <row r="322" spans="1:50" x14ac:dyDescent="0.35">
      <c r="A322" s="23"/>
      <c r="B322" s="23"/>
      <c r="C322" s="23"/>
      <c r="D322" s="23"/>
      <c r="E322" s="23"/>
      <c r="F322" s="23"/>
      <c r="G322" s="23"/>
      <c r="H322" s="23"/>
      <c r="I322" s="23"/>
      <c r="J322" s="23"/>
      <c r="K322" s="23"/>
      <c r="L322" s="23"/>
      <c r="M322" s="23"/>
      <c r="N322" s="23"/>
      <c r="O322" s="23"/>
      <c r="P322" s="23"/>
      <c r="Q322" s="23"/>
      <c r="R322" s="23"/>
      <c r="S322" s="23"/>
      <c r="T322" s="23"/>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row>
    <row r="323" spans="1:50" x14ac:dyDescent="0.35">
      <c r="A323" s="23"/>
      <c r="B323" s="23"/>
      <c r="C323" s="23"/>
      <c r="D323" s="23"/>
      <c r="E323" s="23"/>
      <c r="F323" s="23"/>
      <c r="G323" s="23"/>
      <c r="H323" s="23"/>
      <c r="I323" s="23"/>
      <c r="J323" s="23"/>
      <c r="K323" s="23"/>
      <c r="L323" s="23"/>
      <c r="M323" s="23"/>
      <c r="N323" s="23"/>
      <c r="O323" s="23"/>
      <c r="P323" s="23"/>
      <c r="Q323" s="23"/>
      <c r="R323" s="23"/>
      <c r="S323" s="23"/>
      <c r="T323" s="23"/>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row>
    <row r="324" spans="1:50" x14ac:dyDescent="0.35">
      <c r="A324" s="23"/>
      <c r="B324" s="23"/>
      <c r="C324" s="23"/>
      <c r="D324" s="23"/>
      <c r="E324" s="23"/>
      <c r="F324" s="23"/>
      <c r="G324" s="23"/>
      <c r="H324" s="23"/>
      <c r="I324" s="23"/>
      <c r="J324" s="23"/>
      <c r="K324" s="23"/>
      <c r="L324" s="23"/>
      <c r="M324" s="23"/>
      <c r="N324" s="23"/>
      <c r="O324" s="23"/>
      <c r="P324" s="23"/>
      <c r="Q324" s="23"/>
      <c r="R324" s="23"/>
      <c r="S324" s="23"/>
      <c r="T324" s="23"/>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row>
    <row r="325" spans="1:50" x14ac:dyDescent="0.35">
      <c r="A325" s="23"/>
      <c r="B325" s="23"/>
      <c r="C325" s="23"/>
      <c r="D325" s="23"/>
      <c r="E325" s="23"/>
      <c r="F325" s="23"/>
      <c r="G325" s="23"/>
      <c r="H325" s="23"/>
      <c r="I325" s="23"/>
      <c r="J325" s="23"/>
      <c r="K325" s="23"/>
      <c r="L325" s="23"/>
      <c r="M325" s="23"/>
      <c r="N325" s="23"/>
      <c r="O325" s="23"/>
      <c r="P325" s="23"/>
      <c r="Q325" s="23"/>
      <c r="R325" s="23"/>
      <c r="S325" s="23"/>
      <c r="T325" s="23"/>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row>
    <row r="326" spans="1:50" x14ac:dyDescent="0.35">
      <c r="A326" s="23"/>
      <c r="B326" s="23"/>
      <c r="C326" s="23"/>
      <c r="D326" s="23"/>
      <c r="E326" s="23"/>
      <c r="F326" s="23"/>
      <c r="G326" s="23"/>
      <c r="H326" s="23"/>
      <c r="I326" s="23"/>
      <c r="J326" s="23"/>
      <c r="K326" s="23"/>
      <c r="L326" s="23"/>
      <c r="M326" s="23"/>
      <c r="N326" s="23"/>
      <c r="O326" s="23"/>
      <c r="P326" s="23"/>
      <c r="Q326" s="23"/>
      <c r="R326" s="23"/>
      <c r="S326" s="23"/>
      <c r="T326" s="23"/>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row>
    <row r="327" spans="1:50" x14ac:dyDescent="0.35">
      <c r="A327" s="23"/>
      <c r="B327" s="23"/>
      <c r="C327" s="23"/>
      <c r="D327" s="23"/>
      <c r="E327" s="23"/>
      <c r="F327" s="23"/>
      <c r="G327" s="23"/>
      <c r="H327" s="23"/>
      <c r="I327" s="23"/>
      <c r="J327" s="23"/>
      <c r="K327" s="23"/>
      <c r="L327" s="23"/>
      <c r="M327" s="23"/>
      <c r="N327" s="23"/>
      <c r="O327" s="23"/>
      <c r="P327" s="23"/>
      <c r="Q327" s="23"/>
      <c r="R327" s="23"/>
      <c r="S327" s="23"/>
      <c r="T327" s="23"/>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row>
    <row r="328" spans="1:50" x14ac:dyDescent="0.35">
      <c r="A328" s="23"/>
      <c r="B328" s="23"/>
      <c r="C328" s="23"/>
      <c r="D328" s="23"/>
      <c r="E328" s="23"/>
      <c r="F328" s="23"/>
      <c r="G328" s="23"/>
      <c r="H328" s="23"/>
      <c r="I328" s="23"/>
      <c r="J328" s="23"/>
      <c r="K328" s="23"/>
      <c r="L328" s="23"/>
      <c r="M328" s="23"/>
      <c r="N328" s="23"/>
      <c r="O328" s="23"/>
      <c r="P328" s="23"/>
      <c r="Q328" s="23"/>
      <c r="R328" s="23"/>
      <c r="S328" s="23"/>
      <c r="T328" s="23"/>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row>
    <row r="329" spans="1:50" x14ac:dyDescent="0.35">
      <c r="A329" s="23"/>
      <c r="B329" s="23"/>
      <c r="C329" s="23"/>
      <c r="D329" s="23"/>
      <c r="E329" s="23"/>
      <c r="F329" s="23"/>
      <c r="G329" s="23"/>
      <c r="H329" s="23"/>
      <c r="I329" s="23"/>
      <c r="J329" s="23"/>
      <c r="K329" s="23"/>
      <c r="L329" s="23"/>
      <c r="M329" s="23"/>
      <c r="N329" s="23"/>
      <c r="O329" s="23"/>
      <c r="P329" s="23"/>
      <c r="Q329" s="23"/>
      <c r="R329" s="23"/>
      <c r="S329" s="23"/>
      <c r="T329" s="23"/>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row>
    <row r="330" spans="1:50" x14ac:dyDescent="0.35">
      <c r="A330" s="23"/>
      <c r="B330" s="23"/>
      <c r="C330" s="23"/>
      <c r="D330" s="23"/>
      <c r="E330" s="23"/>
      <c r="F330" s="23"/>
      <c r="G330" s="23"/>
      <c r="H330" s="23"/>
      <c r="I330" s="23"/>
      <c r="J330" s="23"/>
      <c r="K330" s="23"/>
      <c r="L330" s="23"/>
      <c r="M330" s="23"/>
      <c r="N330" s="23"/>
      <c r="O330" s="23"/>
      <c r="P330" s="23"/>
      <c r="Q330" s="23"/>
      <c r="R330" s="23"/>
      <c r="S330" s="23"/>
      <c r="T330" s="23"/>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row>
    <row r="331" spans="1:50" x14ac:dyDescent="0.35">
      <c r="A331" s="23"/>
      <c r="B331" s="23"/>
      <c r="C331" s="23"/>
      <c r="D331" s="23"/>
      <c r="E331" s="23"/>
      <c r="F331" s="23"/>
      <c r="G331" s="23"/>
      <c r="H331" s="23"/>
      <c r="I331" s="23"/>
      <c r="J331" s="23"/>
      <c r="K331" s="23"/>
      <c r="L331" s="23"/>
      <c r="M331" s="23"/>
      <c r="N331" s="23"/>
      <c r="O331" s="23"/>
      <c r="P331" s="23"/>
      <c r="Q331" s="23"/>
      <c r="R331" s="23"/>
      <c r="S331" s="23"/>
      <c r="T331" s="23"/>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row>
    <row r="332" spans="1:50" x14ac:dyDescent="0.35">
      <c r="A332" s="23"/>
      <c r="B332" s="23"/>
      <c r="C332" s="23"/>
      <c r="D332" s="23"/>
      <c r="E332" s="23"/>
      <c r="F332" s="23"/>
      <c r="G332" s="23"/>
      <c r="H332" s="23"/>
      <c r="I332" s="23"/>
      <c r="J332" s="23"/>
      <c r="K332" s="23"/>
      <c r="L332" s="23"/>
      <c r="M332" s="23"/>
      <c r="N332" s="23"/>
      <c r="O332" s="23"/>
      <c r="P332" s="23"/>
      <c r="Q332" s="23"/>
      <c r="R332" s="23"/>
      <c r="S332" s="23"/>
      <c r="T332" s="23"/>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row>
    <row r="333" spans="1:50" x14ac:dyDescent="0.35">
      <c r="A333" s="23"/>
      <c r="B333" s="23"/>
      <c r="C333" s="23"/>
      <c r="D333" s="23"/>
      <c r="E333" s="23"/>
      <c r="F333" s="23"/>
      <c r="G333" s="23"/>
      <c r="H333" s="23"/>
      <c r="I333" s="23"/>
      <c r="J333" s="23"/>
      <c r="K333" s="23"/>
      <c r="L333" s="23"/>
      <c r="M333" s="23"/>
      <c r="N333" s="23"/>
      <c r="O333" s="23"/>
      <c r="P333" s="23"/>
      <c r="Q333" s="23"/>
      <c r="R333" s="23"/>
      <c r="S333" s="23"/>
      <c r="T333" s="23"/>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row>
    <row r="334" spans="1:50" x14ac:dyDescent="0.35">
      <c r="A334" s="23"/>
      <c r="B334" s="23"/>
      <c r="C334" s="23"/>
      <c r="D334" s="23"/>
      <c r="E334" s="23"/>
      <c r="F334" s="23"/>
      <c r="G334" s="23"/>
      <c r="H334" s="23"/>
      <c r="I334" s="23"/>
      <c r="J334" s="23"/>
      <c r="K334" s="23"/>
      <c r="L334" s="23"/>
      <c r="M334" s="23"/>
      <c r="N334" s="23"/>
      <c r="O334" s="23"/>
      <c r="P334" s="23"/>
      <c r="Q334" s="23"/>
      <c r="R334" s="23"/>
      <c r="S334" s="23"/>
      <c r="T334" s="23"/>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row>
    <row r="335" spans="1:50" x14ac:dyDescent="0.35">
      <c r="A335" s="23"/>
      <c r="B335" s="23"/>
      <c r="C335" s="23"/>
      <c r="D335" s="23"/>
      <c r="E335" s="23"/>
      <c r="F335" s="23"/>
      <c r="G335" s="23"/>
      <c r="H335" s="23"/>
      <c r="I335" s="23"/>
      <c r="J335" s="23"/>
      <c r="K335" s="23"/>
      <c r="L335" s="23"/>
      <c r="M335" s="23"/>
      <c r="N335" s="23"/>
      <c r="O335" s="23"/>
      <c r="P335" s="23"/>
      <c r="Q335" s="23"/>
      <c r="R335" s="23"/>
      <c r="S335" s="23"/>
      <c r="T335" s="23"/>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row>
    <row r="336" spans="1:50" x14ac:dyDescent="0.35">
      <c r="A336" s="23"/>
      <c r="B336" s="23"/>
      <c r="C336" s="23"/>
      <c r="D336" s="23"/>
      <c r="E336" s="23"/>
      <c r="F336" s="23"/>
      <c r="G336" s="23"/>
      <c r="H336" s="23"/>
      <c r="I336" s="23"/>
      <c r="J336" s="23"/>
      <c r="K336" s="23"/>
      <c r="L336" s="23"/>
      <c r="M336" s="23"/>
      <c r="N336" s="23"/>
      <c r="O336" s="23"/>
      <c r="P336" s="23"/>
      <c r="Q336" s="23"/>
      <c r="R336" s="23"/>
      <c r="S336" s="23"/>
      <c r="T336" s="23"/>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row>
    <row r="337" spans="1:50" x14ac:dyDescent="0.35">
      <c r="A337" s="23"/>
      <c r="B337" s="23"/>
      <c r="C337" s="23"/>
      <c r="D337" s="23"/>
      <c r="E337" s="23"/>
      <c r="F337" s="23"/>
      <c r="G337" s="23"/>
      <c r="H337" s="23"/>
      <c r="I337" s="23"/>
      <c r="J337" s="23"/>
      <c r="K337" s="23"/>
      <c r="L337" s="23"/>
      <c r="M337" s="23"/>
      <c r="N337" s="23"/>
      <c r="O337" s="23"/>
      <c r="P337" s="23"/>
      <c r="Q337" s="23"/>
      <c r="R337" s="23"/>
      <c r="S337" s="23"/>
      <c r="T337" s="23"/>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row>
    <row r="338" spans="1:50" x14ac:dyDescent="0.35">
      <c r="A338" s="23"/>
      <c r="B338" s="23"/>
      <c r="C338" s="23"/>
      <c r="D338" s="23"/>
      <c r="E338" s="23"/>
      <c r="F338" s="23"/>
      <c r="G338" s="23"/>
      <c r="H338" s="23"/>
      <c r="I338" s="23"/>
      <c r="J338" s="23"/>
      <c r="K338" s="23"/>
      <c r="L338" s="23"/>
      <c r="M338" s="23"/>
      <c r="N338" s="23"/>
      <c r="O338" s="23"/>
      <c r="P338" s="23"/>
      <c r="Q338" s="23"/>
      <c r="R338" s="23"/>
      <c r="S338" s="23"/>
      <c r="T338" s="23"/>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row>
    <row r="339" spans="1:50" x14ac:dyDescent="0.35">
      <c r="A339" s="23"/>
      <c r="B339" s="23"/>
      <c r="C339" s="23"/>
      <c r="D339" s="23"/>
      <c r="E339" s="23"/>
      <c r="F339" s="23"/>
      <c r="G339" s="23"/>
      <c r="H339" s="23"/>
      <c r="I339" s="23"/>
      <c r="J339" s="23"/>
      <c r="K339" s="23"/>
      <c r="L339" s="23"/>
      <c r="M339" s="23"/>
      <c r="N339" s="23"/>
      <c r="O339" s="23"/>
      <c r="P339" s="23"/>
      <c r="Q339" s="23"/>
      <c r="R339" s="23"/>
      <c r="S339" s="23"/>
      <c r="T339" s="23"/>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row>
    <row r="340" spans="1:50" x14ac:dyDescent="0.35">
      <c r="A340" s="23"/>
      <c r="B340" s="23"/>
      <c r="C340" s="23"/>
      <c r="D340" s="23"/>
      <c r="E340" s="23"/>
      <c r="F340" s="23"/>
      <c r="G340" s="23"/>
      <c r="H340" s="23"/>
      <c r="I340" s="23"/>
      <c r="J340" s="23"/>
      <c r="K340" s="23"/>
      <c r="L340" s="23"/>
      <c r="M340" s="23"/>
      <c r="N340" s="23"/>
      <c r="O340" s="23"/>
      <c r="P340" s="23"/>
      <c r="Q340" s="23"/>
      <c r="R340" s="23"/>
      <c r="S340" s="23"/>
      <c r="T340" s="23"/>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row>
    <row r="341" spans="1:50" x14ac:dyDescent="0.35">
      <c r="A341" s="23"/>
      <c r="B341" s="23"/>
      <c r="C341" s="23"/>
      <c r="D341" s="23"/>
      <c r="E341" s="23"/>
      <c r="F341" s="23"/>
      <c r="G341" s="23"/>
      <c r="H341" s="23"/>
      <c r="I341" s="23"/>
      <c r="J341" s="23"/>
      <c r="K341" s="23"/>
      <c r="L341" s="23"/>
      <c r="M341" s="23"/>
      <c r="N341" s="23"/>
      <c r="O341" s="23"/>
      <c r="P341" s="23"/>
      <c r="Q341" s="23"/>
      <c r="R341" s="23"/>
      <c r="S341" s="23"/>
      <c r="T341" s="23"/>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row>
    <row r="342" spans="1:50" x14ac:dyDescent="0.35">
      <c r="A342" s="23"/>
      <c r="B342" s="23"/>
      <c r="C342" s="23"/>
      <c r="D342" s="23"/>
      <c r="E342" s="23"/>
      <c r="F342" s="23"/>
      <c r="G342" s="23"/>
      <c r="H342" s="23"/>
      <c r="I342" s="23"/>
      <c r="J342" s="23"/>
      <c r="K342" s="23"/>
      <c r="L342" s="23"/>
      <c r="M342" s="23"/>
      <c r="N342" s="23"/>
      <c r="O342" s="23"/>
      <c r="P342" s="23"/>
      <c r="Q342" s="23"/>
      <c r="R342" s="23"/>
      <c r="S342" s="23"/>
      <c r="T342" s="23"/>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row>
    <row r="343" spans="1:50" x14ac:dyDescent="0.35">
      <c r="A343" s="23"/>
      <c r="B343" s="23"/>
      <c r="C343" s="23"/>
      <c r="D343" s="23"/>
      <c r="E343" s="23"/>
      <c r="F343" s="23"/>
      <c r="G343" s="23"/>
      <c r="H343" s="23"/>
      <c r="I343" s="23"/>
      <c r="J343" s="23"/>
      <c r="K343" s="23"/>
      <c r="L343" s="23"/>
      <c r="M343" s="23"/>
      <c r="N343" s="23"/>
      <c r="O343" s="23"/>
      <c r="P343" s="23"/>
      <c r="Q343" s="23"/>
      <c r="R343" s="23"/>
      <c r="S343" s="23"/>
      <c r="T343" s="23"/>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row>
    <row r="344" spans="1:50" x14ac:dyDescent="0.35">
      <c r="A344" s="23"/>
      <c r="B344" s="23"/>
      <c r="C344" s="23"/>
      <c r="D344" s="23"/>
      <c r="E344" s="23"/>
      <c r="F344" s="23"/>
      <c r="G344" s="23"/>
      <c r="H344" s="23"/>
      <c r="I344" s="23"/>
      <c r="J344" s="23"/>
      <c r="K344" s="23"/>
      <c r="L344" s="23"/>
      <c r="M344" s="23"/>
      <c r="N344" s="23"/>
      <c r="O344" s="23"/>
      <c r="P344" s="23"/>
      <c r="Q344" s="23"/>
      <c r="R344" s="23"/>
      <c r="S344" s="23"/>
      <c r="T344" s="23"/>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row>
    <row r="345" spans="1:50" x14ac:dyDescent="0.35">
      <c r="A345" s="23"/>
      <c r="B345" s="23"/>
      <c r="C345" s="23"/>
      <c r="D345" s="23"/>
      <c r="E345" s="23"/>
      <c r="F345" s="23"/>
      <c r="G345" s="23"/>
      <c r="H345" s="23"/>
      <c r="I345" s="23"/>
      <c r="J345" s="23"/>
      <c r="K345" s="23"/>
      <c r="L345" s="23"/>
      <c r="M345" s="23"/>
      <c r="N345" s="23"/>
      <c r="O345" s="23"/>
      <c r="P345" s="23"/>
      <c r="Q345" s="23"/>
      <c r="R345" s="23"/>
      <c r="S345" s="23"/>
      <c r="T345" s="23"/>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row>
    <row r="346" spans="1:50" x14ac:dyDescent="0.35">
      <c r="A346" s="23"/>
      <c r="B346" s="23"/>
      <c r="C346" s="23"/>
      <c r="D346" s="23"/>
      <c r="E346" s="23"/>
      <c r="F346" s="23"/>
      <c r="G346" s="23"/>
      <c r="H346" s="23"/>
      <c r="I346" s="23"/>
      <c r="J346" s="23"/>
      <c r="K346" s="23"/>
      <c r="L346" s="23"/>
      <c r="M346" s="23"/>
      <c r="N346" s="23"/>
      <c r="O346" s="23"/>
      <c r="P346" s="23"/>
      <c r="Q346" s="23"/>
      <c r="R346" s="23"/>
      <c r="S346" s="23"/>
      <c r="T346" s="23"/>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row>
    <row r="347" spans="1:50" x14ac:dyDescent="0.35">
      <c r="A347" s="23"/>
      <c r="B347" s="23"/>
      <c r="C347" s="23"/>
      <c r="D347" s="23"/>
      <c r="E347" s="23"/>
      <c r="F347" s="23"/>
      <c r="G347" s="23"/>
      <c r="H347" s="23"/>
      <c r="I347" s="23"/>
      <c r="J347" s="23"/>
      <c r="K347" s="23"/>
      <c r="L347" s="23"/>
      <c r="M347" s="23"/>
      <c r="N347" s="23"/>
      <c r="O347" s="23"/>
      <c r="P347" s="23"/>
      <c r="Q347" s="23"/>
      <c r="R347" s="23"/>
      <c r="S347" s="23"/>
      <c r="T347" s="23"/>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row>
    <row r="348" spans="1:50" x14ac:dyDescent="0.35">
      <c r="A348" s="23"/>
      <c r="B348" s="23"/>
      <c r="C348" s="23"/>
      <c r="D348" s="23"/>
      <c r="E348" s="23"/>
      <c r="F348" s="23"/>
      <c r="G348" s="23"/>
      <c r="H348" s="23"/>
      <c r="I348" s="23"/>
      <c r="J348" s="23"/>
      <c r="K348" s="23"/>
      <c r="L348" s="23"/>
      <c r="M348" s="23"/>
      <c r="N348" s="23"/>
      <c r="O348" s="23"/>
      <c r="P348" s="23"/>
      <c r="Q348" s="23"/>
      <c r="R348" s="23"/>
      <c r="S348" s="23"/>
      <c r="T348" s="23"/>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row>
    <row r="349" spans="1:50" x14ac:dyDescent="0.35">
      <c r="A349" s="23"/>
      <c r="B349" s="23"/>
      <c r="C349" s="23"/>
      <c r="D349" s="23"/>
      <c r="E349" s="23"/>
      <c r="F349" s="23"/>
      <c r="G349" s="23"/>
      <c r="H349" s="23"/>
      <c r="I349" s="23"/>
      <c r="J349" s="23"/>
      <c r="K349" s="23"/>
      <c r="L349" s="23"/>
      <c r="M349" s="23"/>
      <c r="N349" s="23"/>
      <c r="O349" s="23"/>
      <c r="P349" s="23"/>
      <c r="Q349" s="23"/>
      <c r="R349" s="23"/>
      <c r="S349" s="23"/>
      <c r="T349" s="23"/>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row>
    <row r="350" spans="1:50" x14ac:dyDescent="0.35">
      <c r="A350" s="23"/>
      <c r="B350" s="23"/>
      <c r="C350" s="23"/>
      <c r="D350" s="23"/>
      <c r="E350" s="23"/>
      <c r="F350" s="23"/>
      <c r="G350" s="23"/>
      <c r="H350" s="23"/>
      <c r="I350" s="23"/>
      <c r="J350" s="23"/>
      <c r="K350" s="23"/>
      <c r="L350" s="23"/>
      <c r="M350" s="23"/>
      <c r="N350" s="23"/>
      <c r="O350" s="23"/>
      <c r="P350" s="23"/>
      <c r="Q350" s="23"/>
      <c r="R350" s="23"/>
      <c r="S350" s="23"/>
      <c r="T350" s="23"/>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row>
    <row r="351" spans="1:50" x14ac:dyDescent="0.35">
      <c r="A351" s="23"/>
      <c r="B351" s="23"/>
      <c r="C351" s="23"/>
      <c r="D351" s="23"/>
      <c r="E351" s="23"/>
      <c r="F351" s="23"/>
      <c r="G351" s="23"/>
      <c r="H351" s="23"/>
      <c r="I351" s="23"/>
      <c r="J351" s="23"/>
      <c r="K351" s="23"/>
      <c r="L351" s="23"/>
      <c r="M351" s="23"/>
      <c r="N351" s="23"/>
      <c r="O351" s="23"/>
      <c r="P351" s="23"/>
      <c r="Q351" s="23"/>
      <c r="R351" s="23"/>
      <c r="S351" s="23"/>
      <c r="T351" s="23"/>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row>
    <row r="352" spans="1:50" x14ac:dyDescent="0.35">
      <c r="A352" s="23"/>
      <c r="B352" s="23"/>
      <c r="C352" s="23"/>
      <c r="D352" s="23"/>
      <c r="E352" s="23"/>
      <c r="F352" s="23"/>
      <c r="G352" s="23"/>
      <c r="H352" s="23"/>
      <c r="I352" s="23"/>
      <c r="J352" s="23"/>
      <c r="K352" s="23"/>
      <c r="L352" s="23"/>
      <c r="M352" s="23"/>
      <c r="N352" s="23"/>
      <c r="O352" s="23"/>
      <c r="P352" s="23"/>
      <c r="Q352" s="23"/>
      <c r="R352" s="23"/>
      <c r="S352" s="23"/>
      <c r="T352" s="23"/>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row>
    <row r="353" spans="1:50" x14ac:dyDescent="0.35">
      <c r="A353" s="23"/>
      <c r="B353" s="23"/>
      <c r="C353" s="23"/>
      <c r="D353" s="23"/>
      <c r="E353" s="23"/>
      <c r="F353" s="23"/>
      <c r="G353" s="23"/>
      <c r="H353" s="23"/>
      <c r="I353" s="23"/>
      <c r="J353" s="23"/>
      <c r="K353" s="23"/>
      <c r="L353" s="23"/>
      <c r="M353" s="23"/>
      <c r="N353" s="23"/>
      <c r="O353" s="23"/>
      <c r="P353" s="23"/>
      <c r="Q353" s="23"/>
      <c r="R353" s="23"/>
      <c r="S353" s="23"/>
      <c r="T353" s="23"/>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row>
    <row r="354" spans="1:50" x14ac:dyDescent="0.35">
      <c r="A354" s="23"/>
      <c r="B354" s="23"/>
      <c r="C354" s="23"/>
      <c r="D354" s="23"/>
      <c r="E354" s="23"/>
      <c r="F354" s="23"/>
      <c r="G354" s="23"/>
      <c r="H354" s="23"/>
      <c r="I354" s="23"/>
      <c r="J354" s="23"/>
      <c r="K354" s="23"/>
      <c r="L354" s="23"/>
      <c r="M354" s="23"/>
      <c r="N354" s="23"/>
      <c r="O354" s="23"/>
      <c r="P354" s="23"/>
      <c r="Q354" s="23"/>
      <c r="R354" s="23"/>
      <c r="S354" s="23"/>
      <c r="T354" s="23"/>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row>
    <row r="355" spans="1:50" x14ac:dyDescent="0.35">
      <c r="A355" s="23"/>
      <c r="B355" s="23"/>
      <c r="C355" s="23"/>
      <c r="D355" s="23"/>
      <c r="E355" s="23"/>
      <c r="F355" s="23"/>
      <c r="G355" s="23"/>
      <c r="H355" s="23"/>
      <c r="I355" s="23"/>
      <c r="J355" s="23"/>
      <c r="K355" s="23"/>
      <c r="L355" s="23"/>
      <c r="M355" s="23"/>
      <c r="N355" s="23"/>
      <c r="O355" s="23"/>
      <c r="P355" s="23"/>
      <c r="Q355" s="23"/>
      <c r="R355" s="23"/>
      <c r="S355" s="23"/>
      <c r="T355" s="23"/>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row>
    <row r="356" spans="1:50" x14ac:dyDescent="0.35">
      <c r="A356" s="23"/>
      <c r="B356" s="23"/>
      <c r="C356" s="23"/>
      <c r="D356" s="23"/>
      <c r="E356" s="23"/>
      <c r="F356" s="23"/>
      <c r="G356" s="23"/>
      <c r="H356" s="23"/>
      <c r="I356" s="23"/>
      <c r="J356" s="23"/>
      <c r="K356" s="23"/>
      <c r="L356" s="23"/>
      <c r="M356" s="23"/>
      <c r="N356" s="23"/>
      <c r="O356" s="23"/>
      <c r="P356" s="23"/>
      <c r="Q356" s="23"/>
      <c r="R356" s="23"/>
      <c r="S356" s="23"/>
      <c r="T356" s="23"/>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row>
    <row r="357" spans="1:50" x14ac:dyDescent="0.35">
      <c r="A357" s="23"/>
      <c r="B357" s="23"/>
      <c r="C357" s="23"/>
      <c r="D357" s="23"/>
      <c r="E357" s="23"/>
      <c r="F357" s="23"/>
      <c r="G357" s="23"/>
      <c r="H357" s="23"/>
      <c r="I357" s="23"/>
      <c r="J357" s="23"/>
      <c r="K357" s="23"/>
      <c r="L357" s="23"/>
      <c r="M357" s="23"/>
      <c r="N357" s="23"/>
      <c r="O357" s="23"/>
      <c r="P357" s="23"/>
      <c r="Q357" s="23"/>
      <c r="R357" s="23"/>
      <c r="S357" s="23"/>
      <c r="T357" s="23"/>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row>
    <row r="358" spans="1:50" x14ac:dyDescent="0.35">
      <c r="A358" s="23"/>
      <c r="B358" s="23"/>
      <c r="C358" s="23"/>
      <c r="D358" s="23"/>
      <c r="E358" s="23"/>
      <c r="F358" s="23"/>
      <c r="G358" s="23"/>
      <c r="H358" s="23"/>
      <c r="I358" s="23"/>
      <c r="J358" s="23"/>
      <c r="K358" s="23"/>
      <c r="L358" s="23"/>
      <c r="M358" s="23"/>
      <c r="N358" s="23"/>
      <c r="O358" s="23"/>
      <c r="P358" s="23"/>
      <c r="Q358" s="23"/>
      <c r="R358" s="23"/>
      <c r="S358" s="23"/>
      <c r="T358" s="23"/>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row>
    <row r="359" spans="1:50" x14ac:dyDescent="0.35">
      <c r="A359" s="23"/>
      <c r="B359" s="23"/>
      <c r="C359" s="23"/>
      <c r="D359" s="23"/>
      <c r="E359" s="23"/>
      <c r="F359" s="23"/>
      <c r="G359" s="23"/>
      <c r="H359" s="23"/>
      <c r="I359" s="23"/>
      <c r="J359" s="23"/>
      <c r="K359" s="23"/>
      <c r="L359" s="23"/>
      <c r="M359" s="23"/>
      <c r="N359" s="23"/>
      <c r="O359" s="23"/>
      <c r="P359" s="23"/>
      <c r="Q359" s="23"/>
      <c r="R359" s="23"/>
      <c r="S359" s="23"/>
      <c r="T359" s="23"/>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row>
    <row r="360" spans="1:50" x14ac:dyDescent="0.35">
      <c r="A360" s="23"/>
      <c r="B360" s="23"/>
      <c r="C360" s="23"/>
      <c r="D360" s="23"/>
      <c r="E360" s="23"/>
      <c r="F360" s="23"/>
      <c r="G360" s="23"/>
      <c r="H360" s="23"/>
      <c r="I360" s="23"/>
      <c r="J360" s="23"/>
      <c r="K360" s="23"/>
      <c r="L360" s="23"/>
      <c r="M360" s="23"/>
      <c r="N360" s="23"/>
      <c r="O360" s="23"/>
      <c r="P360" s="23"/>
      <c r="Q360" s="23"/>
      <c r="R360" s="23"/>
      <c r="S360" s="23"/>
      <c r="T360" s="23"/>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row>
    <row r="361" spans="1:50" x14ac:dyDescent="0.35">
      <c r="A361" s="23"/>
      <c r="B361" s="23"/>
      <c r="C361" s="23"/>
      <c r="D361" s="23"/>
      <c r="E361" s="23"/>
      <c r="F361" s="23"/>
      <c r="G361" s="23"/>
      <c r="H361" s="23"/>
      <c r="I361" s="23"/>
      <c r="J361" s="23"/>
      <c r="K361" s="23"/>
      <c r="L361" s="23"/>
      <c r="M361" s="23"/>
      <c r="N361" s="23"/>
      <c r="O361" s="23"/>
      <c r="P361" s="23"/>
      <c r="Q361" s="23"/>
      <c r="R361" s="23"/>
      <c r="S361" s="23"/>
      <c r="T361" s="23"/>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row>
    <row r="362" spans="1:50" x14ac:dyDescent="0.35">
      <c r="A362" s="23"/>
      <c r="B362" s="23"/>
      <c r="C362" s="23"/>
      <c r="D362" s="23"/>
      <c r="E362" s="23"/>
      <c r="F362" s="23"/>
      <c r="G362" s="23"/>
      <c r="H362" s="23"/>
      <c r="I362" s="23"/>
      <c r="J362" s="23"/>
      <c r="K362" s="23"/>
      <c r="L362" s="23"/>
      <c r="M362" s="23"/>
      <c r="N362" s="23"/>
      <c r="O362" s="23"/>
      <c r="P362" s="23"/>
      <c r="Q362" s="23"/>
      <c r="R362" s="23"/>
      <c r="S362" s="23"/>
      <c r="T362" s="23"/>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row>
    <row r="363" spans="1:50" x14ac:dyDescent="0.35">
      <c r="A363" s="23"/>
      <c r="B363" s="23"/>
      <c r="C363" s="23"/>
      <c r="D363" s="23"/>
      <c r="E363" s="23"/>
      <c r="F363" s="23"/>
      <c r="G363" s="23"/>
      <c r="H363" s="23"/>
      <c r="I363" s="23"/>
      <c r="J363" s="23"/>
      <c r="K363" s="23"/>
      <c r="L363" s="23"/>
      <c r="M363" s="23"/>
      <c r="N363" s="23"/>
      <c r="O363" s="23"/>
      <c r="P363" s="23"/>
      <c r="Q363" s="23"/>
      <c r="R363" s="23"/>
      <c r="S363" s="23"/>
      <c r="T363" s="23"/>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row>
    <row r="364" spans="1:50" x14ac:dyDescent="0.35">
      <c r="A364" s="23"/>
      <c r="B364" s="23"/>
      <c r="C364" s="23"/>
      <c r="D364" s="23"/>
      <c r="E364" s="23"/>
      <c r="F364" s="23"/>
      <c r="G364" s="23"/>
      <c r="H364" s="23"/>
      <c r="I364" s="23"/>
      <c r="J364" s="23"/>
      <c r="K364" s="23"/>
      <c r="L364" s="23"/>
      <c r="M364" s="23"/>
      <c r="N364" s="23"/>
      <c r="O364" s="23"/>
      <c r="P364" s="23"/>
      <c r="Q364" s="23"/>
      <c r="R364" s="23"/>
      <c r="S364" s="23"/>
      <c r="T364" s="23"/>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row>
    <row r="365" spans="1:50" x14ac:dyDescent="0.35">
      <c r="A365" s="23"/>
      <c r="B365" s="23"/>
      <c r="C365" s="23"/>
      <c r="D365" s="23"/>
      <c r="E365" s="23"/>
      <c r="F365" s="23"/>
      <c r="G365" s="23"/>
      <c r="H365" s="23"/>
      <c r="I365" s="23"/>
      <c r="J365" s="23"/>
      <c r="K365" s="23"/>
      <c r="L365" s="23"/>
      <c r="M365" s="23"/>
      <c r="N365" s="23"/>
      <c r="O365" s="23"/>
      <c r="P365" s="23"/>
      <c r="Q365" s="23"/>
      <c r="R365" s="23"/>
      <c r="S365" s="23"/>
      <c r="T365" s="23"/>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row>
    <row r="366" spans="1:50" x14ac:dyDescent="0.35">
      <c r="A366" s="23"/>
      <c r="B366" s="23"/>
      <c r="C366" s="23"/>
      <c r="D366" s="23"/>
      <c r="E366" s="23"/>
      <c r="F366" s="23"/>
      <c r="G366" s="23"/>
      <c r="H366" s="23"/>
      <c r="I366" s="23"/>
      <c r="J366" s="23"/>
      <c r="K366" s="23"/>
      <c r="L366" s="23"/>
      <c r="M366" s="23"/>
      <c r="N366" s="23"/>
      <c r="O366" s="23"/>
      <c r="P366" s="23"/>
      <c r="Q366" s="23"/>
      <c r="R366" s="23"/>
      <c r="S366" s="23"/>
      <c r="T366" s="23"/>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row>
    <row r="367" spans="1:50" x14ac:dyDescent="0.35">
      <c r="A367" s="23"/>
      <c r="B367" s="23"/>
      <c r="C367" s="23"/>
      <c r="D367" s="23"/>
      <c r="E367" s="23"/>
      <c r="F367" s="23"/>
      <c r="G367" s="23"/>
      <c r="H367" s="23"/>
      <c r="I367" s="23"/>
      <c r="J367" s="23"/>
      <c r="K367" s="23"/>
      <c r="L367" s="23"/>
      <c r="M367" s="23"/>
      <c r="N367" s="23"/>
      <c r="O367" s="23"/>
      <c r="P367" s="23"/>
      <c r="Q367" s="23"/>
      <c r="R367" s="23"/>
      <c r="S367" s="23"/>
      <c r="T367" s="23"/>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row>
    <row r="368" spans="1:50" x14ac:dyDescent="0.35">
      <c r="A368" s="23"/>
      <c r="B368" s="23"/>
      <c r="C368" s="23"/>
      <c r="D368" s="23"/>
      <c r="E368" s="23"/>
      <c r="F368" s="23"/>
      <c r="G368" s="23"/>
      <c r="H368" s="23"/>
      <c r="I368" s="23"/>
      <c r="J368" s="23"/>
      <c r="K368" s="23"/>
      <c r="L368" s="23"/>
      <c r="M368" s="23"/>
      <c r="N368" s="23"/>
      <c r="O368" s="23"/>
      <c r="P368" s="23"/>
      <c r="Q368" s="23"/>
      <c r="R368" s="23"/>
      <c r="S368" s="23"/>
      <c r="T368" s="23"/>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row>
    <row r="369" spans="1:50" x14ac:dyDescent="0.35">
      <c r="A369" s="23"/>
      <c r="B369" s="23"/>
      <c r="C369" s="23"/>
      <c r="D369" s="23"/>
      <c r="E369" s="23"/>
      <c r="F369" s="23"/>
      <c r="G369" s="23"/>
      <c r="H369" s="23"/>
      <c r="I369" s="23"/>
      <c r="J369" s="23"/>
      <c r="K369" s="23"/>
      <c r="L369" s="23"/>
      <c r="M369" s="23"/>
      <c r="N369" s="23"/>
      <c r="O369" s="23"/>
      <c r="P369" s="23"/>
      <c r="Q369" s="23"/>
      <c r="R369" s="23"/>
      <c r="S369" s="23"/>
      <c r="T369" s="23"/>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row>
    <row r="370" spans="1:50" x14ac:dyDescent="0.35">
      <c r="A370" s="23"/>
      <c r="B370" s="23"/>
      <c r="C370" s="23"/>
      <c r="D370" s="23"/>
      <c r="E370" s="23"/>
      <c r="F370" s="23"/>
      <c r="G370" s="23"/>
      <c r="H370" s="23"/>
      <c r="I370" s="23"/>
      <c r="J370" s="23"/>
      <c r="K370" s="23"/>
      <c r="L370" s="23"/>
      <c r="M370" s="23"/>
      <c r="N370" s="23"/>
      <c r="O370" s="23"/>
      <c r="P370" s="23"/>
      <c r="Q370" s="23"/>
      <c r="R370" s="23"/>
      <c r="S370" s="23"/>
      <c r="T370" s="23"/>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row>
    <row r="371" spans="1:50" x14ac:dyDescent="0.35">
      <c r="A371" s="23"/>
      <c r="B371" s="23"/>
      <c r="C371" s="23"/>
      <c r="D371" s="23"/>
      <c r="E371" s="23"/>
      <c r="F371" s="23"/>
      <c r="G371" s="23"/>
      <c r="H371" s="23"/>
      <c r="I371" s="23"/>
      <c r="J371" s="23"/>
      <c r="K371" s="23"/>
      <c r="L371" s="23"/>
      <c r="M371" s="23"/>
      <c r="N371" s="23"/>
      <c r="O371" s="23"/>
      <c r="P371" s="23"/>
      <c r="Q371" s="23"/>
      <c r="R371" s="23"/>
      <c r="S371" s="23"/>
      <c r="T371" s="23"/>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row>
    <row r="372" spans="1:50" x14ac:dyDescent="0.35">
      <c r="A372" s="23"/>
      <c r="B372" s="23"/>
      <c r="C372" s="23"/>
      <c r="D372" s="23"/>
      <c r="E372" s="23"/>
      <c r="F372" s="23"/>
      <c r="G372" s="23"/>
      <c r="H372" s="23"/>
      <c r="I372" s="23"/>
      <c r="J372" s="23"/>
      <c r="K372" s="23"/>
      <c r="L372" s="23"/>
      <c r="M372" s="23"/>
      <c r="N372" s="23"/>
      <c r="O372" s="23"/>
      <c r="P372" s="23"/>
      <c r="Q372" s="23"/>
      <c r="R372" s="23"/>
      <c r="S372" s="23"/>
      <c r="T372" s="23"/>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row>
    <row r="373" spans="1:50" x14ac:dyDescent="0.35">
      <c r="A373" s="23"/>
      <c r="B373" s="23"/>
      <c r="C373" s="23"/>
      <c r="D373" s="23"/>
      <c r="E373" s="23"/>
      <c r="F373" s="23"/>
      <c r="G373" s="23"/>
      <c r="H373" s="23"/>
      <c r="I373" s="23"/>
      <c r="J373" s="23"/>
      <c r="K373" s="23"/>
      <c r="L373" s="23"/>
      <c r="M373" s="23"/>
      <c r="N373" s="23"/>
      <c r="O373" s="23"/>
      <c r="P373" s="23"/>
      <c r="Q373" s="23"/>
      <c r="R373" s="23"/>
      <c r="S373" s="23"/>
      <c r="T373" s="23"/>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row>
    <row r="374" spans="1:50" x14ac:dyDescent="0.35">
      <c r="A374" s="23"/>
      <c r="B374" s="23"/>
      <c r="C374" s="23"/>
      <c r="D374" s="23"/>
      <c r="E374" s="23"/>
      <c r="F374" s="23"/>
      <c r="G374" s="23"/>
      <c r="H374" s="23"/>
      <c r="I374" s="23"/>
      <c r="J374" s="23"/>
      <c r="K374" s="23"/>
      <c r="L374" s="23"/>
      <c r="M374" s="23"/>
      <c r="N374" s="23"/>
      <c r="O374" s="23"/>
      <c r="P374" s="23"/>
      <c r="Q374" s="23"/>
      <c r="R374" s="23"/>
      <c r="S374" s="23"/>
      <c r="T374" s="23"/>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row>
    <row r="375" spans="1:50" x14ac:dyDescent="0.35">
      <c r="A375" s="23"/>
      <c r="B375" s="23"/>
      <c r="C375" s="23"/>
      <c r="D375" s="23"/>
      <c r="E375" s="23"/>
      <c r="F375" s="23"/>
      <c r="G375" s="23"/>
      <c r="H375" s="23"/>
      <c r="I375" s="23"/>
      <c r="J375" s="23"/>
      <c r="K375" s="23"/>
      <c r="L375" s="23"/>
      <c r="M375" s="23"/>
      <c r="N375" s="23"/>
      <c r="O375" s="23"/>
      <c r="P375" s="23"/>
      <c r="Q375" s="23"/>
      <c r="R375" s="23"/>
      <c r="S375" s="23"/>
      <c r="T375" s="23"/>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row>
    <row r="376" spans="1:50" x14ac:dyDescent="0.35">
      <c r="A376" s="23"/>
      <c r="B376" s="23"/>
      <c r="C376" s="23"/>
      <c r="D376" s="23"/>
      <c r="E376" s="23"/>
      <c r="F376" s="23"/>
      <c r="G376" s="23"/>
      <c r="H376" s="23"/>
      <c r="I376" s="23"/>
      <c r="J376" s="23"/>
      <c r="K376" s="23"/>
      <c r="L376" s="23"/>
      <c r="M376" s="23"/>
      <c r="N376" s="23"/>
      <c r="O376" s="23"/>
      <c r="P376" s="23"/>
      <c r="Q376" s="23"/>
      <c r="R376" s="23"/>
      <c r="S376" s="23"/>
      <c r="T376" s="23"/>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row>
    <row r="377" spans="1:50" x14ac:dyDescent="0.35">
      <c r="A377" s="23"/>
      <c r="B377" s="23"/>
      <c r="C377" s="23"/>
      <c r="D377" s="23"/>
      <c r="E377" s="23"/>
      <c r="F377" s="23"/>
      <c r="G377" s="23"/>
      <c r="H377" s="23"/>
      <c r="I377" s="23"/>
      <c r="J377" s="23"/>
      <c r="K377" s="23"/>
      <c r="L377" s="23"/>
      <c r="M377" s="23"/>
      <c r="N377" s="23"/>
      <c r="O377" s="23"/>
      <c r="P377" s="23"/>
      <c r="Q377" s="23"/>
      <c r="R377" s="23"/>
      <c r="S377" s="23"/>
      <c r="T377" s="23"/>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row>
    <row r="378" spans="1:50" x14ac:dyDescent="0.35">
      <c r="A378" s="23"/>
      <c r="B378" s="23"/>
      <c r="C378" s="23"/>
      <c r="D378" s="23"/>
      <c r="E378" s="23"/>
      <c r="F378" s="23"/>
      <c r="G378" s="23"/>
      <c r="H378" s="23"/>
      <c r="I378" s="23"/>
      <c r="J378" s="23"/>
      <c r="K378" s="23"/>
      <c r="L378" s="23"/>
      <c r="M378" s="23"/>
      <c r="N378" s="23"/>
      <c r="O378" s="23"/>
      <c r="P378" s="23"/>
      <c r="Q378" s="23"/>
      <c r="R378" s="23"/>
      <c r="S378" s="23"/>
      <c r="T378" s="23"/>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row>
    <row r="379" spans="1:50" x14ac:dyDescent="0.35">
      <c r="A379" s="23"/>
      <c r="B379" s="23"/>
      <c r="C379" s="23"/>
      <c r="D379" s="23"/>
      <c r="E379" s="23"/>
      <c r="F379" s="23"/>
      <c r="G379" s="23"/>
      <c r="H379" s="23"/>
      <c r="I379" s="23"/>
      <c r="J379" s="23"/>
      <c r="K379" s="23"/>
      <c r="L379" s="23"/>
      <c r="M379" s="23"/>
      <c r="N379" s="23"/>
      <c r="O379" s="23"/>
      <c r="P379" s="23"/>
      <c r="Q379" s="23"/>
      <c r="R379" s="23"/>
      <c r="S379" s="23"/>
      <c r="T379" s="23"/>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row>
    <row r="380" spans="1:50" x14ac:dyDescent="0.35">
      <c r="A380" s="23"/>
      <c r="B380" s="23"/>
      <c r="C380" s="23"/>
      <c r="D380" s="23"/>
      <c r="E380" s="23"/>
      <c r="F380" s="23"/>
      <c r="G380" s="23"/>
      <c r="H380" s="23"/>
      <c r="I380" s="23"/>
      <c r="J380" s="23"/>
      <c r="K380" s="23"/>
      <c r="L380" s="23"/>
      <c r="M380" s="23"/>
      <c r="N380" s="23"/>
      <c r="O380" s="23"/>
      <c r="P380" s="23"/>
      <c r="Q380" s="23"/>
      <c r="R380" s="23"/>
      <c r="S380" s="23"/>
      <c r="T380" s="23"/>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row>
    <row r="381" spans="1:50" x14ac:dyDescent="0.35">
      <c r="A381" s="23"/>
      <c r="B381" s="23"/>
      <c r="C381" s="23"/>
      <c r="D381" s="23"/>
      <c r="E381" s="23"/>
      <c r="F381" s="23"/>
      <c r="G381" s="23"/>
      <c r="H381" s="23"/>
      <c r="I381" s="23"/>
      <c r="J381" s="23"/>
      <c r="K381" s="23"/>
      <c r="L381" s="23"/>
      <c r="M381" s="23"/>
      <c r="N381" s="23"/>
      <c r="O381" s="23"/>
      <c r="P381" s="23"/>
      <c r="Q381" s="23"/>
      <c r="R381" s="23"/>
      <c r="S381" s="23"/>
      <c r="T381" s="23"/>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row>
    <row r="382" spans="1:50" x14ac:dyDescent="0.35">
      <c r="A382" s="23"/>
      <c r="B382" s="23"/>
      <c r="C382" s="23"/>
      <c r="D382" s="23"/>
      <c r="E382" s="23"/>
      <c r="F382" s="23"/>
      <c r="G382" s="23"/>
      <c r="H382" s="23"/>
      <c r="I382" s="23"/>
      <c r="J382" s="23"/>
      <c r="K382" s="23"/>
      <c r="L382" s="23"/>
      <c r="M382" s="23"/>
      <c r="N382" s="23"/>
      <c r="O382" s="23"/>
      <c r="P382" s="23"/>
      <c r="Q382" s="23"/>
      <c r="R382" s="23"/>
      <c r="S382" s="23"/>
      <c r="T382" s="23"/>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row>
    <row r="383" spans="1:50" x14ac:dyDescent="0.35">
      <c r="A383" s="23"/>
      <c r="B383" s="23"/>
      <c r="C383" s="23"/>
      <c r="D383" s="23"/>
      <c r="E383" s="23"/>
      <c r="F383" s="23"/>
      <c r="G383" s="23"/>
      <c r="H383" s="23"/>
      <c r="I383" s="23"/>
      <c r="J383" s="23"/>
      <c r="K383" s="23"/>
      <c r="L383" s="23"/>
      <c r="M383" s="23"/>
      <c r="N383" s="23"/>
      <c r="O383" s="23"/>
      <c r="P383" s="23"/>
      <c r="Q383" s="23"/>
      <c r="R383" s="23"/>
      <c r="S383" s="23"/>
      <c r="T383" s="23"/>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row>
    <row r="384" spans="1:50" x14ac:dyDescent="0.35">
      <c r="A384" s="23"/>
      <c r="B384" s="23"/>
      <c r="C384" s="23"/>
      <c r="D384" s="23"/>
      <c r="E384" s="23"/>
      <c r="F384" s="23"/>
      <c r="G384" s="23"/>
      <c r="H384" s="23"/>
      <c r="I384" s="23"/>
      <c r="J384" s="23"/>
      <c r="K384" s="23"/>
      <c r="L384" s="23"/>
      <c r="M384" s="23"/>
      <c r="N384" s="23"/>
      <c r="O384" s="23"/>
      <c r="P384" s="23"/>
      <c r="Q384" s="23"/>
      <c r="R384" s="23"/>
      <c r="S384" s="23"/>
      <c r="T384" s="23"/>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row>
    <row r="385" spans="1:50" x14ac:dyDescent="0.35">
      <c r="A385" s="23"/>
      <c r="B385" s="23"/>
      <c r="C385" s="23"/>
      <c r="D385" s="23"/>
      <c r="E385" s="23"/>
      <c r="F385" s="23"/>
      <c r="G385" s="23"/>
      <c r="H385" s="23"/>
      <c r="I385" s="23"/>
      <c r="J385" s="23"/>
      <c r="K385" s="23"/>
      <c r="L385" s="23"/>
      <c r="M385" s="23"/>
      <c r="N385" s="23"/>
      <c r="O385" s="23"/>
      <c r="P385" s="23"/>
      <c r="Q385" s="23"/>
      <c r="R385" s="23"/>
      <c r="S385" s="23"/>
      <c r="T385" s="23"/>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row>
    <row r="386" spans="1:50" x14ac:dyDescent="0.35">
      <c r="A386" s="23"/>
      <c r="B386" s="23"/>
      <c r="C386" s="23"/>
      <c r="D386" s="23"/>
      <c r="E386" s="23"/>
      <c r="F386" s="23"/>
      <c r="G386" s="23"/>
      <c r="H386" s="23"/>
      <c r="I386" s="23"/>
      <c r="J386" s="23"/>
      <c r="K386" s="23"/>
      <c r="L386" s="23"/>
      <c r="M386" s="23"/>
      <c r="N386" s="23"/>
      <c r="O386" s="23"/>
      <c r="P386" s="23"/>
      <c r="Q386" s="23"/>
      <c r="R386" s="23"/>
      <c r="S386" s="23"/>
      <c r="T386" s="23"/>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row>
    <row r="387" spans="1:50" x14ac:dyDescent="0.35">
      <c r="A387" s="23"/>
      <c r="B387" s="23"/>
      <c r="C387" s="23"/>
      <c r="D387" s="23"/>
      <c r="E387" s="23"/>
      <c r="F387" s="23"/>
      <c r="G387" s="23"/>
      <c r="H387" s="23"/>
      <c r="I387" s="23"/>
      <c r="J387" s="23"/>
      <c r="K387" s="23"/>
      <c r="L387" s="23"/>
      <c r="M387" s="23"/>
      <c r="N387" s="23"/>
      <c r="O387" s="23"/>
      <c r="P387" s="23"/>
      <c r="Q387" s="23"/>
      <c r="R387" s="23"/>
      <c r="S387" s="23"/>
      <c r="T387" s="23"/>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row>
    <row r="388" spans="1:50" x14ac:dyDescent="0.35">
      <c r="A388" s="23"/>
      <c r="B388" s="23"/>
      <c r="C388" s="23"/>
      <c r="D388" s="23"/>
      <c r="E388" s="23"/>
      <c r="F388" s="23"/>
      <c r="G388" s="23"/>
      <c r="H388" s="23"/>
      <c r="I388" s="23"/>
      <c r="J388" s="23"/>
      <c r="K388" s="23"/>
      <c r="L388" s="23"/>
      <c r="M388" s="23"/>
      <c r="N388" s="23"/>
      <c r="O388" s="23"/>
      <c r="P388" s="23"/>
      <c r="Q388" s="23"/>
      <c r="R388" s="23"/>
      <c r="S388" s="23"/>
      <c r="T388" s="23"/>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row>
    <row r="389" spans="1:50" x14ac:dyDescent="0.35">
      <c r="A389" s="23"/>
      <c r="B389" s="23"/>
      <c r="C389" s="23"/>
      <c r="D389" s="23"/>
      <c r="E389" s="23"/>
      <c r="F389" s="23"/>
      <c r="G389" s="23"/>
      <c r="H389" s="23"/>
      <c r="I389" s="23"/>
      <c r="J389" s="23"/>
      <c r="K389" s="23"/>
      <c r="L389" s="23"/>
      <c r="M389" s="23"/>
      <c r="N389" s="23"/>
      <c r="O389" s="23"/>
      <c r="P389" s="23"/>
      <c r="Q389" s="23"/>
      <c r="R389" s="23"/>
      <c r="S389" s="23"/>
      <c r="T389" s="23"/>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row>
    <row r="390" spans="1:50" x14ac:dyDescent="0.35">
      <c r="A390" s="23"/>
      <c r="B390" s="23"/>
      <c r="C390" s="23"/>
      <c r="D390" s="23"/>
      <c r="E390" s="23"/>
      <c r="F390" s="23"/>
      <c r="G390" s="23"/>
      <c r="H390" s="23"/>
      <c r="I390" s="23"/>
      <c r="J390" s="23"/>
      <c r="K390" s="23"/>
      <c r="L390" s="23"/>
      <c r="M390" s="23"/>
      <c r="N390" s="23"/>
      <c r="O390" s="23"/>
      <c r="P390" s="23"/>
      <c r="Q390" s="23"/>
      <c r="R390" s="23"/>
      <c r="S390" s="23"/>
      <c r="T390" s="23"/>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row>
    <row r="391" spans="1:50" x14ac:dyDescent="0.35">
      <c r="A391" s="23"/>
      <c r="B391" s="23"/>
      <c r="C391" s="23"/>
      <c r="D391" s="23"/>
      <c r="E391" s="23"/>
      <c r="F391" s="23"/>
      <c r="G391" s="23"/>
      <c r="H391" s="23"/>
      <c r="I391" s="23"/>
      <c r="J391" s="23"/>
      <c r="K391" s="23"/>
      <c r="L391" s="23"/>
      <c r="M391" s="23"/>
      <c r="N391" s="23"/>
      <c r="O391" s="23"/>
      <c r="P391" s="23"/>
      <c r="Q391" s="23"/>
      <c r="R391" s="23"/>
      <c r="S391" s="23"/>
      <c r="T391" s="23"/>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row>
    <row r="392" spans="1:50" x14ac:dyDescent="0.35">
      <c r="A392" s="23"/>
      <c r="B392" s="23"/>
      <c r="C392" s="23"/>
      <c r="D392" s="23"/>
      <c r="E392" s="23"/>
      <c r="F392" s="23"/>
      <c r="G392" s="23"/>
      <c r="H392" s="23"/>
      <c r="I392" s="23"/>
      <c r="J392" s="23"/>
      <c r="K392" s="23"/>
      <c r="L392" s="23"/>
      <c r="M392" s="23"/>
      <c r="N392" s="23"/>
      <c r="O392" s="23"/>
      <c r="P392" s="23"/>
      <c r="Q392" s="23"/>
      <c r="R392" s="23"/>
      <c r="S392" s="23"/>
      <c r="T392" s="23"/>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row>
    <row r="393" spans="1:50" x14ac:dyDescent="0.35">
      <c r="A393" s="23"/>
      <c r="B393" s="23"/>
      <c r="C393" s="23"/>
      <c r="D393" s="23"/>
      <c r="E393" s="23"/>
      <c r="F393" s="23"/>
      <c r="G393" s="23"/>
      <c r="H393" s="23"/>
      <c r="I393" s="23"/>
      <c r="J393" s="23"/>
      <c r="K393" s="23"/>
      <c r="L393" s="23"/>
      <c r="M393" s="23"/>
      <c r="N393" s="23"/>
      <c r="O393" s="23"/>
      <c r="P393" s="23"/>
      <c r="Q393" s="23"/>
      <c r="R393" s="23"/>
      <c r="S393" s="23"/>
      <c r="T393" s="23"/>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row>
    <row r="394" spans="1:50" x14ac:dyDescent="0.35">
      <c r="A394" s="23"/>
      <c r="B394" s="23"/>
      <c r="C394" s="23"/>
      <c r="D394" s="23"/>
      <c r="E394" s="23"/>
      <c r="F394" s="23"/>
      <c r="G394" s="23"/>
      <c r="H394" s="23"/>
      <c r="I394" s="23"/>
      <c r="J394" s="23"/>
      <c r="K394" s="23"/>
      <c r="L394" s="23"/>
      <c r="M394" s="23"/>
      <c r="N394" s="23"/>
      <c r="O394" s="23"/>
      <c r="P394" s="23"/>
      <c r="Q394" s="23"/>
      <c r="R394" s="23"/>
      <c r="S394" s="23"/>
      <c r="T394" s="23"/>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row>
    <row r="395" spans="1:50" x14ac:dyDescent="0.35">
      <c r="A395" s="23"/>
      <c r="B395" s="23"/>
      <c r="C395" s="23"/>
      <c r="D395" s="23"/>
      <c r="E395" s="23"/>
      <c r="F395" s="23"/>
      <c r="G395" s="23"/>
      <c r="H395" s="23"/>
      <c r="I395" s="23"/>
      <c r="J395" s="23"/>
      <c r="K395" s="23"/>
      <c r="L395" s="23"/>
      <c r="M395" s="23"/>
      <c r="N395" s="23"/>
      <c r="O395" s="23"/>
      <c r="P395" s="23"/>
      <c r="Q395" s="23"/>
      <c r="R395" s="23"/>
      <c r="S395" s="23"/>
      <c r="T395" s="23"/>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row>
    <row r="396" spans="1:50" x14ac:dyDescent="0.35">
      <c r="A396" s="23"/>
      <c r="B396" s="23"/>
      <c r="C396" s="23"/>
      <c r="D396" s="23"/>
      <c r="E396" s="23"/>
      <c r="F396" s="23"/>
      <c r="G396" s="23"/>
      <c r="H396" s="23"/>
      <c r="I396" s="23"/>
      <c r="J396" s="23"/>
      <c r="K396" s="23"/>
      <c r="L396" s="23"/>
      <c r="M396" s="23"/>
      <c r="N396" s="23"/>
      <c r="O396" s="23"/>
      <c r="P396" s="23"/>
      <c r="Q396" s="23"/>
      <c r="R396" s="23"/>
      <c r="S396" s="23"/>
      <c r="T396" s="23"/>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row>
    <row r="397" spans="1:50" x14ac:dyDescent="0.35">
      <c r="A397" s="23"/>
      <c r="B397" s="23"/>
      <c r="C397" s="23"/>
      <c r="D397" s="23"/>
      <c r="E397" s="23"/>
      <c r="F397" s="23"/>
      <c r="G397" s="23"/>
      <c r="H397" s="23"/>
      <c r="I397" s="23"/>
      <c r="J397" s="23"/>
      <c r="K397" s="23"/>
      <c r="L397" s="23"/>
      <c r="M397" s="23"/>
      <c r="N397" s="23"/>
      <c r="O397" s="23"/>
      <c r="P397" s="23"/>
      <c r="Q397" s="23"/>
      <c r="R397" s="23"/>
      <c r="S397" s="23"/>
      <c r="T397" s="23"/>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row>
    <row r="398" spans="1:50" x14ac:dyDescent="0.35">
      <c r="A398" s="23"/>
      <c r="B398" s="23"/>
      <c r="C398" s="23"/>
      <c r="D398" s="23"/>
      <c r="E398" s="23"/>
      <c r="F398" s="23"/>
      <c r="G398" s="23"/>
      <c r="H398" s="23"/>
      <c r="I398" s="23"/>
      <c r="J398" s="23"/>
      <c r="K398" s="23"/>
      <c r="L398" s="23"/>
      <c r="M398" s="23"/>
      <c r="N398" s="23"/>
      <c r="O398" s="23"/>
      <c r="P398" s="23"/>
      <c r="Q398" s="23"/>
      <c r="R398" s="23"/>
      <c r="S398" s="23"/>
      <c r="T398" s="23"/>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row>
    <row r="399" spans="1:50" x14ac:dyDescent="0.35">
      <c r="A399" s="23"/>
      <c r="B399" s="23"/>
      <c r="C399" s="23"/>
      <c r="D399" s="23"/>
      <c r="E399" s="23"/>
      <c r="F399" s="23"/>
      <c r="G399" s="23"/>
      <c r="H399" s="23"/>
      <c r="I399" s="23"/>
      <c r="J399" s="23"/>
      <c r="K399" s="23"/>
      <c r="L399" s="23"/>
      <c r="M399" s="23"/>
      <c r="N399" s="23"/>
      <c r="O399" s="23"/>
      <c r="P399" s="23"/>
      <c r="Q399" s="23"/>
      <c r="R399" s="23"/>
      <c r="S399" s="23"/>
      <c r="T399" s="23"/>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row>
    <row r="400" spans="1:50" x14ac:dyDescent="0.35">
      <c r="A400" s="23"/>
      <c r="B400" s="23"/>
      <c r="C400" s="23"/>
      <c r="D400" s="23"/>
      <c r="E400" s="23"/>
      <c r="F400" s="23"/>
      <c r="G400" s="23"/>
      <c r="H400" s="23"/>
      <c r="I400" s="23"/>
      <c r="J400" s="23"/>
      <c r="K400" s="23"/>
      <c r="L400" s="23"/>
      <c r="M400" s="23"/>
      <c r="N400" s="23"/>
      <c r="O400" s="23"/>
      <c r="P400" s="23"/>
      <c r="Q400" s="23"/>
      <c r="R400" s="23"/>
      <c r="S400" s="23"/>
      <c r="T400" s="23"/>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row>
    <row r="401" spans="1:50" x14ac:dyDescent="0.35">
      <c r="A401" s="23"/>
      <c r="B401" s="23"/>
      <c r="C401" s="23"/>
      <c r="D401" s="23"/>
      <c r="E401" s="23"/>
      <c r="F401" s="23"/>
      <c r="G401" s="23"/>
      <c r="H401" s="23"/>
      <c r="I401" s="23"/>
      <c r="J401" s="23"/>
      <c r="K401" s="23"/>
      <c r="L401" s="23"/>
      <c r="M401" s="23"/>
      <c r="N401" s="23"/>
      <c r="O401" s="23"/>
      <c r="P401" s="23"/>
      <c r="Q401" s="23"/>
      <c r="R401" s="23"/>
      <c r="S401" s="23"/>
      <c r="T401" s="23"/>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row>
    <row r="402" spans="1:50" x14ac:dyDescent="0.35">
      <c r="A402" s="23"/>
      <c r="B402" s="23"/>
      <c r="C402" s="23"/>
      <c r="D402" s="23"/>
      <c r="E402" s="23"/>
      <c r="F402" s="23"/>
      <c r="G402" s="23"/>
      <c r="H402" s="23"/>
      <c r="I402" s="23"/>
      <c r="J402" s="23"/>
      <c r="K402" s="23"/>
      <c r="L402" s="23"/>
      <c r="M402" s="23"/>
      <c r="N402" s="23"/>
      <c r="O402" s="23"/>
      <c r="P402" s="23"/>
      <c r="Q402" s="23"/>
      <c r="R402" s="23"/>
      <c r="S402" s="23"/>
      <c r="T402" s="23"/>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row>
    <row r="403" spans="1:50" x14ac:dyDescent="0.35">
      <c r="A403" s="23"/>
      <c r="B403" s="23"/>
      <c r="C403" s="23"/>
      <c r="D403" s="23"/>
      <c r="E403" s="23"/>
      <c r="F403" s="23"/>
      <c r="G403" s="23"/>
      <c r="H403" s="23"/>
      <c r="I403" s="23"/>
      <c r="J403" s="23"/>
      <c r="K403" s="23"/>
      <c r="L403" s="23"/>
      <c r="M403" s="23"/>
      <c r="N403" s="23"/>
      <c r="O403" s="23"/>
      <c r="P403" s="23"/>
      <c r="Q403" s="23"/>
      <c r="R403" s="23"/>
      <c r="S403" s="23"/>
      <c r="T403" s="23"/>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row>
    <row r="404" spans="1:50" x14ac:dyDescent="0.35">
      <c r="A404" s="23"/>
      <c r="B404" s="23"/>
      <c r="C404" s="23"/>
      <c r="D404" s="23"/>
      <c r="E404" s="23"/>
      <c r="F404" s="23"/>
      <c r="G404" s="23"/>
      <c r="H404" s="23"/>
      <c r="I404" s="23"/>
      <c r="J404" s="23"/>
      <c r="K404" s="23"/>
      <c r="L404" s="23"/>
      <c r="M404" s="23"/>
      <c r="N404" s="23"/>
      <c r="O404" s="23"/>
      <c r="P404" s="23"/>
      <c r="Q404" s="23"/>
      <c r="R404" s="23"/>
      <c r="S404" s="23"/>
      <c r="T404" s="23"/>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row>
    <row r="405" spans="1:50" x14ac:dyDescent="0.35">
      <c r="A405" s="23"/>
      <c r="B405" s="23"/>
      <c r="C405" s="23"/>
      <c r="D405" s="23"/>
      <c r="E405" s="23"/>
      <c r="F405" s="23"/>
      <c r="G405" s="23"/>
      <c r="H405" s="23"/>
      <c r="I405" s="23"/>
      <c r="J405" s="23"/>
      <c r="K405" s="23"/>
      <c r="L405" s="23"/>
      <c r="M405" s="23"/>
      <c r="N405" s="23"/>
      <c r="O405" s="23"/>
      <c r="P405" s="23"/>
      <c r="Q405" s="23"/>
      <c r="R405" s="23"/>
      <c r="S405" s="23"/>
      <c r="T405" s="23"/>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row>
    <row r="406" spans="1:50" x14ac:dyDescent="0.35">
      <c r="A406" s="23"/>
      <c r="B406" s="23"/>
      <c r="C406" s="23"/>
      <c r="D406" s="23"/>
      <c r="E406" s="23"/>
      <c r="F406" s="23"/>
      <c r="G406" s="23"/>
      <c r="H406" s="23"/>
      <c r="I406" s="23"/>
      <c r="J406" s="23"/>
      <c r="K406" s="23"/>
      <c r="L406" s="23"/>
      <c r="M406" s="23"/>
      <c r="N406" s="23"/>
      <c r="O406" s="23"/>
      <c r="P406" s="23"/>
      <c r="Q406" s="23"/>
      <c r="R406" s="23"/>
      <c r="S406" s="23"/>
      <c r="T406" s="23"/>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row>
    <row r="407" spans="1:50" x14ac:dyDescent="0.35">
      <c r="A407" s="23"/>
      <c r="B407" s="23"/>
      <c r="C407" s="23"/>
      <c r="D407" s="23"/>
      <c r="E407" s="23"/>
      <c r="F407" s="23"/>
      <c r="G407" s="23"/>
      <c r="H407" s="23"/>
      <c r="I407" s="23"/>
      <c r="J407" s="23"/>
      <c r="K407" s="23"/>
      <c r="L407" s="23"/>
      <c r="M407" s="23"/>
      <c r="N407" s="23"/>
      <c r="O407" s="23"/>
      <c r="P407" s="23"/>
      <c r="Q407" s="23"/>
      <c r="R407" s="23"/>
      <c r="S407" s="23"/>
      <c r="T407" s="23"/>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row>
    <row r="408" spans="1:50" x14ac:dyDescent="0.35">
      <c r="A408" s="23"/>
      <c r="B408" s="23"/>
      <c r="C408" s="23"/>
      <c r="D408" s="23"/>
      <c r="E408" s="23"/>
      <c r="F408" s="23"/>
      <c r="G408" s="23"/>
      <c r="H408" s="23"/>
      <c r="I408" s="23"/>
      <c r="J408" s="23"/>
      <c r="K408" s="23"/>
      <c r="L408" s="23"/>
      <c r="M408" s="23"/>
      <c r="N408" s="23"/>
      <c r="O408" s="23"/>
      <c r="P408" s="23"/>
      <c r="Q408" s="23"/>
      <c r="R408" s="23"/>
      <c r="S408" s="23"/>
      <c r="T408" s="23"/>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row>
    <row r="409" spans="1:50" x14ac:dyDescent="0.35">
      <c r="A409" s="23"/>
      <c r="B409" s="23"/>
      <c r="C409" s="23"/>
      <c r="D409" s="23"/>
      <c r="E409" s="23"/>
      <c r="F409" s="23"/>
      <c r="G409" s="23"/>
      <c r="H409" s="23"/>
      <c r="I409" s="23"/>
      <c r="J409" s="23"/>
      <c r="K409" s="23"/>
      <c r="L409" s="23"/>
      <c r="M409" s="23"/>
      <c r="N409" s="23"/>
      <c r="O409" s="23"/>
      <c r="P409" s="23"/>
      <c r="Q409" s="23"/>
      <c r="R409" s="23"/>
      <c r="S409" s="23"/>
      <c r="T409" s="23"/>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row>
    <row r="410" spans="1:50" x14ac:dyDescent="0.35">
      <c r="A410" s="23"/>
      <c r="B410" s="23"/>
      <c r="C410" s="23"/>
      <c r="D410" s="23"/>
      <c r="E410" s="23"/>
      <c r="F410" s="23"/>
      <c r="G410" s="23"/>
      <c r="H410" s="23"/>
      <c r="I410" s="23"/>
      <c r="J410" s="23"/>
      <c r="K410" s="23"/>
      <c r="L410" s="23"/>
      <c r="M410" s="23"/>
      <c r="N410" s="23"/>
      <c r="O410" s="23"/>
      <c r="P410" s="23"/>
      <c r="Q410" s="23"/>
      <c r="R410" s="23"/>
      <c r="S410" s="23"/>
      <c r="T410" s="23"/>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row>
    <row r="411" spans="1:50" x14ac:dyDescent="0.35">
      <c r="A411" s="23"/>
      <c r="B411" s="23"/>
      <c r="C411" s="23"/>
      <c r="D411" s="23"/>
      <c r="E411" s="23"/>
      <c r="F411" s="23"/>
      <c r="G411" s="23"/>
      <c r="H411" s="23"/>
      <c r="I411" s="23"/>
      <c r="J411" s="23"/>
      <c r="K411" s="23"/>
      <c r="L411" s="23"/>
      <c r="M411" s="23"/>
      <c r="N411" s="23"/>
      <c r="O411" s="23"/>
      <c r="P411" s="23"/>
      <c r="Q411" s="23"/>
      <c r="R411" s="23"/>
      <c r="S411" s="23"/>
      <c r="T411" s="23"/>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row>
    <row r="412" spans="1:50" x14ac:dyDescent="0.35">
      <c r="A412" s="23"/>
      <c r="B412" s="23"/>
      <c r="C412" s="23"/>
      <c r="D412" s="23"/>
      <c r="E412" s="23"/>
      <c r="F412" s="23"/>
      <c r="G412" s="23"/>
      <c r="H412" s="23"/>
      <c r="I412" s="23"/>
      <c r="J412" s="23"/>
      <c r="K412" s="23"/>
      <c r="L412" s="23"/>
      <c r="M412" s="23"/>
      <c r="N412" s="23"/>
      <c r="O412" s="23"/>
      <c r="P412" s="23"/>
      <c r="Q412" s="23"/>
      <c r="R412" s="23"/>
      <c r="S412" s="23"/>
      <c r="T412" s="23"/>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row>
    <row r="413" spans="1:50" x14ac:dyDescent="0.35">
      <c r="A413" s="23"/>
      <c r="B413" s="23"/>
      <c r="C413" s="23"/>
      <c r="D413" s="23"/>
      <c r="E413" s="23"/>
      <c r="F413" s="23"/>
      <c r="G413" s="23"/>
      <c r="H413" s="23"/>
      <c r="I413" s="23"/>
      <c r="J413" s="23"/>
      <c r="K413" s="23"/>
      <c r="L413" s="23"/>
      <c r="M413" s="23"/>
      <c r="N413" s="23"/>
      <c r="O413" s="23"/>
      <c r="P413" s="23"/>
      <c r="Q413" s="23"/>
      <c r="R413" s="23"/>
      <c r="S413" s="23"/>
      <c r="T413" s="23"/>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row>
    <row r="414" spans="1:50" x14ac:dyDescent="0.35">
      <c r="A414" s="23"/>
      <c r="B414" s="23"/>
      <c r="C414" s="23"/>
      <c r="D414" s="23"/>
      <c r="E414" s="23"/>
      <c r="F414" s="23"/>
      <c r="G414" s="23"/>
      <c r="H414" s="23"/>
      <c r="I414" s="23"/>
      <c r="J414" s="23"/>
      <c r="K414" s="23"/>
      <c r="L414" s="23"/>
      <c r="M414" s="23"/>
      <c r="N414" s="23"/>
      <c r="O414" s="23"/>
      <c r="P414" s="23"/>
      <c r="Q414" s="23"/>
      <c r="R414" s="23"/>
      <c r="S414" s="23"/>
      <c r="T414" s="23"/>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row>
    <row r="415" spans="1:50" x14ac:dyDescent="0.35">
      <c r="A415" s="23"/>
      <c r="B415" s="23"/>
      <c r="C415" s="23"/>
      <c r="D415" s="23"/>
      <c r="E415" s="23"/>
      <c r="F415" s="23"/>
      <c r="G415" s="23"/>
      <c r="H415" s="23"/>
      <c r="I415" s="23"/>
      <c r="J415" s="23"/>
      <c r="K415" s="23"/>
      <c r="L415" s="23"/>
      <c r="M415" s="23"/>
      <c r="N415" s="23"/>
      <c r="O415" s="23"/>
      <c r="P415" s="23"/>
      <c r="Q415" s="23"/>
      <c r="R415" s="23"/>
      <c r="S415" s="23"/>
      <c r="T415" s="23"/>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row>
    <row r="416" spans="1:50" x14ac:dyDescent="0.35">
      <c r="A416" s="23"/>
      <c r="B416" s="23"/>
      <c r="C416" s="23"/>
      <c r="D416" s="23"/>
      <c r="E416" s="23"/>
      <c r="F416" s="23"/>
      <c r="G416" s="23"/>
      <c r="H416" s="23"/>
      <c r="I416" s="23"/>
      <c r="J416" s="23"/>
      <c r="K416" s="23"/>
      <c r="L416" s="23"/>
      <c r="M416" s="23"/>
      <c r="N416" s="23"/>
      <c r="O416" s="23"/>
      <c r="P416" s="23"/>
      <c r="Q416" s="23"/>
      <c r="R416" s="23"/>
      <c r="S416" s="23"/>
      <c r="T416" s="23"/>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row>
    <row r="417" spans="1:50" x14ac:dyDescent="0.35">
      <c r="A417" s="23"/>
      <c r="B417" s="23"/>
      <c r="C417" s="23"/>
      <c r="D417" s="23"/>
      <c r="E417" s="23"/>
      <c r="F417" s="23"/>
      <c r="G417" s="23"/>
      <c r="H417" s="23"/>
      <c r="I417" s="23"/>
      <c r="J417" s="23"/>
      <c r="K417" s="23"/>
      <c r="L417" s="23"/>
      <c r="M417" s="23"/>
      <c r="N417" s="23"/>
      <c r="O417" s="23"/>
      <c r="P417" s="23"/>
      <c r="Q417" s="23"/>
      <c r="R417" s="23"/>
      <c r="S417" s="23"/>
      <c r="T417" s="23"/>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row>
    <row r="418" spans="1:50" x14ac:dyDescent="0.35">
      <c r="A418" s="23"/>
      <c r="B418" s="23"/>
      <c r="C418" s="23"/>
      <c r="D418" s="23"/>
      <c r="E418" s="23"/>
      <c r="F418" s="23"/>
      <c r="G418" s="23"/>
      <c r="H418" s="23"/>
      <c r="I418" s="23"/>
      <c r="J418" s="23"/>
      <c r="K418" s="23"/>
      <c r="L418" s="23"/>
      <c r="M418" s="23"/>
      <c r="N418" s="23"/>
      <c r="O418" s="23"/>
      <c r="P418" s="23"/>
      <c r="Q418" s="23"/>
      <c r="R418" s="23"/>
      <c r="S418" s="23"/>
      <c r="T418" s="23"/>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row>
    <row r="419" spans="1:50" x14ac:dyDescent="0.35">
      <c r="A419" s="23"/>
      <c r="B419" s="23"/>
      <c r="C419" s="23"/>
      <c r="D419" s="23"/>
      <c r="E419" s="23"/>
      <c r="F419" s="23"/>
      <c r="G419" s="23"/>
      <c r="H419" s="23"/>
      <c r="I419" s="23"/>
      <c r="J419" s="23"/>
      <c r="K419" s="23"/>
      <c r="L419" s="23"/>
      <c r="M419" s="23"/>
      <c r="N419" s="23"/>
      <c r="O419" s="23"/>
      <c r="P419" s="23"/>
      <c r="Q419" s="23"/>
      <c r="R419" s="23"/>
      <c r="S419" s="23"/>
      <c r="T419" s="23"/>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row>
    <row r="420" spans="1:50" x14ac:dyDescent="0.35">
      <c r="A420" s="23"/>
      <c r="B420" s="23"/>
      <c r="C420" s="23"/>
      <c r="D420" s="23"/>
      <c r="E420" s="23"/>
      <c r="F420" s="23"/>
      <c r="G420" s="23"/>
      <c r="H420" s="23"/>
      <c r="I420" s="23"/>
      <c r="J420" s="23"/>
      <c r="K420" s="23"/>
      <c r="L420" s="23"/>
      <c r="M420" s="23"/>
      <c r="N420" s="23"/>
      <c r="O420" s="23"/>
      <c r="P420" s="23"/>
      <c r="Q420" s="23"/>
      <c r="R420" s="23"/>
      <c r="S420" s="23"/>
      <c r="T420" s="23"/>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row>
    <row r="421" spans="1:50" x14ac:dyDescent="0.35">
      <c r="A421" s="23"/>
      <c r="B421" s="23"/>
      <c r="C421" s="23"/>
      <c r="D421" s="23"/>
      <c r="E421" s="23"/>
      <c r="F421" s="23"/>
      <c r="G421" s="23"/>
      <c r="H421" s="23"/>
      <c r="I421" s="23"/>
      <c r="J421" s="23"/>
      <c r="K421" s="23"/>
      <c r="L421" s="23"/>
      <c r="M421" s="23"/>
      <c r="N421" s="23"/>
      <c r="O421" s="23"/>
      <c r="P421" s="23"/>
      <c r="Q421" s="23"/>
      <c r="R421" s="23"/>
      <c r="S421" s="23"/>
      <c r="T421" s="23"/>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row>
    <row r="422" spans="1:50" x14ac:dyDescent="0.35">
      <c r="A422" s="23"/>
      <c r="B422" s="23"/>
      <c r="C422" s="23"/>
      <c r="D422" s="23"/>
      <c r="E422" s="23"/>
      <c r="F422" s="23"/>
      <c r="G422" s="23"/>
      <c r="H422" s="23"/>
      <c r="I422" s="23"/>
      <c r="J422" s="23"/>
      <c r="K422" s="23"/>
      <c r="L422" s="23"/>
      <c r="M422" s="23"/>
      <c r="N422" s="23"/>
      <c r="O422" s="23"/>
      <c r="P422" s="23"/>
      <c r="Q422" s="23"/>
      <c r="R422" s="23"/>
      <c r="S422" s="23"/>
      <c r="T422" s="23"/>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row>
    <row r="423" spans="1:50" x14ac:dyDescent="0.35">
      <c r="A423" s="23"/>
      <c r="B423" s="23"/>
      <c r="C423" s="23"/>
      <c r="D423" s="23"/>
      <c r="E423" s="23"/>
      <c r="F423" s="23"/>
      <c r="G423" s="23"/>
      <c r="H423" s="23"/>
      <c r="I423" s="23"/>
      <c r="J423" s="23"/>
      <c r="K423" s="23"/>
      <c r="L423" s="23"/>
      <c r="M423" s="23"/>
      <c r="N423" s="23"/>
      <c r="O423" s="23"/>
      <c r="P423" s="23"/>
      <c r="Q423" s="23"/>
      <c r="R423" s="23"/>
      <c r="S423" s="23"/>
      <c r="T423" s="23"/>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row>
    <row r="424" spans="1:50" x14ac:dyDescent="0.35">
      <c r="A424" s="23"/>
      <c r="B424" s="23"/>
      <c r="C424" s="23"/>
      <c r="D424" s="23"/>
      <c r="E424" s="23"/>
      <c r="F424" s="23"/>
      <c r="G424" s="23"/>
      <c r="H424" s="23"/>
      <c r="I424" s="23"/>
      <c r="J424" s="23"/>
      <c r="K424" s="23"/>
      <c r="L424" s="23"/>
      <c r="M424" s="23"/>
      <c r="N424" s="23"/>
      <c r="O424" s="23"/>
      <c r="P424" s="23"/>
      <c r="Q424" s="23"/>
      <c r="R424" s="23"/>
      <c r="S424" s="23"/>
      <c r="T424" s="23"/>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row>
    <row r="425" spans="1:50" x14ac:dyDescent="0.35">
      <c r="A425" s="23"/>
      <c r="B425" s="23"/>
      <c r="C425" s="23"/>
      <c r="D425" s="23"/>
      <c r="E425" s="23"/>
      <c r="F425" s="23"/>
      <c r="G425" s="23"/>
      <c r="H425" s="23"/>
      <c r="I425" s="23"/>
      <c r="J425" s="23"/>
      <c r="K425" s="23"/>
      <c r="L425" s="23"/>
      <c r="M425" s="23"/>
      <c r="N425" s="23"/>
      <c r="O425" s="23"/>
      <c r="P425" s="23"/>
      <c r="Q425" s="23"/>
      <c r="R425" s="23"/>
      <c r="S425" s="23"/>
      <c r="T425" s="23"/>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row>
    <row r="426" spans="1:50" x14ac:dyDescent="0.35">
      <c r="A426" s="23"/>
      <c r="B426" s="23"/>
      <c r="C426" s="23"/>
      <c r="D426" s="23"/>
      <c r="E426" s="23"/>
      <c r="F426" s="23"/>
      <c r="G426" s="23"/>
      <c r="H426" s="23"/>
      <c r="I426" s="23"/>
      <c r="J426" s="23"/>
      <c r="K426" s="23"/>
      <c r="L426" s="23"/>
      <c r="M426" s="23"/>
      <c r="N426" s="23"/>
      <c r="O426" s="23"/>
      <c r="P426" s="23"/>
      <c r="Q426" s="23"/>
      <c r="R426" s="23"/>
      <c r="S426" s="23"/>
      <c r="T426" s="23"/>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row>
    <row r="427" spans="1:50" x14ac:dyDescent="0.35">
      <c r="A427" s="23"/>
      <c r="B427" s="23"/>
      <c r="C427" s="23"/>
      <c r="D427" s="23"/>
      <c r="E427" s="23"/>
      <c r="F427" s="23"/>
      <c r="G427" s="23"/>
      <c r="H427" s="23"/>
      <c r="I427" s="23"/>
      <c r="J427" s="23"/>
      <c r="K427" s="23"/>
      <c r="L427" s="23"/>
      <c r="M427" s="23"/>
      <c r="N427" s="23"/>
      <c r="O427" s="23"/>
      <c r="P427" s="23"/>
      <c r="Q427" s="23"/>
      <c r="R427" s="23"/>
      <c r="S427" s="23"/>
      <c r="T427" s="23"/>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row>
    <row r="428" spans="1:50" x14ac:dyDescent="0.35">
      <c r="A428" s="23"/>
      <c r="B428" s="23"/>
      <c r="C428" s="23"/>
      <c r="D428" s="23"/>
      <c r="E428" s="23"/>
      <c r="F428" s="23"/>
      <c r="G428" s="23"/>
      <c r="H428" s="23"/>
      <c r="I428" s="23"/>
      <c r="J428" s="23"/>
      <c r="K428" s="23"/>
      <c r="L428" s="23"/>
      <c r="M428" s="23"/>
      <c r="N428" s="23"/>
      <c r="O428" s="23"/>
      <c r="P428" s="23"/>
      <c r="Q428" s="23"/>
      <c r="R428" s="23"/>
      <c r="S428" s="23"/>
      <c r="T428" s="23"/>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row>
    <row r="429" spans="1:50" x14ac:dyDescent="0.35">
      <c r="A429" s="23"/>
      <c r="B429" s="23"/>
      <c r="C429" s="23"/>
      <c r="D429" s="23"/>
      <c r="E429" s="23"/>
      <c r="F429" s="23"/>
      <c r="G429" s="23"/>
      <c r="H429" s="23"/>
      <c r="I429" s="23"/>
      <c r="J429" s="23"/>
      <c r="K429" s="23"/>
      <c r="L429" s="23"/>
      <c r="M429" s="23"/>
      <c r="N429" s="23"/>
      <c r="O429" s="23"/>
      <c r="P429" s="23"/>
      <c r="Q429" s="23"/>
      <c r="R429" s="23"/>
      <c r="S429" s="23"/>
      <c r="T429" s="23"/>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row>
    <row r="430" spans="1:50" x14ac:dyDescent="0.35">
      <c r="A430" s="23"/>
      <c r="B430" s="23"/>
      <c r="C430" s="23"/>
      <c r="D430" s="23"/>
      <c r="E430" s="23"/>
      <c r="F430" s="23"/>
      <c r="G430" s="23"/>
      <c r="H430" s="23"/>
      <c r="I430" s="23"/>
      <c r="J430" s="23"/>
      <c r="K430" s="23"/>
      <c r="L430" s="23"/>
      <c r="M430" s="23"/>
      <c r="N430" s="23"/>
      <c r="O430" s="23"/>
      <c r="P430" s="23"/>
      <c r="Q430" s="23"/>
      <c r="R430" s="23"/>
      <c r="S430" s="23"/>
      <c r="T430" s="23"/>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row>
    <row r="431" spans="1:50" x14ac:dyDescent="0.35">
      <c r="A431" s="23"/>
      <c r="B431" s="23"/>
      <c r="C431" s="23"/>
      <c r="D431" s="23"/>
      <c r="E431" s="23"/>
      <c r="F431" s="23"/>
      <c r="G431" s="23"/>
      <c r="H431" s="23"/>
      <c r="I431" s="23"/>
      <c r="J431" s="23"/>
      <c r="K431" s="23"/>
      <c r="L431" s="23"/>
      <c r="M431" s="23"/>
      <c r="N431" s="23"/>
      <c r="O431" s="23"/>
      <c r="P431" s="23"/>
      <c r="Q431" s="23"/>
      <c r="R431" s="23"/>
      <c r="S431" s="23"/>
      <c r="T431" s="23"/>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row>
    <row r="432" spans="1:50" x14ac:dyDescent="0.35">
      <c r="A432" s="23"/>
      <c r="B432" s="23"/>
      <c r="C432" s="23"/>
      <c r="D432" s="23"/>
      <c r="E432" s="23"/>
      <c r="F432" s="23"/>
      <c r="G432" s="23"/>
      <c r="H432" s="23"/>
      <c r="I432" s="23"/>
      <c r="J432" s="23"/>
      <c r="K432" s="23"/>
      <c r="L432" s="23"/>
      <c r="M432" s="23"/>
      <c r="N432" s="23"/>
      <c r="O432" s="23"/>
      <c r="P432" s="23"/>
      <c r="Q432" s="23"/>
      <c r="R432" s="23"/>
      <c r="S432" s="23"/>
      <c r="T432" s="23"/>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row>
    <row r="433" spans="1:50" x14ac:dyDescent="0.35">
      <c r="A433" s="23"/>
      <c r="B433" s="23"/>
      <c r="C433" s="23"/>
      <c r="D433" s="23"/>
      <c r="E433" s="23"/>
      <c r="F433" s="23"/>
      <c r="G433" s="23"/>
      <c r="H433" s="23"/>
      <c r="I433" s="23"/>
      <c r="J433" s="23"/>
      <c r="K433" s="23"/>
      <c r="L433" s="23"/>
      <c r="M433" s="23"/>
      <c r="N433" s="23"/>
      <c r="O433" s="23"/>
      <c r="P433" s="23"/>
      <c r="Q433" s="23"/>
      <c r="R433" s="23"/>
      <c r="S433" s="23"/>
      <c r="T433" s="23"/>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row>
    <row r="434" spans="1:50" x14ac:dyDescent="0.35">
      <c r="A434" s="23"/>
      <c r="B434" s="23"/>
      <c r="C434" s="23"/>
      <c r="D434" s="23"/>
      <c r="E434" s="23"/>
      <c r="F434" s="23"/>
      <c r="G434" s="23"/>
      <c r="H434" s="23"/>
      <c r="I434" s="23"/>
      <c r="J434" s="23"/>
      <c r="K434" s="23"/>
      <c r="L434" s="23"/>
      <c r="M434" s="23"/>
      <c r="N434" s="23"/>
      <c r="O434" s="23"/>
      <c r="P434" s="23"/>
      <c r="Q434" s="23"/>
      <c r="R434" s="23"/>
      <c r="S434" s="23"/>
      <c r="T434" s="23"/>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row>
    <row r="435" spans="1:50" x14ac:dyDescent="0.35">
      <c r="A435" s="23"/>
      <c r="B435" s="23"/>
      <c r="C435" s="23"/>
      <c r="D435" s="23"/>
      <c r="E435" s="23"/>
      <c r="F435" s="23"/>
      <c r="G435" s="23"/>
      <c r="H435" s="23"/>
      <c r="I435" s="23"/>
      <c r="J435" s="23"/>
      <c r="K435" s="23"/>
      <c r="L435" s="23"/>
      <c r="M435" s="23"/>
      <c r="N435" s="23"/>
      <c r="O435" s="23"/>
      <c r="P435" s="23"/>
      <c r="Q435" s="23"/>
      <c r="R435" s="23"/>
      <c r="S435" s="23"/>
      <c r="T435" s="23"/>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row>
    <row r="436" spans="1:50" x14ac:dyDescent="0.35">
      <c r="A436" s="23"/>
      <c r="B436" s="23"/>
      <c r="C436" s="23"/>
      <c r="D436" s="23"/>
      <c r="E436" s="23"/>
      <c r="F436" s="23"/>
      <c r="G436" s="23"/>
      <c r="H436" s="23"/>
      <c r="I436" s="23"/>
      <c r="J436" s="23"/>
      <c r="K436" s="23"/>
      <c r="L436" s="23"/>
      <c r="M436" s="23"/>
      <c r="N436" s="23"/>
      <c r="O436" s="23"/>
      <c r="P436" s="23"/>
      <c r="Q436" s="23"/>
      <c r="R436" s="23"/>
      <c r="S436" s="23"/>
      <c r="T436" s="23"/>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row>
    <row r="437" spans="1:50" x14ac:dyDescent="0.35">
      <c r="A437" s="23"/>
      <c r="B437" s="23"/>
      <c r="C437" s="23"/>
      <c r="D437" s="23"/>
      <c r="E437" s="23"/>
      <c r="F437" s="23"/>
      <c r="G437" s="23"/>
      <c r="H437" s="23"/>
      <c r="I437" s="23"/>
      <c r="J437" s="23"/>
      <c r="K437" s="23"/>
      <c r="L437" s="23"/>
      <c r="M437" s="23"/>
      <c r="N437" s="23"/>
      <c r="O437" s="23"/>
      <c r="P437" s="23"/>
      <c r="Q437" s="23"/>
      <c r="R437" s="23"/>
      <c r="S437" s="23"/>
      <c r="T437" s="23"/>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row>
    <row r="438" spans="1:50" x14ac:dyDescent="0.35">
      <c r="A438" s="23"/>
      <c r="B438" s="23"/>
      <c r="C438" s="23"/>
      <c r="D438" s="23"/>
      <c r="E438" s="23"/>
      <c r="F438" s="23"/>
      <c r="G438" s="23"/>
      <c r="H438" s="23"/>
      <c r="I438" s="23"/>
      <c r="J438" s="23"/>
      <c r="K438" s="23"/>
      <c r="L438" s="23"/>
      <c r="M438" s="23"/>
      <c r="N438" s="23"/>
      <c r="O438" s="23"/>
      <c r="P438" s="23"/>
      <c r="Q438" s="23"/>
      <c r="R438" s="23"/>
      <c r="S438" s="23"/>
      <c r="T438" s="23"/>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row>
    <row r="439" spans="1:50" x14ac:dyDescent="0.35">
      <c r="A439" s="23"/>
      <c r="B439" s="23"/>
      <c r="C439" s="23"/>
      <c r="D439" s="23"/>
      <c r="E439" s="23"/>
      <c r="F439" s="23"/>
      <c r="G439" s="23"/>
      <c r="H439" s="23"/>
      <c r="I439" s="23"/>
      <c r="J439" s="23"/>
      <c r="K439" s="23"/>
      <c r="L439" s="23"/>
      <c r="M439" s="23"/>
      <c r="N439" s="23"/>
      <c r="O439" s="23"/>
      <c r="P439" s="23"/>
      <c r="Q439" s="23"/>
      <c r="R439" s="23"/>
      <c r="S439" s="23"/>
      <c r="T439" s="23"/>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row>
    <row r="440" spans="1:50" x14ac:dyDescent="0.35">
      <c r="A440" s="23"/>
      <c r="B440" s="23"/>
      <c r="C440" s="23"/>
      <c r="D440" s="23"/>
      <c r="E440" s="23"/>
      <c r="F440" s="23"/>
      <c r="G440" s="23"/>
      <c r="H440" s="23"/>
      <c r="I440" s="23"/>
      <c r="J440" s="23"/>
      <c r="K440" s="23"/>
      <c r="L440" s="23"/>
      <c r="M440" s="23"/>
      <c r="N440" s="23"/>
      <c r="O440" s="23"/>
      <c r="P440" s="23"/>
      <c r="Q440" s="23"/>
      <c r="R440" s="23"/>
      <c r="S440" s="23"/>
      <c r="T440" s="23"/>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row>
    <row r="441" spans="1:50" x14ac:dyDescent="0.35">
      <c r="A441" s="23"/>
      <c r="B441" s="23"/>
      <c r="C441" s="23"/>
      <c r="D441" s="23"/>
      <c r="E441" s="23"/>
      <c r="F441" s="23"/>
      <c r="G441" s="23"/>
      <c r="H441" s="23"/>
      <c r="I441" s="23"/>
      <c r="J441" s="23"/>
      <c r="K441" s="23"/>
      <c r="L441" s="23"/>
      <c r="M441" s="23"/>
      <c r="N441" s="23"/>
      <c r="O441" s="23"/>
      <c r="P441" s="23"/>
      <c r="Q441" s="23"/>
      <c r="R441" s="23"/>
      <c r="S441" s="23"/>
      <c r="T441" s="23"/>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row>
    <row r="442" spans="1:50" x14ac:dyDescent="0.35">
      <c r="A442" s="23"/>
      <c r="B442" s="23"/>
      <c r="C442" s="23"/>
      <c r="D442" s="23"/>
      <c r="E442" s="23"/>
      <c r="F442" s="23"/>
      <c r="G442" s="23"/>
      <c r="H442" s="23"/>
      <c r="I442" s="23"/>
      <c r="J442" s="23"/>
      <c r="K442" s="23"/>
      <c r="L442" s="23"/>
      <c r="M442" s="23"/>
      <c r="N442" s="23"/>
      <c r="O442" s="23"/>
      <c r="P442" s="23"/>
      <c r="Q442" s="23"/>
      <c r="R442" s="23"/>
      <c r="S442" s="23"/>
      <c r="T442" s="23"/>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row>
    <row r="443" spans="1:50" x14ac:dyDescent="0.35">
      <c r="A443" s="23"/>
      <c r="B443" s="23"/>
      <c r="C443" s="23"/>
      <c r="D443" s="23"/>
      <c r="E443" s="23"/>
      <c r="F443" s="23"/>
      <c r="G443" s="23"/>
      <c r="H443" s="23"/>
      <c r="I443" s="23"/>
      <c r="J443" s="23"/>
      <c r="K443" s="23"/>
      <c r="L443" s="23"/>
      <c r="M443" s="23"/>
      <c r="N443" s="23"/>
      <c r="O443" s="23"/>
      <c r="P443" s="23"/>
      <c r="Q443" s="23"/>
      <c r="R443" s="23"/>
      <c r="S443" s="23"/>
      <c r="T443" s="23"/>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row>
    <row r="444" spans="1:50" x14ac:dyDescent="0.35">
      <c r="A444" s="23"/>
      <c r="B444" s="23"/>
      <c r="C444" s="23"/>
      <c r="D444" s="23"/>
      <c r="E444" s="23"/>
      <c r="F444" s="23"/>
      <c r="G444" s="23"/>
      <c r="H444" s="23"/>
      <c r="I444" s="23"/>
      <c r="J444" s="23"/>
      <c r="K444" s="23"/>
      <c r="L444" s="23"/>
      <c r="M444" s="23"/>
      <c r="N444" s="23"/>
      <c r="O444" s="23"/>
      <c r="P444" s="23"/>
      <c r="Q444" s="23"/>
      <c r="R444" s="23"/>
      <c r="S444" s="23"/>
      <c r="T444" s="23"/>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row>
    <row r="445" spans="1:50" x14ac:dyDescent="0.35">
      <c r="A445" s="23"/>
      <c r="B445" s="23"/>
      <c r="C445" s="23"/>
      <c r="D445" s="23"/>
      <c r="E445" s="23"/>
      <c r="F445" s="23"/>
      <c r="G445" s="23"/>
      <c r="H445" s="23"/>
      <c r="I445" s="23"/>
      <c r="J445" s="23"/>
      <c r="K445" s="23"/>
      <c r="L445" s="23"/>
      <c r="M445" s="23"/>
      <c r="N445" s="23"/>
      <c r="O445" s="23"/>
      <c r="P445" s="23"/>
      <c r="Q445" s="23"/>
      <c r="R445" s="23"/>
      <c r="S445" s="23"/>
      <c r="T445" s="23"/>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row>
    <row r="446" spans="1:50" x14ac:dyDescent="0.35">
      <c r="A446" s="23"/>
      <c r="B446" s="23"/>
      <c r="C446" s="23"/>
      <c r="D446" s="23"/>
      <c r="E446" s="23"/>
      <c r="F446" s="23"/>
      <c r="G446" s="23"/>
      <c r="H446" s="23"/>
      <c r="I446" s="23"/>
      <c r="J446" s="23"/>
      <c r="K446" s="23"/>
      <c r="L446" s="23"/>
      <c r="M446" s="23"/>
      <c r="N446" s="23"/>
      <c r="O446" s="23"/>
      <c r="P446" s="23"/>
      <c r="Q446" s="23"/>
      <c r="R446" s="23"/>
      <c r="S446" s="23"/>
      <c r="T446" s="23"/>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row>
    <row r="447" spans="1:50" x14ac:dyDescent="0.35">
      <c r="A447" s="23"/>
      <c r="B447" s="23"/>
      <c r="C447" s="23"/>
      <c r="D447" s="23"/>
      <c r="E447" s="23"/>
      <c r="F447" s="23"/>
      <c r="G447" s="23"/>
      <c r="H447" s="23"/>
      <c r="I447" s="23"/>
      <c r="J447" s="23"/>
      <c r="K447" s="23"/>
      <c r="L447" s="23"/>
      <c r="M447" s="23"/>
      <c r="N447" s="23"/>
      <c r="O447" s="23"/>
      <c r="P447" s="23"/>
      <c r="Q447" s="23"/>
      <c r="R447" s="23"/>
      <c r="S447" s="23"/>
      <c r="T447" s="23"/>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row>
    <row r="448" spans="1:50" x14ac:dyDescent="0.35">
      <c r="A448" s="23"/>
      <c r="B448" s="23"/>
      <c r="C448" s="23"/>
      <c r="D448" s="23"/>
      <c r="E448" s="23"/>
      <c r="F448" s="23"/>
      <c r="G448" s="23"/>
      <c r="H448" s="23"/>
      <c r="I448" s="23"/>
      <c r="J448" s="23"/>
      <c r="K448" s="23"/>
      <c r="L448" s="23"/>
      <c r="M448" s="23"/>
      <c r="N448" s="23"/>
      <c r="O448" s="23"/>
      <c r="P448" s="23"/>
      <c r="Q448" s="23"/>
      <c r="R448" s="23"/>
      <c r="S448" s="23"/>
      <c r="T448" s="23"/>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row>
    <row r="449" spans="1:50" x14ac:dyDescent="0.35">
      <c r="A449" s="23"/>
      <c r="B449" s="23"/>
      <c r="C449" s="23"/>
      <c r="D449" s="23"/>
      <c r="E449" s="23"/>
      <c r="F449" s="23"/>
      <c r="G449" s="23"/>
      <c r="H449" s="23"/>
      <c r="I449" s="23"/>
      <c r="J449" s="23"/>
      <c r="K449" s="23"/>
      <c r="L449" s="23"/>
      <c r="M449" s="23"/>
      <c r="N449" s="23"/>
      <c r="O449" s="23"/>
      <c r="P449" s="23"/>
      <c r="Q449" s="23"/>
      <c r="R449" s="23"/>
      <c r="S449" s="23"/>
      <c r="T449" s="23"/>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row>
    <row r="450" spans="1:50" x14ac:dyDescent="0.35">
      <c r="A450" s="23"/>
      <c r="B450" s="23"/>
      <c r="C450" s="23"/>
      <c r="D450" s="23"/>
      <c r="E450" s="23"/>
      <c r="F450" s="23"/>
      <c r="G450" s="23"/>
      <c r="H450" s="23"/>
      <c r="I450" s="23"/>
      <c r="J450" s="23"/>
      <c r="K450" s="23"/>
      <c r="L450" s="23"/>
      <c r="M450" s="23"/>
      <c r="N450" s="23"/>
      <c r="O450" s="23"/>
      <c r="P450" s="23"/>
      <c r="Q450" s="23"/>
      <c r="R450" s="23"/>
      <c r="S450" s="23"/>
      <c r="T450" s="23"/>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row>
    <row r="451" spans="1:50" x14ac:dyDescent="0.35">
      <c r="A451" s="23"/>
      <c r="B451" s="23"/>
      <c r="C451" s="23"/>
      <c r="D451" s="23"/>
      <c r="E451" s="23"/>
      <c r="F451" s="23"/>
      <c r="G451" s="23"/>
      <c r="H451" s="23"/>
      <c r="I451" s="23"/>
      <c r="J451" s="23"/>
      <c r="K451" s="23"/>
      <c r="L451" s="23"/>
      <c r="M451" s="23"/>
      <c r="N451" s="23"/>
      <c r="O451" s="23"/>
      <c r="P451" s="23"/>
      <c r="Q451" s="23"/>
      <c r="R451" s="23"/>
      <c r="S451" s="23"/>
      <c r="T451" s="23"/>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row>
    <row r="452" spans="1:50" x14ac:dyDescent="0.35">
      <c r="A452" s="23"/>
      <c r="B452" s="23"/>
      <c r="C452" s="23"/>
      <c r="D452" s="23"/>
      <c r="E452" s="23"/>
      <c r="F452" s="23"/>
      <c r="G452" s="23"/>
      <c r="H452" s="23"/>
      <c r="I452" s="23"/>
      <c r="J452" s="23"/>
      <c r="K452" s="23"/>
      <c r="L452" s="23"/>
      <c r="M452" s="23"/>
      <c r="N452" s="23"/>
      <c r="O452" s="23"/>
      <c r="P452" s="23"/>
      <c r="Q452" s="23"/>
      <c r="R452" s="23"/>
      <c r="S452" s="23"/>
      <c r="T452" s="23"/>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row>
    <row r="453" spans="1:50" x14ac:dyDescent="0.35">
      <c r="A453" s="23"/>
      <c r="B453" s="23"/>
      <c r="C453" s="23"/>
      <c r="D453" s="23"/>
      <c r="E453" s="23"/>
      <c r="F453" s="23"/>
      <c r="G453" s="23"/>
      <c r="H453" s="23"/>
      <c r="I453" s="23"/>
      <c r="J453" s="23"/>
      <c r="K453" s="23"/>
      <c r="L453" s="23"/>
      <c r="M453" s="23"/>
      <c r="N453" s="23"/>
      <c r="O453" s="23"/>
      <c r="P453" s="23"/>
      <c r="Q453" s="23"/>
      <c r="R453" s="23"/>
      <c r="S453" s="23"/>
      <c r="T453" s="23"/>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row>
    <row r="454" spans="1:50" x14ac:dyDescent="0.35">
      <c r="A454" s="23"/>
      <c r="B454" s="23"/>
      <c r="C454" s="23"/>
      <c r="D454" s="23"/>
      <c r="E454" s="23"/>
      <c r="F454" s="23"/>
      <c r="G454" s="23"/>
      <c r="H454" s="23"/>
      <c r="I454" s="23"/>
      <c r="J454" s="23"/>
      <c r="K454" s="23"/>
      <c r="L454" s="23"/>
      <c r="M454" s="23"/>
      <c r="N454" s="23"/>
      <c r="O454" s="23"/>
      <c r="P454" s="23"/>
      <c r="Q454" s="23"/>
      <c r="R454" s="23"/>
      <c r="S454" s="23"/>
      <c r="T454" s="23"/>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row>
    <row r="455" spans="1:50" x14ac:dyDescent="0.35">
      <c r="A455" s="23"/>
      <c r="B455" s="23"/>
      <c r="C455" s="23"/>
      <c r="D455" s="23"/>
      <c r="E455" s="23"/>
      <c r="F455" s="23"/>
      <c r="G455" s="23"/>
      <c r="H455" s="23"/>
      <c r="I455" s="23"/>
      <c r="J455" s="23"/>
      <c r="K455" s="23"/>
      <c r="L455" s="23"/>
      <c r="M455" s="23"/>
      <c r="N455" s="23"/>
      <c r="O455" s="23"/>
      <c r="P455" s="23"/>
      <c r="Q455" s="23"/>
      <c r="R455" s="23"/>
      <c r="S455" s="23"/>
      <c r="T455" s="23"/>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row>
    <row r="456" spans="1:50" x14ac:dyDescent="0.35">
      <c r="A456" s="23"/>
      <c r="B456" s="23"/>
      <c r="C456" s="23"/>
      <c r="D456" s="23"/>
      <c r="E456" s="23"/>
      <c r="F456" s="23"/>
      <c r="G456" s="23"/>
      <c r="H456" s="23"/>
      <c r="I456" s="23"/>
      <c r="J456" s="23"/>
      <c r="K456" s="23"/>
      <c r="L456" s="23"/>
      <c r="M456" s="23"/>
      <c r="N456" s="23"/>
      <c r="O456" s="23"/>
      <c r="P456" s="23"/>
      <c r="Q456" s="23"/>
      <c r="R456" s="23"/>
      <c r="S456" s="23"/>
      <c r="T456" s="23"/>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row>
    <row r="457" spans="1:50" x14ac:dyDescent="0.35">
      <c r="A457" s="23"/>
      <c r="B457" s="23"/>
      <c r="C457" s="23"/>
      <c r="D457" s="23"/>
      <c r="E457" s="23"/>
      <c r="F457" s="23"/>
      <c r="G457" s="23"/>
      <c r="H457" s="23"/>
      <c r="I457" s="23"/>
      <c r="J457" s="23"/>
      <c r="K457" s="23"/>
      <c r="L457" s="23"/>
      <c r="M457" s="23"/>
      <c r="N457" s="23"/>
      <c r="O457" s="23"/>
      <c r="P457" s="23"/>
      <c r="Q457" s="23"/>
      <c r="R457" s="23"/>
      <c r="S457" s="23"/>
      <c r="T457" s="23"/>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row>
    <row r="458" spans="1:50" x14ac:dyDescent="0.35">
      <c r="A458" s="23"/>
      <c r="B458" s="23"/>
      <c r="C458" s="23"/>
      <c r="D458" s="23"/>
      <c r="E458" s="23"/>
      <c r="F458" s="23"/>
      <c r="G458" s="23"/>
      <c r="H458" s="23"/>
      <c r="I458" s="23"/>
      <c r="J458" s="23"/>
      <c r="K458" s="23"/>
      <c r="L458" s="23"/>
      <c r="M458" s="23"/>
      <c r="N458" s="23"/>
      <c r="O458" s="23"/>
      <c r="P458" s="23"/>
      <c r="Q458" s="23"/>
      <c r="R458" s="23"/>
      <c r="S458" s="23"/>
      <c r="T458" s="23"/>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row>
    <row r="459" spans="1:50" x14ac:dyDescent="0.35">
      <c r="A459" s="23"/>
      <c r="B459" s="23"/>
      <c r="C459" s="23"/>
      <c r="D459" s="23"/>
      <c r="E459" s="23"/>
      <c r="F459" s="23"/>
      <c r="G459" s="23"/>
      <c r="H459" s="23"/>
      <c r="I459" s="23"/>
      <c r="J459" s="23"/>
      <c r="K459" s="23"/>
      <c r="L459" s="23"/>
      <c r="M459" s="23"/>
      <c r="N459" s="23"/>
      <c r="O459" s="23"/>
      <c r="P459" s="23"/>
      <c r="Q459" s="23"/>
      <c r="R459" s="23"/>
      <c r="S459" s="23"/>
      <c r="T459" s="23"/>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row>
    <row r="460" spans="1:50" x14ac:dyDescent="0.35">
      <c r="A460" s="23"/>
      <c r="B460" s="23"/>
      <c r="C460" s="23"/>
      <c r="D460" s="23"/>
      <c r="E460" s="23"/>
      <c r="F460" s="23"/>
      <c r="G460" s="23"/>
      <c r="H460" s="23"/>
      <c r="I460" s="23"/>
      <c r="J460" s="23"/>
      <c r="K460" s="23"/>
      <c r="L460" s="23"/>
      <c r="M460" s="23"/>
      <c r="N460" s="23"/>
      <c r="O460" s="23"/>
      <c r="P460" s="23"/>
      <c r="Q460" s="23"/>
      <c r="R460" s="23"/>
      <c r="S460" s="23"/>
      <c r="T460" s="23"/>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row>
    <row r="461" spans="1:50" x14ac:dyDescent="0.35">
      <c r="A461" s="23"/>
      <c r="B461" s="23"/>
      <c r="C461" s="23"/>
      <c r="D461" s="23"/>
      <c r="E461" s="23"/>
      <c r="F461" s="23"/>
      <c r="G461" s="23"/>
      <c r="H461" s="23"/>
      <c r="I461" s="23"/>
      <c r="J461" s="23"/>
      <c r="K461" s="23"/>
      <c r="L461" s="23"/>
      <c r="M461" s="23"/>
      <c r="N461" s="23"/>
      <c r="O461" s="23"/>
      <c r="P461" s="23"/>
      <c r="Q461" s="23"/>
      <c r="R461" s="23"/>
      <c r="S461" s="23"/>
      <c r="T461" s="23"/>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row>
    <row r="462" spans="1:50" x14ac:dyDescent="0.35">
      <c r="A462" s="23"/>
      <c r="B462" s="23"/>
      <c r="C462" s="23"/>
      <c r="D462" s="23"/>
      <c r="E462" s="23"/>
      <c r="F462" s="23"/>
      <c r="G462" s="23"/>
      <c r="H462" s="23"/>
      <c r="I462" s="23"/>
      <c r="J462" s="23"/>
      <c r="K462" s="23"/>
      <c r="L462" s="23"/>
      <c r="M462" s="23"/>
      <c r="N462" s="23"/>
      <c r="O462" s="23"/>
      <c r="P462" s="23"/>
      <c r="Q462" s="23"/>
      <c r="R462" s="23"/>
      <c r="S462" s="23"/>
      <c r="T462" s="23"/>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row>
    <row r="463" spans="1:50" x14ac:dyDescent="0.35">
      <c r="A463" s="23"/>
      <c r="B463" s="23"/>
      <c r="C463" s="23"/>
      <c r="D463" s="23"/>
      <c r="E463" s="23"/>
      <c r="F463" s="23"/>
      <c r="G463" s="23"/>
      <c r="H463" s="23"/>
      <c r="I463" s="23"/>
      <c r="J463" s="23"/>
      <c r="K463" s="23"/>
      <c r="L463" s="23"/>
      <c r="M463" s="23"/>
      <c r="N463" s="23"/>
      <c r="O463" s="23"/>
      <c r="P463" s="23"/>
      <c r="Q463" s="23"/>
      <c r="R463" s="23"/>
      <c r="S463" s="23"/>
      <c r="T463" s="23"/>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row>
    <row r="464" spans="1:50" x14ac:dyDescent="0.35">
      <c r="A464" s="23"/>
      <c r="B464" s="23"/>
      <c r="C464" s="23"/>
      <c r="D464" s="23"/>
      <c r="E464" s="23"/>
      <c r="F464" s="23"/>
      <c r="G464" s="23"/>
      <c r="H464" s="23"/>
      <c r="I464" s="23"/>
      <c r="J464" s="23"/>
      <c r="K464" s="23"/>
      <c r="L464" s="23"/>
      <c r="M464" s="23"/>
      <c r="N464" s="23"/>
      <c r="O464" s="23"/>
      <c r="P464" s="23"/>
      <c r="Q464" s="23"/>
      <c r="R464" s="23"/>
      <c r="S464" s="23"/>
      <c r="T464" s="23"/>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row>
    <row r="465" spans="1:50" x14ac:dyDescent="0.35">
      <c r="A465" s="23"/>
      <c r="B465" s="23"/>
      <c r="C465" s="23"/>
      <c r="D465" s="23"/>
      <c r="E465" s="23"/>
      <c r="F465" s="23"/>
      <c r="G465" s="23"/>
      <c r="H465" s="23"/>
      <c r="I465" s="23"/>
      <c r="J465" s="23"/>
      <c r="K465" s="23"/>
      <c r="L465" s="23"/>
      <c r="M465" s="23"/>
      <c r="N465" s="23"/>
      <c r="O465" s="23"/>
      <c r="P465" s="23"/>
      <c r="Q465" s="23"/>
      <c r="R465" s="23"/>
      <c r="S465" s="23"/>
      <c r="T465" s="23"/>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row>
    <row r="466" spans="1:50" x14ac:dyDescent="0.35">
      <c r="A466" s="23"/>
      <c r="B466" s="23"/>
      <c r="C466" s="23"/>
      <c r="D466" s="23"/>
      <c r="E466" s="23"/>
      <c r="F466" s="23"/>
      <c r="G466" s="23"/>
      <c r="H466" s="23"/>
      <c r="I466" s="23"/>
      <c r="J466" s="23"/>
      <c r="K466" s="23"/>
      <c r="L466" s="23"/>
      <c r="M466" s="23"/>
      <c r="N466" s="23"/>
      <c r="O466" s="23"/>
      <c r="P466" s="23"/>
      <c r="Q466" s="23"/>
      <c r="R466" s="23"/>
      <c r="S466" s="23"/>
      <c r="T466" s="23"/>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row>
    <row r="467" spans="1:50" x14ac:dyDescent="0.35">
      <c r="A467" s="23"/>
      <c r="B467" s="23"/>
      <c r="C467" s="23"/>
      <c r="D467" s="23"/>
      <c r="E467" s="23"/>
      <c r="F467" s="23"/>
      <c r="G467" s="23"/>
      <c r="H467" s="23"/>
      <c r="I467" s="23"/>
      <c r="J467" s="23"/>
      <c r="K467" s="23"/>
      <c r="L467" s="23"/>
      <c r="M467" s="23"/>
      <c r="N467" s="23"/>
      <c r="O467" s="23"/>
      <c r="P467" s="23"/>
      <c r="Q467" s="23"/>
      <c r="R467" s="23"/>
      <c r="S467" s="23"/>
      <c r="T467" s="23"/>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row>
    <row r="468" spans="1:50" x14ac:dyDescent="0.35">
      <c r="A468" s="23"/>
      <c r="B468" s="23"/>
      <c r="C468" s="23"/>
      <c r="D468" s="23"/>
      <c r="E468" s="23"/>
      <c r="F468" s="23"/>
      <c r="G468" s="23"/>
      <c r="H468" s="23"/>
      <c r="I468" s="23"/>
      <c r="J468" s="23"/>
      <c r="K468" s="23"/>
      <c r="L468" s="23"/>
      <c r="M468" s="23"/>
      <c r="N468" s="23"/>
      <c r="O468" s="23"/>
      <c r="P468" s="23"/>
      <c r="Q468" s="23"/>
      <c r="R468" s="23"/>
      <c r="S468" s="23"/>
      <c r="T468" s="23"/>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row>
    <row r="469" spans="1:50" x14ac:dyDescent="0.35">
      <c r="A469" s="23"/>
      <c r="B469" s="23"/>
      <c r="C469" s="23"/>
      <c r="D469" s="23"/>
      <c r="E469" s="23"/>
      <c r="F469" s="23"/>
      <c r="G469" s="23"/>
      <c r="H469" s="23"/>
      <c r="I469" s="23"/>
      <c r="J469" s="23"/>
      <c r="K469" s="23"/>
      <c r="L469" s="23"/>
      <c r="M469" s="23"/>
      <c r="N469" s="23"/>
      <c r="O469" s="23"/>
      <c r="P469" s="23"/>
      <c r="Q469" s="23"/>
      <c r="R469" s="23"/>
      <c r="S469" s="23"/>
      <c r="T469" s="23"/>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row>
    <row r="470" spans="1:50" x14ac:dyDescent="0.35">
      <c r="A470" s="23"/>
      <c r="B470" s="23"/>
      <c r="C470" s="23"/>
      <c r="D470" s="23"/>
      <c r="E470" s="23"/>
      <c r="F470" s="23"/>
      <c r="G470" s="23"/>
      <c r="H470" s="23"/>
      <c r="I470" s="23"/>
      <c r="J470" s="23"/>
      <c r="K470" s="23"/>
      <c r="L470" s="23"/>
      <c r="M470" s="23"/>
      <c r="N470" s="23"/>
      <c r="O470" s="23"/>
      <c r="P470" s="23"/>
      <c r="Q470" s="23"/>
      <c r="R470" s="23"/>
      <c r="S470" s="23"/>
      <c r="T470" s="23"/>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row>
    <row r="471" spans="1:50" x14ac:dyDescent="0.35">
      <c r="A471" s="23"/>
      <c r="B471" s="23"/>
      <c r="C471" s="23"/>
      <c r="D471" s="23"/>
      <c r="E471" s="23"/>
      <c r="F471" s="23"/>
      <c r="G471" s="23"/>
      <c r="H471" s="23"/>
      <c r="I471" s="23"/>
      <c r="J471" s="23"/>
      <c r="K471" s="23"/>
      <c r="L471" s="23"/>
      <c r="M471" s="23"/>
      <c r="N471" s="23"/>
      <c r="O471" s="23"/>
      <c r="P471" s="23"/>
      <c r="Q471" s="23"/>
      <c r="R471" s="23"/>
      <c r="S471" s="23"/>
      <c r="T471" s="23"/>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row>
    <row r="472" spans="1:50" x14ac:dyDescent="0.35">
      <c r="A472" s="23"/>
      <c r="B472" s="23"/>
      <c r="C472" s="23"/>
      <c r="D472" s="23"/>
      <c r="E472" s="23"/>
      <c r="F472" s="23"/>
      <c r="G472" s="23"/>
      <c r="H472" s="23"/>
      <c r="I472" s="23"/>
      <c r="J472" s="23"/>
      <c r="K472" s="23"/>
      <c r="L472" s="23"/>
      <c r="M472" s="23"/>
      <c r="N472" s="23"/>
      <c r="O472" s="23"/>
      <c r="P472" s="23"/>
      <c r="Q472" s="23"/>
      <c r="R472" s="23"/>
      <c r="S472" s="23"/>
      <c r="T472" s="23"/>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row>
    <row r="473" spans="1:50" x14ac:dyDescent="0.35">
      <c r="A473" s="23"/>
      <c r="B473" s="23"/>
      <c r="C473" s="23"/>
      <c r="D473" s="23"/>
      <c r="E473" s="23"/>
      <c r="F473" s="23"/>
      <c r="G473" s="23"/>
      <c r="H473" s="23"/>
      <c r="I473" s="23"/>
      <c r="J473" s="23"/>
      <c r="K473" s="23"/>
      <c r="L473" s="23"/>
      <c r="M473" s="23"/>
      <c r="N473" s="23"/>
      <c r="O473" s="23"/>
      <c r="P473" s="23"/>
      <c r="Q473" s="23"/>
      <c r="R473" s="23"/>
      <c r="S473" s="23"/>
      <c r="T473" s="23"/>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row>
    <row r="474" spans="1:50" x14ac:dyDescent="0.35">
      <c r="A474" s="23"/>
      <c r="B474" s="23"/>
      <c r="C474" s="23"/>
      <c r="D474" s="23"/>
      <c r="E474" s="23"/>
      <c r="F474" s="23"/>
      <c r="G474" s="23"/>
      <c r="H474" s="23"/>
      <c r="I474" s="23"/>
      <c r="J474" s="23"/>
      <c r="K474" s="23"/>
      <c r="L474" s="23"/>
      <c r="M474" s="23"/>
      <c r="N474" s="23"/>
      <c r="O474" s="23"/>
      <c r="P474" s="23"/>
      <c r="Q474" s="23"/>
      <c r="R474" s="23"/>
      <c r="S474" s="23"/>
      <c r="T474" s="23"/>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row>
    <row r="475" spans="1:50" x14ac:dyDescent="0.35">
      <c r="A475" s="23"/>
      <c r="B475" s="23"/>
      <c r="C475" s="23"/>
      <c r="D475" s="23"/>
      <c r="E475" s="23"/>
      <c r="F475" s="23"/>
      <c r="G475" s="23"/>
      <c r="H475" s="23"/>
      <c r="I475" s="23"/>
      <c r="J475" s="23"/>
      <c r="K475" s="23"/>
      <c r="L475" s="23"/>
      <c r="M475" s="23"/>
      <c r="N475" s="23"/>
      <c r="O475" s="23"/>
      <c r="P475" s="23"/>
      <c r="Q475" s="23"/>
      <c r="R475" s="23"/>
      <c r="S475" s="23"/>
      <c r="T475" s="23"/>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row>
    <row r="476" spans="1:50" x14ac:dyDescent="0.35">
      <c r="A476" s="23"/>
      <c r="B476" s="23"/>
      <c r="C476" s="23"/>
      <c r="D476" s="23"/>
      <c r="E476" s="23"/>
      <c r="F476" s="23"/>
      <c r="G476" s="23"/>
      <c r="H476" s="23"/>
      <c r="I476" s="23"/>
      <c r="J476" s="23"/>
      <c r="K476" s="23"/>
      <c r="L476" s="23"/>
      <c r="M476" s="23"/>
      <c r="N476" s="23"/>
      <c r="O476" s="23"/>
      <c r="P476" s="23"/>
      <c r="Q476" s="23"/>
      <c r="R476" s="23"/>
      <c r="S476" s="23"/>
      <c r="T476" s="23"/>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row>
    <row r="477" spans="1:50" x14ac:dyDescent="0.35">
      <c r="A477" s="23"/>
      <c r="B477" s="23"/>
      <c r="C477" s="23"/>
      <c r="D477" s="23"/>
      <c r="E477" s="23"/>
      <c r="F477" s="23"/>
      <c r="G477" s="23"/>
      <c r="H477" s="23"/>
      <c r="I477" s="23"/>
      <c r="J477" s="23"/>
      <c r="K477" s="23"/>
      <c r="L477" s="23"/>
      <c r="M477" s="23"/>
      <c r="N477" s="23"/>
      <c r="O477" s="23"/>
      <c r="P477" s="23"/>
      <c r="Q477" s="23"/>
      <c r="R477" s="23"/>
      <c r="S477" s="23"/>
      <c r="T477" s="23"/>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row>
    <row r="478" spans="1:50" x14ac:dyDescent="0.35">
      <c r="A478" s="23"/>
      <c r="B478" s="23"/>
      <c r="C478" s="23"/>
      <c r="D478" s="23"/>
      <c r="E478" s="23"/>
      <c r="F478" s="23"/>
      <c r="G478" s="23"/>
      <c r="H478" s="23"/>
      <c r="I478" s="23"/>
      <c r="J478" s="23"/>
      <c r="K478" s="23"/>
      <c r="L478" s="23"/>
      <c r="M478" s="23"/>
      <c r="N478" s="23"/>
      <c r="O478" s="23"/>
      <c r="P478" s="23"/>
      <c r="Q478" s="23"/>
      <c r="R478" s="23"/>
      <c r="S478" s="23"/>
      <c r="T478" s="23"/>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row>
    <row r="479" spans="1:50" x14ac:dyDescent="0.35">
      <c r="A479" s="23"/>
      <c r="B479" s="23"/>
      <c r="C479" s="23"/>
      <c r="D479" s="23"/>
      <c r="E479" s="23"/>
      <c r="F479" s="23"/>
      <c r="G479" s="23"/>
      <c r="H479" s="23"/>
      <c r="I479" s="23"/>
      <c r="J479" s="23"/>
      <c r="K479" s="23"/>
      <c r="L479" s="23"/>
      <c r="M479" s="23"/>
      <c r="N479" s="23"/>
      <c r="O479" s="23"/>
      <c r="P479" s="23"/>
      <c r="Q479" s="23"/>
      <c r="R479" s="23"/>
      <c r="S479" s="23"/>
      <c r="T479" s="23"/>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row>
    <row r="480" spans="1:50" x14ac:dyDescent="0.35">
      <c r="A480" s="23"/>
      <c r="B480" s="23"/>
      <c r="C480" s="23"/>
      <c r="D480" s="23"/>
      <c r="E480" s="23"/>
      <c r="F480" s="23"/>
      <c r="G480" s="23"/>
      <c r="H480" s="23"/>
      <c r="I480" s="23"/>
      <c r="J480" s="23"/>
      <c r="K480" s="23"/>
      <c r="L480" s="23"/>
      <c r="M480" s="23"/>
      <c r="N480" s="23"/>
      <c r="O480" s="23"/>
      <c r="P480" s="23"/>
      <c r="Q480" s="23"/>
      <c r="R480" s="23"/>
      <c r="S480" s="23"/>
      <c r="T480" s="23"/>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row>
    <row r="481" spans="1:50" x14ac:dyDescent="0.35">
      <c r="A481" s="23"/>
      <c r="B481" s="23"/>
      <c r="C481" s="23"/>
      <c r="D481" s="23"/>
      <c r="E481" s="23"/>
      <c r="F481" s="23"/>
      <c r="G481" s="23"/>
      <c r="H481" s="23"/>
      <c r="I481" s="23"/>
      <c r="J481" s="23"/>
      <c r="K481" s="23"/>
      <c r="L481" s="23"/>
      <c r="M481" s="23"/>
      <c r="N481" s="23"/>
      <c r="O481" s="23"/>
      <c r="P481" s="23"/>
      <c r="Q481" s="23"/>
      <c r="R481" s="23"/>
      <c r="S481" s="23"/>
      <c r="T481" s="23"/>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row>
    <row r="482" spans="1:50" x14ac:dyDescent="0.35">
      <c r="A482" s="23"/>
      <c r="B482" s="23"/>
      <c r="C482" s="23"/>
      <c r="D482" s="23"/>
      <c r="E482" s="23"/>
      <c r="F482" s="23"/>
      <c r="G482" s="23"/>
      <c r="H482" s="23"/>
      <c r="I482" s="23"/>
      <c r="J482" s="23"/>
      <c r="K482" s="23"/>
      <c r="L482" s="23"/>
      <c r="M482" s="23"/>
      <c r="N482" s="23"/>
      <c r="O482" s="23"/>
      <c r="P482" s="23"/>
      <c r="Q482" s="23"/>
      <c r="R482" s="23"/>
      <c r="S482" s="23"/>
      <c r="T482" s="23"/>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row>
    <row r="483" spans="1:50" x14ac:dyDescent="0.35">
      <c r="A483" s="23"/>
      <c r="B483" s="23"/>
      <c r="C483" s="23"/>
      <c r="D483" s="23"/>
      <c r="E483" s="23"/>
      <c r="F483" s="23"/>
      <c r="G483" s="23"/>
      <c r="H483" s="23"/>
      <c r="I483" s="23"/>
      <c r="J483" s="23"/>
      <c r="K483" s="23"/>
      <c r="L483" s="23"/>
      <c r="M483" s="23"/>
      <c r="N483" s="23"/>
      <c r="O483" s="23"/>
      <c r="P483" s="23"/>
      <c r="Q483" s="23"/>
      <c r="R483" s="23"/>
      <c r="S483" s="23"/>
      <c r="T483" s="23"/>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row>
    <row r="484" spans="1:50" x14ac:dyDescent="0.35">
      <c r="A484" s="23"/>
      <c r="B484" s="23"/>
      <c r="C484" s="23"/>
      <c r="D484" s="23"/>
      <c r="E484" s="23"/>
      <c r="F484" s="23"/>
      <c r="G484" s="23"/>
      <c r="H484" s="23"/>
      <c r="I484" s="23"/>
      <c r="J484" s="23"/>
      <c r="K484" s="23"/>
      <c r="L484" s="23"/>
      <c r="M484" s="23"/>
      <c r="N484" s="23"/>
      <c r="O484" s="23"/>
      <c r="P484" s="23"/>
      <c r="Q484" s="23"/>
      <c r="R484" s="23"/>
      <c r="S484" s="23"/>
      <c r="T484" s="23"/>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row>
    <row r="485" spans="1:50" x14ac:dyDescent="0.35">
      <c r="A485" s="23"/>
      <c r="B485" s="23"/>
      <c r="C485" s="23"/>
      <c r="D485" s="23"/>
      <c r="E485" s="23"/>
      <c r="F485" s="23"/>
      <c r="G485" s="23"/>
      <c r="H485" s="23"/>
      <c r="I485" s="23"/>
      <c r="J485" s="23"/>
      <c r="K485" s="23"/>
      <c r="L485" s="23"/>
      <c r="M485" s="23"/>
      <c r="N485" s="23"/>
      <c r="O485" s="23"/>
      <c r="P485" s="23"/>
      <c r="Q485" s="23"/>
      <c r="R485" s="23"/>
      <c r="S485" s="23"/>
      <c r="T485" s="23"/>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row>
    <row r="486" spans="1:50" x14ac:dyDescent="0.35">
      <c r="A486" s="23"/>
      <c r="B486" s="23"/>
      <c r="C486" s="23"/>
      <c r="D486" s="23"/>
      <c r="E486" s="23"/>
      <c r="F486" s="23"/>
      <c r="G486" s="23"/>
      <c r="H486" s="23"/>
      <c r="I486" s="23"/>
      <c r="J486" s="23"/>
      <c r="K486" s="23"/>
      <c r="L486" s="23"/>
      <c r="M486" s="23"/>
      <c r="N486" s="23"/>
      <c r="O486" s="23"/>
      <c r="P486" s="23"/>
      <c r="Q486" s="23"/>
      <c r="R486" s="23"/>
      <c r="S486" s="23"/>
      <c r="T486" s="23"/>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row>
    <row r="487" spans="1:50" x14ac:dyDescent="0.35">
      <c r="A487" s="23"/>
      <c r="B487" s="23"/>
      <c r="C487" s="23"/>
      <c r="D487" s="23"/>
      <c r="E487" s="23"/>
      <c r="F487" s="23"/>
      <c r="G487" s="23"/>
      <c r="H487" s="23"/>
      <c r="I487" s="23"/>
      <c r="J487" s="23"/>
      <c r="K487" s="23"/>
      <c r="L487" s="23"/>
      <c r="M487" s="23"/>
      <c r="N487" s="23"/>
      <c r="O487" s="23"/>
      <c r="P487" s="23"/>
      <c r="Q487" s="23"/>
      <c r="R487" s="23"/>
      <c r="S487" s="23"/>
      <c r="T487" s="23"/>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row>
    <row r="488" spans="1:50" x14ac:dyDescent="0.35">
      <c r="A488" s="23"/>
      <c r="B488" s="23"/>
      <c r="C488" s="23"/>
      <c r="D488" s="23"/>
      <c r="E488" s="23"/>
      <c r="F488" s="23"/>
      <c r="G488" s="23"/>
      <c r="H488" s="23"/>
      <c r="I488" s="23"/>
      <c r="J488" s="23"/>
      <c r="K488" s="23"/>
      <c r="L488" s="23"/>
      <c r="M488" s="23"/>
      <c r="N488" s="23"/>
      <c r="O488" s="23"/>
      <c r="P488" s="23"/>
      <c r="Q488" s="23"/>
      <c r="R488" s="23"/>
      <c r="S488" s="23"/>
      <c r="T488" s="23"/>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row>
    <row r="489" spans="1:50" x14ac:dyDescent="0.35">
      <c r="A489" s="23"/>
      <c r="B489" s="23"/>
      <c r="C489" s="23"/>
      <c r="D489" s="23"/>
      <c r="E489" s="23"/>
      <c r="F489" s="23"/>
      <c r="G489" s="23"/>
      <c r="H489" s="23"/>
      <c r="I489" s="23"/>
      <c r="J489" s="23"/>
      <c r="K489" s="23"/>
      <c r="L489" s="23"/>
      <c r="M489" s="23"/>
      <c r="N489" s="23"/>
      <c r="O489" s="23"/>
      <c r="P489" s="23"/>
      <c r="Q489" s="23"/>
      <c r="R489" s="23"/>
      <c r="S489" s="23"/>
      <c r="T489" s="23"/>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row>
    <row r="490" spans="1:50" x14ac:dyDescent="0.35">
      <c r="A490" s="23"/>
      <c r="B490" s="23"/>
      <c r="C490" s="23"/>
      <c r="D490" s="23"/>
      <c r="E490" s="23"/>
      <c r="F490" s="23"/>
      <c r="G490" s="23"/>
      <c r="H490" s="23"/>
      <c r="I490" s="23"/>
      <c r="J490" s="23"/>
      <c r="K490" s="23"/>
      <c r="L490" s="23"/>
      <c r="M490" s="23"/>
      <c r="N490" s="23"/>
      <c r="O490" s="23"/>
      <c r="P490" s="23"/>
      <c r="Q490" s="23"/>
      <c r="R490" s="23"/>
      <c r="S490" s="23"/>
      <c r="T490" s="23"/>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row>
    <row r="491" spans="1:50" x14ac:dyDescent="0.35">
      <c r="A491" s="23"/>
      <c r="B491" s="23"/>
      <c r="C491" s="23"/>
      <c r="D491" s="23"/>
      <c r="E491" s="23"/>
      <c r="F491" s="23"/>
      <c r="G491" s="23"/>
      <c r="H491" s="23"/>
      <c r="I491" s="23"/>
      <c r="J491" s="23"/>
      <c r="K491" s="23"/>
      <c r="L491" s="23"/>
      <c r="M491" s="23"/>
      <c r="N491" s="23"/>
      <c r="O491" s="23"/>
      <c r="P491" s="23"/>
      <c r="Q491" s="23"/>
      <c r="R491" s="23"/>
      <c r="S491" s="23"/>
      <c r="T491" s="23"/>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row>
    <row r="492" spans="1:50" x14ac:dyDescent="0.35">
      <c r="A492" s="23"/>
      <c r="B492" s="23"/>
      <c r="C492" s="23"/>
      <c r="D492" s="23"/>
      <c r="E492" s="23"/>
      <c r="F492" s="23"/>
      <c r="G492" s="23"/>
      <c r="H492" s="23"/>
      <c r="I492" s="23"/>
      <c r="J492" s="23"/>
      <c r="K492" s="23"/>
      <c r="L492" s="23"/>
      <c r="M492" s="23"/>
      <c r="N492" s="23"/>
      <c r="O492" s="23"/>
      <c r="P492" s="23"/>
      <c r="Q492" s="23"/>
      <c r="R492" s="23"/>
      <c r="S492" s="23"/>
      <c r="T492" s="23"/>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row>
    <row r="493" spans="1:50" x14ac:dyDescent="0.35">
      <c r="A493" s="23"/>
      <c r="B493" s="23"/>
      <c r="C493" s="23"/>
      <c r="D493" s="23"/>
      <c r="E493" s="23"/>
      <c r="F493" s="23"/>
      <c r="G493" s="23"/>
      <c r="H493" s="23"/>
      <c r="I493" s="23"/>
      <c r="J493" s="23"/>
      <c r="K493" s="23"/>
      <c r="L493" s="23"/>
      <c r="M493" s="23"/>
      <c r="N493" s="23"/>
      <c r="O493" s="23"/>
      <c r="P493" s="23"/>
      <c r="Q493" s="23"/>
      <c r="R493" s="23"/>
      <c r="S493" s="23"/>
      <c r="T493" s="23"/>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row>
    <row r="494" spans="1:50" x14ac:dyDescent="0.35">
      <c r="A494" s="23"/>
      <c r="B494" s="23"/>
      <c r="C494" s="23"/>
      <c r="D494" s="23"/>
      <c r="E494" s="23"/>
      <c r="F494" s="23"/>
      <c r="G494" s="23"/>
      <c r="H494" s="23"/>
      <c r="I494" s="23"/>
      <c r="J494" s="23"/>
      <c r="K494" s="23"/>
      <c r="L494" s="23"/>
      <c r="M494" s="23"/>
      <c r="N494" s="23"/>
      <c r="O494" s="23"/>
      <c r="P494" s="23"/>
      <c r="Q494" s="23"/>
      <c r="R494" s="23"/>
      <c r="S494" s="23"/>
      <c r="T494" s="23"/>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row>
    <row r="495" spans="1:50" x14ac:dyDescent="0.35">
      <c r="A495" s="23"/>
      <c r="B495" s="23"/>
      <c r="C495" s="23"/>
      <c r="D495" s="23"/>
      <c r="E495" s="23"/>
      <c r="F495" s="23"/>
      <c r="G495" s="23"/>
      <c r="H495" s="23"/>
      <c r="I495" s="23"/>
      <c r="J495" s="23"/>
      <c r="K495" s="23"/>
      <c r="L495" s="23"/>
      <c r="M495" s="23"/>
      <c r="N495" s="23"/>
      <c r="O495" s="23"/>
      <c r="P495" s="23"/>
      <c r="Q495" s="23"/>
      <c r="R495" s="23"/>
      <c r="S495" s="23"/>
      <c r="T495" s="23"/>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row>
    <row r="496" spans="1:50" x14ac:dyDescent="0.35">
      <c r="A496" s="23"/>
      <c r="B496" s="23"/>
      <c r="C496" s="23"/>
      <c r="D496" s="23"/>
      <c r="E496" s="23"/>
      <c r="F496" s="23"/>
      <c r="G496" s="23"/>
      <c r="H496" s="23"/>
      <c r="I496" s="23"/>
      <c r="J496" s="23"/>
      <c r="K496" s="23"/>
      <c r="L496" s="23"/>
      <c r="M496" s="23"/>
      <c r="N496" s="23"/>
      <c r="O496" s="23"/>
      <c r="P496" s="23"/>
      <c r="Q496" s="23"/>
      <c r="R496" s="23"/>
      <c r="S496" s="23"/>
      <c r="T496" s="23"/>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row>
    <row r="497" spans="1:50" x14ac:dyDescent="0.35">
      <c r="A497" s="23"/>
      <c r="B497" s="23"/>
      <c r="C497" s="23"/>
      <c r="D497" s="23"/>
      <c r="E497" s="23"/>
      <c r="F497" s="23"/>
      <c r="G497" s="23"/>
      <c r="H497" s="23"/>
      <c r="I497" s="23"/>
      <c r="J497" s="23"/>
      <c r="K497" s="23"/>
      <c r="L497" s="23"/>
      <c r="M497" s="23"/>
      <c r="N497" s="23"/>
      <c r="O497" s="23"/>
      <c r="P497" s="23"/>
      <c r="Q497" s="23"/>
      <c r="R497" s="23"/>
      <c r="S497" s="23"/>
      <c r="T497" s="23"/>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row>
    <row r="498" spans="1:50" x14ac:dyDescent="0.35">
      <c r="A498" s="23"/>
      <c r="B498" s="23"/>
      <c r="C498" s="23"/>
      <c r="D498" s="23"/>
      <c r="E498" s="23"/>
      <c r="F498" s="23"/>
      <c r="G498" s="23"/>
      <c r="H498" s="23"/>
      <c r="I498" s="23"/>
      <c r="J498" s="23"/>
      <c r="K498" s="23"/>
      <c r="L498" s="23"/>
      <c r="M498" s="23"/>
      <c r="N498" s="23"/>
      <c r="O498" s="23"/>
      <c r="P498" s="23"/>
      <c r="Q498" s="23"/>
      <c r="R498" s="23"/>
      <c r="S498" s="23"/>
      <c r="T498" s="23"/>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row>
    <row r="499" spans="1:50" x14ac:dyDescent="0.35">
      <c r="A499" s="23"/>
      <c r="B499" s="23"/>
      <c r="C499" s="23"/>
      <c r="D499" s="23"/>
      <c r="E499" s="23"/>
      <c r="F499" s="23"/>
      <c r="G499" s="23"/>
      <c r="H499" s="23"/>
      <c r="I499" s="23"/>
      <c r="J499" s="23"/>
      <c r="K499" s="23"/>
      <c r="L499" s="23"/>
      <c r="M499" s="23"/>
      <c r="N499" s="23"/>
      <c r="O499" s="23"/>
      <c r="P499" s="23"/>
      <c r="Q499" s="23"/>
      <c r="R499" s="23"/>
      <c r="S499" s="23"/>
      <c r="T499" s="23"/>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row>
    <row r="500" spans="1:50" x14ac:dyDescent="0.35">
      <c r="A500" s="23"/>
      <c r="B500" s="23"/>
      <c r="C500" s="23"/>
      <c r="D500" s="23"/>
      <c r="E500" s="23"/>
      <c r="F500" s="23"/>
      <c r="G500" s="23"/>
      <c r="H500" s="23"/>
      <c r="I500" s="23"/>
      <c r="J500" s="23"/>
      <c r="K500" s="23"/>
      <c r="L500" s="23"/>
      <c r="M500" s="23"/>
      <c r="N500" s="23"/>
      <c r="O500" s="23"/>
      <c r="P500" s="23"/>
      <c r="Q500" s="23"/>
      <c r="R500" s="23"/>
      <c r="S500" s="23"/>
      <c r="T500" s="23"/>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row>
    <row r="501" spans="1:50" x14ac:dyDescent="0.35">
      <c r="A501" s="23"/>
      <c r="B501" s="23"/>
      <c r="C501" s="23"/>
      <c r="D501" s="23"/>
      <c r="E501" s="23"/>
      <c r="F501" s="23"/>
      <c r="G501" s="23"/>
      <c r="H501" s="23"/>
      <c r="I501" s="23"/>
      <c r="J501" s="23"/>
      <c r="K501" s="23"/>
      <c r="L501" s="23"/>
      <c r="M501" s="23"/>
      <c r="N501" s="23"/>
      <c r="O501" s="23"/>
      <c r="P501" s="23"/>
      <c r="Q501" s="23"/>
      <c r="R501" s="23"/>
      <c r="S501" s="23"/>
      <c r="T501" s="23"/>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row>
    <row r="502" spans="1:50" x14ac:dyDescent="0.35">
      <c r="A502" s="23"/>
      <c r="B502" s="23"/>
      <c r="C502" s="23"/>
      <c r="D502" s="23"/>
      <c r="E502" s="23"/>
      <c r="F502" s="23"/>
      <c r="G502" s="23"/>
      <c r="H502" s="23"/>
      <c r="I502" s="23"/>
      <c r="J502" s="23"/>
      <c r="K502" s="23"/>
      <c r="L502" s="23"/>
      <c r="M502" s="23"/>
      <c r="N502" s="23"/>
      <c r="O502" s="23"/>
      <c r="P502" s="23"/>
      <c r="Q502" s="23"/>
      <c r="R502" s="23"/>
      <c r="S502" s="23"/>
      <c r="T502" s="23"/>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row>
    <row r="503" spans="1:50" x14ac:dyDescent="0.35">
      <c r="A503" s="23"/>
      <c r="B503" s="23"/>
      <c r="C503" s="23"/>
      <c r="D503" s="23"/>
      <c r="E503" s="23"/>
      <c r="F503" s="23"/>
      <c r="G503" s="23"/>
      <c r="H503" s="23"/>
      <c r="I503" s="23"/>
      <c r="J503" s="23"/>
      <c r="K503" s="23"/>
      <c r="L503" s="23"/>
      <c r="M503" s="23"/>
      <c r="N503" s="23"/>
      <c r="O503" s="23"/>
      <c r="P503" s="23"/>
      <c r="Q503" s="23"/>
      <c r="R503" s="23"/>
      <c r="S503" s="23"/>
      <c r="T503" s="23"/>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row>
    <row r="504" spans="1:50" x14ac:dyDescent="0.35">
      <c r="A504" s="23"/>
      <c r="B504" s="23"/>
      <c r="C504" s="23"/>
      <c r="D504" s="23"/>
      <c r="E504" s="23"/>
      <c r="F504" s="23"/>
      <c r="G504" s="23"/>
      <c r="H504" s="23"/>
      <c r="I504" s="23"/>
      <c r="J504" s="23"/>
      <c r="K504" s="23"/>
      <c r="L504" s="23"/>
      <c r="M504" s="23"/>
      <c r="N504" s="23"/>
      <c r="O504" s="23"/>
      <c r="P504" s="23"/>
      <c r="Q504" s="23"/>
      <c r="R504" s="23"/>
      <c r="S504" s="23"/>
      <c r="T504" s="23"/>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row>
    <row r="505" spans="1:50" x14ac:dyDescent="0.35">
      <c r="A505" s="23"/>
      <c r="B505" s="23"/>
      <c r="C505" s="23"/>
      <c r="D505" s="23"/>
      <c r="E505" s="23"/>
      <c r="F505" s="23"/>
      <c r="G505" s="23"/>
      <c r="H505" s="23"/>
      <c r="I505" s="23"/>
      <c r="J505" s="23"/>
      <c r="K505" s="23"/>
      <c r="L505" s="23"/>
      <c r="M505" s="23"/>
      <c r="N505" s="23"/>
      <c r="O505" s="23"/>
      <c r="P505" s="23"/>
      <c r="Q505" s="23"/>
      <c r="R505" s="23"/>
      <c r="S505" s="23"/>
      <c r="T505" s="23"/>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row>
    <row r="506" spans="1:50" x14ac:dyDescent="0.35">
      <c r="A506" s="23"/>
      <c r="B506" s="23"/>
      <c r="C506" s="23"/>
      <c r="D506" s="23"/>
      <c r="E506" s="23"/>
      <c r="F506" s="23"/>
      <c r="G506" s="23"/>
      <c r="H506" s="23"/>
      <c r="I506" s="23"/>
      <c r="J506" s="23"/>
      <c r="K506" s="23"/>
      <c r="L506" s="23"/>
      <c r="M506" s="23"/>
      <c r="N506" s="23"/>
      <c r="O506" s="23"/>
      <c r="P506" s="23"/>
      <c r="Q506" s="23"/>
      <c r="R506" s="23"/>
      <c r="S506" s="23"/>
      <c r="T506" s="23"/>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row>
    <row r="507" spans="1:50" x14ac:dyDescent="0.35">
      <c r="A507" s="23"/>
      <c r="B507" s="23"/>
      <c r="C507" s="23"/>
      <c r="D507" s="23"/>
      <c r="E507" s="23"/>
      <c r="F507" s="23"/>
      <c r="G507" s="23"/>
      <c r="H507" s="23"/>
      <c r="I507" s="23"/>
      <c r="J507" s="23"/>
      <c r="K507" s="23"/>
      <c r="L507" s="23"/>
      <c r="M507" s="23"/>
      <c r="N507" s="23"/>
      <c r="O507" s="23"/>
      <c r="P507" s="23"/>
      <c r="Q507" s="23"/>
      <c r="R507" s="23"/>
      <c r="S507" s="23"/>
      <c r="T507" s="23"/>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row>
    <row r="508" spans="1:50" x14ac:dyDescent="0.35">
      <c r="A508" s="23"/>
      <c r="B508" s="23"/>
      <c r="C508" s="23"/>
      <c r="D508" s="23"/>
      <c r="E508" s="23"/>
      <c r="F508" s="23"/>
      <c r="G508" s="23"/>
      <c r="H508" s="23"/>
      <c r="I508" s="23"/>
      <c r="J508" s="23"/>
      <c r="K508" s="23"/>
      <c r="L508" s="23"/>
      <c r="M508" s="23"/>
      <c r="N508" s="23"/>
      <c r="O508" s="23"/>
      <c r="P508" s="23"/>
      <c r="Q508" s="23"/>
      <c r="R508" s="23"/>
      <c r="S508" s="23"/>
      <c r="T508" s="23"/>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row>
    <row r="509" spans="1:50" x14ac:dyDescent="0.35">
      <c r="A509" s="23"/>
      <c r="B509" s="23"/>
      <c r="C509" s="23"/>
      <c r="D509" s="23"/>
      <c r="E509" s="23"/>
      <c r="F509" s="23"/>
      <c r="G509" s="23"/>
      <c r="H509" s="23"/>
      <c r="I509" s="23"/>
      <c r="J509" s="23"/>
      <c r="K509" s="23"/>
      <c r="L509" s="23"/>
      <c r="M509" s="23"/>
      <c r="N509" s="23"/>
      <c r="O509" s="23"/>
      <c r="P509" s="23"/>
      <c r="Q509" s="23"/>
      <c r="R509" s="23"/>
      <c r="S509" s="23"/>
      <c r="T509" s="23"/>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row>
    <row r="510" spans="1:50" x14ac:dyDescent="0.35">
      <c r="A510" s="23"/>
      <c r="B510" s="23"/>
      <c r="C510" s="23"/>
      <c r="D510" s="23"/>
      <c r="E510" s="23"/>
      <c r="F510" s="23"/>
      <c r="G510" s="23"/>
      <c r="H510" s="23"/>
      <c r="I510" s="23"/>
      <c r="J510" s="23"/>
      <c r="K510" s="23"/>
      <c r="L510" s="23"/>
      <c r="M510" s="23"/>
      <c r="N510" s="23"/>
      <c r="O510" s="23"/>
      <c r="P510" s="23"/>
      <c r="Q510" s="23"/>
      <c r="R510" s="23"/>
      <c r="S510" s="23"/>
      <c r="T510" s="23"/>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row>
    <row r="511" spans="1:50" x14ac:dyDescent="0.35">
      <c r="A511" s="23"/>
      <c r="B511" s="23"/>
      <c r="C511" s="23"/>
      <c r="D511" s="23"/>
      <c r="E511" s="23"/>
      <c r="F511" s="23"/>
      <c r="G511" s="23"/>
      <c r="H511" s="23"/>
      <c r="I511" s="23"/>
      <c r="J511" s="23"/>
      <c r="K511" s="23"/>
      <c r="L511" s="23"/>
      <c r="M511" s="23"/>
      <c r="N511" s="23"/>
      <c r="O511" s="23"/>
      <c r="P511" s="23"/>
      <c r="Q511" s="23"/>
      <c r="R511" s="23"/>
      <c r="S511" s="23"/>
      <c r="T511" s="23"/>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row>
    <row r="512" spans="1:50" x14ac:dyDescent="0.35">
      <c r="A512" s="23"/>
      <c r="B512" s="23"/>
      <c r="C512" s="23"/>
      <c r="D512" s="23"/>
      <c r="E512" s="23"/>
      <c r="F512" s="23"/>
      <c r="G512" s="23"/>
      <c r="H512" s="23"/>
      <c r="I512" s="23"/>
      <c r="J512" s="23"/>
      <c r="K512" s="23"/>
      <c r="L512" s="23"/>
      <c r="M512" s="23"/>
      <c r="N512" s="23"/>
      <c r="O512" s="23"/>
      <c r="P512" s="23"/>
      <c r="Q512" s="23"/>
      <c r="R512" s="23"/>
      <c r="S512" s="23"/>
      <c r="T512" s="23"/>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row>
    <row r="513" spans="1:50" x14ac:dyDescent="0.35">
      <c r="A513" s="23"/>
      <c r="B513" s="23"/>
      <c r="C513" s="23"/>
      <c r="D513" s="23"/>
      <c r="E513" s="23"/>
      <c r="F513" s="23"/>
      <c r="G513" s="23"/>
      <c r="H513" s="23"/>
      <c r="I513" s="23"/>
      <c r="J513" s="23"/>
      <c r="K513" s="23"/>
      <c r="L513" s="23"/>
      <c r="M513" s="23"/>
      <c r="N513" s="23"/>
      <c r="O513" s="23"/>
      <c r="P513" s="23"/>
      <c r="Q513" s="23"/>
      <c r="R513" s="23"/>
      <c r="S513" s="23"/>
      <c r="T513" s="23"/>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row>
    <row r="514" spans="1:50" x14ac:dyDescent="0.35">
      <c r="A514" s="23"/>
      <c r="B514" s="23"/>
      <c r="C514" s="23"/>
      <c r="D514" s="23"/>
      <c r="E514" s="23"/>
      <c r="F514" s="23"/>
      <c r="G514" s="23"/>
      <c r="H514" s="23"/>
      <c r="I514" s="23"/>
      <c r="J514" s="23"/>
      <c r="K514" s="23"/>
      <c r="L514" s="23"/>
      <c r="M514" s="23"/>
      <c r="N514" s="23"/>
      <c r="O514" s="23"/>
      <c r="P514" s="23"/>
      <c r="Q514" s="23"/>
      <c r="R514" s="23"/>
      <c r="S514" s="23"/>
      <c r="T514" s="23"/>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row>
    <row r="515" spans="1:50" x14ac:dyDescent="0.35">
      <c r="A515" s="23"/>
      <c r="B515" s="23"/>
      <c r="C515" s="23"/>
      <c r="D515" s="23"/>
      <c r="E515" s="23"/>
      <c r="F515" s="23"/>
      <c r="G515" s="23"/>
      <c r="H515" s="23"/>
      <c r="I515" s="23"/>
      <c r="J515" s="23"/>
      <c r="K515" s="23"/>
      <c r="L515" s="23"/>
      <c r="M515" s="23"/>
      <c r="N515" s="23"/>
      <c r="O515" s="23"/>
      <c r="P515" s="23"/>
      <c r="Q515" s="23"/>
      <c r="R515" s="23"/>
      <c r="S515" s="23"/>
      <c r="T515" s="23"/>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row>
    <row r="516" spans="1:50" x14ac:dyDescent="0.35">
      <c r="A516" s="23"/>
      <c r="B516" s="23"/>
      <c r="C516" s="23"/>
      <c r="D516" s="23"/>
      <c r="E516" s="23"/>
      <c r="F516" s="23"/>
      <c r="G516" s="23"/>
      <c r="H516" s="23"/>
      <c r="I516" s="23"/>
      <c r="J516" s="23"/>
      <c r="K516" s="23"/>
      <c r="L516" s="23"/>
      <c r="M516" s="23"/>
      <c r="N516" s="23"/>
      <c r="O516" s="23"/>
      <c r="P516" s="23"/>
      <c r="Q516" s="23"/>
      <c r="R516" s="23"/>
      <c r="S516" s="23"/>
      <c r="T516" s="23"/>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row>
    <row r="517" spans="1:50" x14ac:dyDescent="0.35">
      <c r="A517" s="23"/>
      <c r="B517" s="23"/>
      <c r="C517" s="23"/>
      <c r="D517" s="23"/>
      <c r="E517" s="23"/>
      <c r="F517" s="23"/>
      <c r="G517" s="23"/>
      <c r="H517" s="23"/>
      <c r="I517" s="23"/>
      <c r="J517" s="23"/>
      <c r="K517" s="23"/>
      <c r="L517" s="23"/>
      <c r="M517" s="23"/>
      <c r="N517" s="23"/>
      <c r="O517" s="23"/>
      <c r="P517" s="23"/>
      <c r="Q517" s="23"/>
      <c r="R517" s="23"/>
      <c r="S517" s="23"/>
      <c r="T517" s="23"/>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row>
    <row r="518" spans="1:50" x14ac:dyDescent="0.35">
      <c r="A518" s="23"/>
      <c r="B518" s="23"/>
      <c r="C518" s="23"/>
      <c r="D518" s="23"/>
      <c r="E518" s="23"/>
      <c r="F518" s="23"/>
      <c r="G518" s="23"/>
      <c r="H518" s="23"/>
      <c r="I518" s="23"/>
      <c r="J518" s="23"/>
      <c r="K518" s="23"/>
      <c r="L518" s="23"/>
      <c r="M518" s="23"/>
      <c r="N518" s="23"/>
      <c r="O518" s="23"/>
      <c r="P518" s="23"/>
      <c r="Q518" s="23"/>
      <c r="R518" s="23"/>
      <c r="S518" s="23"/>
      <c r="T518" s="23"/>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row>
    <row r="519" spans="1:50" x14ac:dyDescent="0.35">
      <c r="A519" s="23"/>
      <c r="B519" s="23"/>
      <c r="C519" s="23"/>
      <c r="D519" s="23"/>
      <c r="E519" s="23"/>
      <c r="F519" s="23"/>
      <c r="G519" s="23"/>
      <c r="H519" s="23"/>
      <c r="I519" s="23"/>
      <c r="J519" s="23"/>
      <c r="K519" s="23"/>
      <c r="L519" s="23"/>
      <c r="M519" s="23"/>
      <c r="N519" s="23"/>
      <c r="O519" s="23"/>
      <c r="P519" s="23"/>
      <c r="Q519" s="23"/>
      <c r="R519" s="23"/>
      <c r="S519" s="23"/>
      <c r="T519" s="23"/>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row>
    <row r="520" spans="1:50" x14ac:dyDescent="0.35">
      <c r="A520" s="23"/>
      <c r="B520" s="23"/>
      <c r="C520" s="23"/>
      <c r="D520" s="23"/>
      <c r="E520" s="23"/>
      <c r="F520" s="23"/>
      <c r="G520" s="23"/>
      <c r="H520" s="23"/>
      <c r="I520" s="23"/>
      <c r="J520" s="23"/>
      <c r="K520" s="23"/>
      <c r="L520" s="23"/>
      <c r="M520" s="23"/>
      <c r="N520" s="23"/>
      <c r="O520" s="23"/>
      <c r="P520" s="23"/>
      <c r="Q520" s="23"/>
      <c r="R520" s="23"/>
      <c r="S520" s="23"/>
      <c r="T520" s="23"/>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row>
    <row r="521" spans="1:50" x14ac:dyDescent="0.35">
      <c r="A521" s="23"/>
      <c r="B521" s="23"/>
      <c r="C521" s="23"/>
      <c r="D521" s="23"/>
      <c r="E521" s="23"/>
      <c r="F521" s="23"/>
      <c r="G521" s="23"/>
      <c r="H521" s="23"/>
      <c r="I521" s="23"/>
      <c r="J521" s="23"/>
      <c r="K521" s="23"/>
      <c r="L521" s="23"/>
      <c r="M521" s="23"/>
      <c r="N521" s="23"/>
      <c r="O521" s="23"/>
      <c r="P521" s="23"/>
      <c r="Q521" s="23"/>
      <c r="R521" s="23"/>
      <c r="S521" s="23"/>
      <c r="T521" s="23"/>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row>
    <row r="522" spans="1:50" x14ac:dyDescent="0.35">
      <c r="A522" s="23"/>
      <c r="B522" s="23"/>
      <c r="C522" s="23"/>
      <c r="D522" s="23"/>
      <c r="E522" s="23"/>
      <c r="F522" s="23"/>
      <c r="G522" s="23"/>
      <c r="H522" s="23"/>
      <c r="I522" s="23"/>
      <c r="J522" s="23"/>
      <c r="K522" s="23"/>
      <c r="L522" s="23"/>
      <c r="M522" s="23"/>
      <c r="N522" s="23"/>
      <c r="O522" s="23"/>
      <c r="P522" s="23"/>
      <c r="Q522" s="23"/>
      <c r="R522" s="23"/>
      <c r="S522" s="23"/>
      <c r="T522" s="23"/>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row>
    <row r="523" spans="1:50" x14ac:dyDescent="0.35">
      <c r="A523" s="23"/>
      <c r="B523" s="23"/>
      <c r="C523" s="23"/>
      <c r="D523" s="23"/>
      <c r="E523" s="23"/>
      <c r="F523" s="23"/>
      <c r="G523" s="23"/>
      <c r="H523" s="23"/>
      <c r="I523" s="23"/>
      <c r="J523" s="23"/>
      <c r="K523" s="23"/>
      <c r="L523" s="23"/>
      <c r="M523" s="23"/>
      <c r="N523" s="23"/>
      <c r="O523" s="23"/>
      <c r="P523" s="23"/>
      <c r="Q523" s="23"/>
      <c r="R523" s="23"/>
      <c r="S523" s="23"/>
      <c r="T523" s="23"/>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row>
    <row r="524" spans="1:50" x14ac:dyDescent="0.35">
      <c r="A524" s="23"/>
      <c r="B524" s="23"/>
      <c r="C524" s="23"/>
      <c r="D524" s="23"/>
      <c r="E524" s="23"/>
      <c r="F524" s="23"/>
      <c r="G524" s="23"/>
      <c r="H524" s="23"/>
      <c r="I524" s="23"/>
      <c r="J524" s="23"/>
      <c r="K524" s="23"/>
      <c r="L524" s="23"/>
      <c r="M524" s="23"/>
      <c r="N524" s="23"/>
      <c r="O524" s="23"/>
      <c r="P524" s="23"/>
      <c r="Q524" s="23"/>
      <c r="R524" s="23"/>
      <c r="S524" s="23"/>
      <c r="T524" s="23"/>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row>
    <row r="525" spans="1:50" x14ac:dyDescent="0.35">
      <c r="A525" s="23"/>
      <c r="B525" s="23"/>
      <c r="C525" s="23"/>
      <c r="D525" s="23"/>
      <c r="E525" s="23"/>
      <c r="F525" s="23"/>
      <c r="G525" s="23"/>
      <c r="H525" s="23"/>
      <c r="I525" s="23"/>
      <c r="J525" s="23"/>
      <c r="K525" s="23"/>
      <c r="L525" s="23"/>
      <c r="M525" s="23"/>
      <c r="N525" s="23"/>
      <c r="O525" s="23"/>
      <c r="P525" s="23"/>
      <c r="Q525" s="23"/>
      <c r="R525" s="23"/>
      <c r="S525" s="23"/>
      <c r="T525" s="23"/>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row>
    <row r="526" spans="1:50" x14ac:dyDescent="0.35">
      <c r="A526" s="23"/>
      <c r="B526" s="23"/>
      <c r="C526" s="23"/>
      <c r="D526" s="23"/>
      <c r="E526" s="23"/>
      <c r="F526" s="23"/>
      <c r="G526" s="23"/>
      <c r="H526" s="23"/>
      <c r="I526" s="23"/>
      <c r="J526" s="23"/>
      <c r="K526" s="23"/>
      <c r="L526" s="23"/>
      <c r="M526" s="23"/>
      <c r="N526" s="23"/>
      <c r="O526" s="23"/>
      <c r="P526" s="23"/>
      <c r="Q526" s="23"/>
      <c r="R526" s="23"/>
      <c r="S526" s="23"/>
      <c r="T526" s="23"/>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row>
    <row r="527" spans="1:50" x14ac:dyDescent="0.35">
      <c r="A527" s="23"/>
      <c r="B527" s="23"/>
      <c r="C527" s="23"/>
      <c r="D527" s="23"/>
      <c r="E527" s="23"/>
      <c r="F527" s="23"/>
      <c r="G527" s="23"/>
      <c r="H527" s="23"/>
      <c r="I527" s="23"/>
      <c r="J527" s="23"/>
      <c r="K527" s="23"/>
      <c r="L527" s="23"/>
      <c r="M527" s="23"/>
      <c r="N527" s="23"/>
      <c r="O527" s="23"/>
      <c r="P527" s="23"/>
      <c r="Q527" s="23"/>
      <c r="R527" s="23"/>
      <c r="S527" s="23"/>
      <c r="T527" s="23"/>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row>
    <row r="528" spans="1:50" x14ac:dyDescent="0.35">
      <c r="A528" s="23"/>
      <c r="B528" s="23"/>
      <c r="C528" s="23"/>
      <c r="D528" s="23"/>
      <c r="E528" s="23"/>
      <c r="F528" s="23"/>
      <c r="G528" s="23"/>
      <c r="H528" s="23"/>
      <c r="I528" s="23"/>
      <c r="J528" s="23"/>
      <c r="K528" s="23"/>
      <c r="L528" s="23"/>
      <c r="M528" s="23"/>
      <c r="N528" s="23"/>
      <c r="O528" s="23"/>
      <c r="P528" s="23"/>
      <c r="Q528" s="23"/>
      <c r="R528" s="23"/>
      <c r="S528" s="23"/>
      <c r="T528" s="23"/>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row>
    <row r="529" spans="1:50" x14ac:dyDescent="0.35">
      <c r="A529" s="23"/>
      <c r="B529" s="23"/>
      <c r="C529" s="23"/>
      <c r="D529" s="23"/>
      <c r="E529" s="23"/>
      <c r="F529" s="23"/>
      <c r="G529" s="23"/>
      <c r="H529" s="23"/>
      <c r="I529" s="23"/>
      <c r="J529" s="23"/>
      <c r="K529" s="23"/>
      <c r="L529" s="23"/>
      <c r="M529" s="23"/>
      <c r="N529" s="23"/>
      <c r="O529" s="23"/>
      <c r="P529" s="23"/>
      <c r="Q529" s="23"/>
      <c r="R529" s="23"/>
      <c r="S529" s="23"/>
      <c r="T529" s="23"/>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row>
    <row r="530" spans="1:50" x14ac:dyDescent="0.35">
      <c r="A530" s="23"/>
      <c r="B530" s="23"/>
      <c r="C530" s="23"/>
      <c r="D530" s="23"/>
      <c r="E530" s="23"/>
      <c r="F530" s="23"/>
      <c r="G530" s="23"/>
      <c r="H530" s="23"/>
      <c r="I530" s="23"/>
      <c r="J530" s="23"/>
      <c r="K530" s="23"/>
      <c r="L530" s="23"/>
      <c r="M530" s="23"/>
      <c r="N530" s="23"/>
      <c r="O530" s="23"/>
      <c r="P530" s="23"/>
      <c r="Q530" s="23"/>
      <c r="R530" s="23"/>
      <c r="S530" s="23"/>
      <c r="T530" s="23"/>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row>
    <row r="531" spans="1:50" x14ac:dyDescent="0.35">
      <c r="A531" s="23"/>
      <c r="B531" s="23"/>
      <c r="C531" s="23"/>
      <c r="D531" s="23"/>
      <c r="E531" s="23"/>
      <c r="F531" s="23"/>
      <c r="G531" s="23"/>
      <c r="H531" s="23"/>
      <c r="I531" s="23"/>
      <c r="J531" s="23"/>
      <c r="K531" s="23"/>
      <c r="L531" s="23"/>
      <c r="M531" s="23"/>
      <c r="N531" s="23"/>
      <c r="O531" s="23"/>
      <c r="P531" s="23"/>
      <c r="Q531" s="23"/>
      <c r="R531" s="23"/>
      <c r="S531" s="23"/>
      <c r="T531" s="23"/>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row>
    <row r="532" spans="1:50" x14ac:dyDescent="0.35">
      <c r="A532" s="23"/>
      <c r="B532" s="23"/>
      <c r="C532" s="23"/>
      <c r="D532" s="23"/>
      <c r="E532" s="23"/>
      <c r="F532" s="23"/>
      <c r="G532" s="23"/>
      <c r="H532" s="23"/>
      <c r="I532" s="23"/>
      <c r="J532" s="23"/>
      <c r="K532" s="23"/>
      <c r="L532" s="23"/>
      <c r="M532" s="23"/>
      <c r="N532" s="23"/>
      <c r="O532" s="23"/>
      <c r="P532" s="23"/>
      <c r="Q532" s="23"/>
      <c r="R532" s="23"/>
      <c r="S532" s="23"/>
      <c r="T532" s="23"/>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row>
    <row r="533" spans="1:50" x14ac:dyDescent="0.35">
      <c r="A533" s="23"/>
      <c r="B533" s="23"/>
      <c r="C533" s="23"/>
      <c r="D533" s="23"/>
      <c r="E533" s="23"/>
      <c r="F533" s="23"/>
      <c r="G533" s="23"/>
      <c r="H533" s="23"/>
      <c r="I533" s="23"/>
      <c r="J533" s="23"/>
      <c r="K533" s="23"/>
      <c r="L533" s="23"/>
      <c r="M533" s="23"/>
      <c r="N533" s="23"/>
      <c r="O533" s="23"/>
      <c r="P533" s="23"/>
      <c r="Q533" s="23"/>
      <c r="R533" s="23"/>
      <c r="S533" s="23"/>
      <c r="T533" s="23"/>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row>
    <row r="534" spans="1:50" x14ac:dyDescent="0.35">
      <c r="A534" s="23"/>
      <c r="B534" s="23"/>
      <c r="C534" s="23"/>
      <c r="D534" s="23"/>
      <c r="E534" s="23"/>
      <c r="F534" s="23"/>
      <c r="G534" s="23"/>
      <c r="H534" s="23"/>
      <c r="I534" s="23"/>
      <c r="J534" s="23"/>
      <c r="K534" s="23"/>
      <c r="L534" s="23"/>
      <c r="M534" s="23"/>
      <c r="N534" s="23"/>
      <c r="O534" s="23"/>
      <c r="P534" s="23"/>
      <c r="Q534" s="23"/>
      <c r="R534" s="23"/>
      <c r="S534" s="23"/>
      <c r="T534" s="23"/>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row>
    <row r="535" spans="1:50" x14ac:dyDescent="0.35">
      <c r="A535" s="23"/>
      <c r="B535" s="23"/>
      <c r="C535" s="23"/>
      <c r="D535" s="23"/>
      <c r="E535" s="23"/>
      <c r="F535" s="23"/>
      <c r="G535" s="23"/>
      <c r="H535" s="23"/>
      <c r="I535" s="23"/>
      <c r="J535" s="23"/>
      <c r="K535" s="23"/>
      <c r="L535" s="23"/>
      <c r="M535" s="23"/>
      <c r="N535" s="23"/>
      <c r="O535" s="23"/>
      <c r="P535" s="23"/>
      <c r="Q535" s="23"/>
      <c r="R535" s="23"/>
      <c r="S535" s="23"/>
      <c r="T535" s="23"/>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row>
    <row r="536" spans="1:50" x14ac:dyDescent="0.35">
      <c r="A536" s="23"/>
      <c r="B536" s="23"/>
      <c r="C536" s="23"/>
      <c r="D536" s="23"/>
      <c r="E536" s="23"/>
      <c r="F536" s="23"/>
      <c r="G536" s="23"/>
      <c r="H536" s="23"/>
      <c r="I536" s="23"/>
      <c r="J536" s="23"/>
      <c r="K536" s="23"/>
      <c r="L536" s="23"/>
      <c r="M536" s="23"/>
      <c r="N536" s="23"/>
      <c r="O536" s="23"/>
      <c r="P536" s="23"/>
      <c r="Q536" s="23"/>
      <c r="R536" s="23"/>
      <c r="S536" s="23"/>
      <c r="T536" s="23"/>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row>
    <row r="537" spans="1:50" x14ac:dyDescent="0.35">
      <c r="A537" s="23"/>
      <c r="B537" s="23"/>
      <c r="C537" s="23"/>
      <c r="D537" s="23"/>
      <c r="E537" s="23"/>
      <c r="F537" s="23"/>
      <c r="G537" s="23"/>
      <c r="H537" s="23"/>
      <c r="I537" s="23"/>
      <c r="J537" s="23"/>
      <c r="K537" s="23"/>
      <c r="L537" s="23"/>
      <c r="M537" s="23"/>
      <c r="N537" s="23"/>
      <c r="O537" s="23"/>
      <c r="P537" s="23"/>
      <c r="Q537" s="23"/>
      <c r="R537" s="23"/>
      <c r="S537" s="23"/>
      <c r="T537" s="23"/>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row>
    <row r="538" spans="1:50" x14ac:dyDescent="0.35">
      <c r="A538" s="23"/>
      <c r="B538" s="23"/>
      <c r="C538" s="23"/>
      <c r="D538" s="23"/>
      <c r="E538" s="23"/>
      <c r="F538" s="23"/>
      <c r="G538" s="23"/>
      <c r="H538" s="23"/>
      <c r="I538" s="23"/>
      <c r="J538" s="23"/>
      <c r="K538" s="23"/>
      <c r="L538" s="23"/>
      <c r="M538" s="23"/>
      <c r="N538" s="23"/>
      <c r="O538" s="23"/>
      <c r="P538" s="23"/>
      <c r="Q538" s="23"/>
      <c r="R538" s="23"/>
      <c r="S538" s="23"/>
      <c r="T538" s="23"/>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row>
    <row r="539" spans="1:50" x14ac:dyDescent="0.35">
      <c r="A539" s="23"/>
      <c r="B539" s="23"/>
      <c r="C539" s="23"/>
      <c r="D539" s="23"/>
      <c r="E539" s="23"/>
      <c r="F539" s="23"/>
      <c r="G539" s="23"/>
      <c r="H539" s="23"/>
      <c r="I539" s="23"/>
      <c r="J539" s="23"/>
      <c r="K539" s="23"/>
      <c r="L539" s="23"/>
      <c r="M539" s="23"/>
      <c r="N539" s="23"/>
      <c r="O539" s="23"/>
      <c r="P539" s="23"/>
      <c r="Q539" s="23"/>
      <c r="R539" s="23"/>
      <c r="S539" s="23"/>
      <c r="T539" s="23"/>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row>
    <row r="540" spans="1:50" x14ac:dyDescent="0.35">
      <c r="A540" s="23"/>
      <c r="B540" s="23"/>
      <c r="C540" s="23"/>
      <c r="D540" s="23"/>
      <c r="E540" s="23"/>
      <c r="F540" s="23"/>
      <c r="G540" s="23"/>
      <c r="H540" s="23"/>
      <c r="I540" s="23"/>
      <c r="J540" s="23"/>
      <c r="K540" s="23"/>
      <c r="L540" s="23"/>
      <c r="M540" s="23"/>
      <c r="N540" s="23"/>
      <c r="O540" s="23"/>
      <c r="P540" s="23"/>
      <c r="Q540" s="23"/>
      <c r="R540" s="23"/>
      <c r="S540" s="23"/>
      <c r="T540" s="23"/>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row>
    <row r="541" spans="1:50" x14ac:dyDescent="0.35">
      <c r="A541" s="23"/>
      <c r="B541" s="23"/>
      <c r="C541" s="23"/>
      <c r="D541" s="23"/>
      <c r="E541" s="23"/>
      <c r="F541" s="23"/>
      <c r="G541" s="23"/>
      <c r="H541" s="23"/>
      <c r="I541" s="23"/>
      <c r="J541" s="23"/>
      <c r="K541" s="23"/>
      <c r="L541" s="23"/>
      <c r="M541" s="23"/>
      <c r="N541" s="23"/>
      <c r="O541" s="23"/>
      <c r="P541" s="23"/>
      <c r="Q541" s="23"/>
      <c r="R541" s="23"/>
      <c r="S541" s="23"/>
      <c r="T541" s="23"/>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row>
    <row r="542" spans="1:50" x14ac:dyDescent="0.35">
      <c r="A542" s="23"/>
      <c r="B542" s="23"/>
      <c r="C542" s="23"/>
      <c r="D542" s="23"/>
      <c r="E542" s="23"/>
      <c r="F542" s="23"/>
      <c r="G542" s="23"/>
      <c r="H542" s="23"/>
      <c r="I542" s="23"/>
      <c r="J542" s="23"/>
      <c r="K542" s="23"/>
      <c r="L542" s="23"/>
      <c r="M542" s="23"/>
      <c r="N542" s="23"/>
      <c r="O542" s="23"/>
      <c r="P542" s="23"/>
      <c r="Q542" s="23"/>
      <c r="R542" s="23"/>
      <c r="S542" s="23"/>
      <c r="T542" s="23"/>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row>
    <row r="543" spans="1:50" x14ac:dyDescent="0.35">
      <c r="A543" s="23"/>
      <c r="B543" s="23"/>
      <c r="C543" s="23"/>
      <c r="D543" s="23"/>
      <c r="E543" s="23"/>
      <c r="F543" s="23"/>
      <c r="G543" s="23"/>
      <c r="H543" s="23"/>
      <c r="I543" s="23"/>
      <c r="J543" s="23"/>
      <c r="K543" s="23"/>
      <c r="L543" s="23"/>
      <c r="M543" s="23"/>
      <c r="N543" s="23"/>
      <c r="O543" s="23"/>
      <c r="P543" s="23"/>
      <c r="Q543" s="23"/>
      <c r="R543" s="23"/>
      <c r="S543" s="23"/>
      <c r="T543" s="23"/>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row>
    <row r="544" spans="1:50" x14ac:dyDescent="0.35">
      <c r="A544" s="23"/>
      <c r="B544" s="23"/>
      <c r="C544" s="23"/>
      <c r="D544" s="23"/>
      <c r="E544" s="23"/>
      <c r="F544" s="23"/>
      <c r="G544" s="23"/>
      <c r="H544" s="23"/>
      <c r="I544" s="23"/>
      <c r="J544" s="23"/>
      <c r="K544" s="23"/>
      <c r="L544" s="23"/>
      <c r="M544" s="23"/>
      <c r="N544" s="23"/>
      <c r="O544" s="23"/>
      <c r="P544" s="23"/>
      <c r="Q544" s="23"/>
      <c r="R544" s="23"/>
      <c r="S544" s="23"/>
      <c r="T544" s="23"/>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row>
    <row r="545" spans="1:50" x14ac:dyDescent="0.35">
      <c r="A545" s="23"/>
      <c r="B545" s="23"/>
      <c r="C545" s="23"/>
      <c r="D545" s="23"/>
      <c r="E545" s="23"/>
      <c r="F545" s="23"/>
      <c r="G545" s="23"/>
      <c r="H545" s="23"/>
      <c r="I545" s="23"/>
      <c r="J545" s="23"/>
      <c r="K545" s="23"/>
      <c r="L545" s="23"/>
      <c r="M545" s="23"/>
      <c r="N545" s="23"/>
      <c r="O545" s="23"/>
      <c r="P545" s="23"/>
      <c r="Q545" s="23"/>
      <c r="R545" s="23"/>
      <c r="S545" s="23"/>
      <c r="T545" s="23"/>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row>
    <row r="546" spans="1:50" x14ac:dyDescent="0.35">
      <c r="A546" s="23"/>
      <c r="B546" s="23"/>
      <c r="C546" s="23"/>
      <c r="D546" s="23"/>
      <c r="E546" s="23"/>
      <c r="F546" s="23"/>
      <c r="G546" s="23"/>
      <c r="H546" s="23"/>
      <c r="I546" s="23"/>
      <c r="J546" s="23"/>
      <c r="K546" s="23"/>
      <c r="L546" s="23"/>
      <c r="M546" s="23"/>
      <c r="N546" s="23"/>
      <c r="O546" s="23"/>
      <c r="P546" s="23"/>
      <c r="Q546" s="23"/>
      <c r="R546" s="23"/>
      <c r="S546" s="23"/>
      <c r="T546" s="23"/>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row>
    <row r="547" spans="1:50" x14ac:dyDescent="0.35">
      <c r="A547" s="23"/>
      <c r="B547" s="23"/>
      <c r="C547" s="23"/>
      <c r="D547" s="23"/>
      <c r="E547" s="23"/>
      <c r="F547" s="23"/>
      <c r="G547" s="23"/>
      <c r="H547" s="23"/>
      <c r="I547" s="23"/>
      <c r="J547" s="23"/>
      <c r="K547" s="23"/>
      <c r="L547" s="23"/>
      <c r="M547" s="23"/>
      <c r="N547" s="23"/>
      <c r="O547" s="23"/>
      <c r="P547" s="23"/>
      <c r="Q547" s="23"/>
      <c r="R547" s="23"/>
      <c r="S547" s="23"/>
      <c r="T547" s="23"/>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row>
    <row r="548" spans="1:50" x14ac:dyDescent="0.35">
      <c r="A548" s="23"/>
      <c r="B548" s="23"/>
      <c r="C548" s="23"/>
      <c r="D548" s="23"/>
      <c r="E548" s="23"/>
      <c r="F548" s="23"/>
      <c r="G548" s="23"/>
      <c r="H548" s="23"/>
      <c r="I548" s="23"/>
      <c r="J548" s="23"/>
      <c r="K548" s="23"/>
      <c r="L548" s="23"/>
      <c r="M548" s="23"/>
      <c r="N548" s="23"/>
      <c r="O548" s="23"/>
      <c r="P548" s="23"/>
      <c r="Q548" s="23"/>
      <c r="R548" s="23"/>
      <c r="S548" s="23"/>
      <c r="T548" s="23"/>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row>
    <row r="549" spans="1:50" x14ac:dyDescent="0.35">
      <c r="A549" s="23"/>
      <c r="B549" s="23"/>
      <c r="C549" s="23"/>
      <c r="D549" s="23"/>
      <c r="E549" s="23"/>
      <c r="F549" s="23"/>
      <c r="G549" s="23"/>
      <c r="H549" s="23"/>
      <c r="I549" s="23"/>
      <c r="J549" s="23"/>
      <c r="K549" s="23"/>
      <c r="L549" s="23"/>
      <c r="M549" s="23"/>
      <c r="N549" s="23"/>
      <c r="O549" s="23"/>
      <c r="P549" s="23"/>
      <c r="Q549" s="23"/>
      <c r="R549" s="23"/>
      <c r="S549" s="23"/>
      <c r="T549" s="23"/>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row>
    <row r="550" spans="1:50" x14ac:dyDescent="0.35">
      <c r="A550" s="23"/>
      <c r="B550" s="23"/>
      <c r="C550" s="23"/>
      <c r="D550" s="23"/>
      <c r="E550" s="23"/>
      <c r="F550" s="23"/>
      <c r="G550" s="23"/>
      <c r="H550" s="23"/>
      <c r="I550" s="23"/>
      <c r="J550" s="23"/>
      <c r="K550" s="23"/>
      <c r="L550" s="23"/>
      <c r="M550" s="23"/>
      <c r="N550" s="23"/>
      <c r="O550" s="23"/>
      <c r="P550" s="23"/>
      <c r="Q550" s="23"/>
      <c r="R550" s="23"/>
      <c r="S550" s="23"/>
      <c r="T550" s="23"/>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row>
    <row r="551" spans="1:50" x14ac:dyDescent="0.35">
      <c r="A551" s="23"/>
      <c r="B551" s="23"/>
      <c r="C551" s="23"/>
      <c r="D551" s="23"/>
      <c r="E551" s="23"/>
      <c r="F551" s="23"/>
      <c r="G551" s="23"/>
      <c r="H551" s="23"/>
      <c r="I551" s="23"/>
      <c r="J551" s="23"/>
      <c r="K551" s="23"/>
      <c r="L551" s="23"/>
      <c r="M551" s="23"/>
      <c r="N551" s="23"/>
      <c r="O551" s="23"/>
      <c r="P551" s="23"/>
      <c r="Q551" s="23"/>
      <c r="R551" s="23"/>
      <c r="S551" s="23"/>
      <c r="T551" s="23"/>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row>
    <row r="552" spans="1:50" x14ac:dyDescent="0.35">
      <c r="A552" s="23"/>
      <c r="B552" s="23"/>
      <c r="C552" s="23"/>
      <c r="D552" s="23"/>
      <c r="E552" s="23"/>
      <c r="F552" s="23"/>
      <c r="G552" s="23"/>
      <c r="H552" s="23"/>
      <c r="I552" s="23"/>
      <c r="J552" s="23"/>
      <c r="K552" s="23"/>
      <c r="L552" s="23"/>
      <c r="M552" s="23"/>
      <c r="N552" s="23"/>
      <c r="O552" s="23"/>
      <c r="P552" s="23"/>
      <c r="Q552" s="23"/>
      <c r="R552" s="23"/>
      <c r="S552" s="23"/>
      <c r="T552" s="23"/>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row>
    <row r="553" spans="1:50" x14ac:dyDescent="0.35">
      <c r="A553" s="23"/>
      <c r="B553" s="23"/>
      <c r="C553" s="23"/>
      <c r="D553" s="23"/>
      <c r="E553" s="23"/>
      <c r="F553" s="23"/>
      <c r="G553" s="23"/>
      <c r="H553" s="23"/>
      <c r="I553" s="23"/>
      <c r="J553" s="23"/>
      <c r="K553" s="23"/>
      <c r="L553" s="23"/>
      <c r="M553" s="23"/>
      <c r="N553" s="23"/>
      <c r="O553" s="23"/>
      <c r="P553" s="23"/>
      <c r="Q553" s="23"/>
      <c r="R553" s="23"/>
      <c r="S553" s="23"/>
      <c r="T553" s="23"/>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row>
    <row r="554" spans="1:50" x14ac:dyDescent="0.35">
      <c r="A554" s="23"/>
      <c r="B554" s="23"/>
      <c r="C554" s="23"/>
      <c r="D554" s="23"/>
      <c r="E554" s="23"/>
      <c r="F554" s="23"/>
      <c r="G554" s="23"/>
      <c r="H554" s="23"/>
      <c r="I554" s="23"/>
      <c r="J554" s="23"/>
      <c r="K554" s="23"/>
      <c r="L554" s="23"/>
      <c r="M554" s="23"/>
      <c r="N554" s="23"/>
      <c r="O554" s="23"/>
      <c r="P554" s="23"/>
      <c r="Q554" s="23"/>
      <c r="R554" s="23"/>
      <c r="S554" s="23"/>
      <c r="T554" s="23"/>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row>
    <row r="555" spans="1:50" x14ac:dyDescent="0.35">
      <c r="A555" s="23"/>
      <c r="B555" s="23"/>
      <c r="C555" s="23"/>
      <c r="D555" s="23"/>
      <c r="E555" s="23"/>
      <c r="F555" s="23"/>
      <c r="G555" s="23"/>
      <c r="H555" s="23"/>
      <c r="I555" s="23"/>
      <c r="J555" s="23"/>
      <c r="K555" s="23"/>
      <c r="L555" s="23"/>
      <c r="M555" s="23"/>
      <c r="N555" s="23"/>
      <c r="O555" s="23"/>
      <c r="P555" s="23"/>
      <c r="Q555" s="23"/>
      <c r="R555" s="23"/>
      <c r="S555" s="23"/>
      <c r="T555" s="23"/>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row>
    <row r="556" spans="1:50" x14ac:dyDescent="0.35">
      <c r="A556" s="23"/>
      <c r="B556" s="23"/>
      <c r="C556" s="23"/>
      <c r="D556" s="23"/>
      <c r="E556" s="23"/>
      <c r="F556" s="23"/>
      <c r="G556" s="23"/>
      <c r="H556" s="23"/>
      <c r="I556" s="23"/>
      <c r="J556" s="23"/>
      <c r="K556" s="23"/>
      <c r="L556" s="23"/>
      <c r="M556" s="23"/>
      <c r="N556" s="23"/>
      <c r="O556" s="23"/>
      <c r="P556" s="23"/>
      <c r="Q556" s="23"/>
      <c r="R556" s="23"/>
      <c r="S556" s="23"/>
      <c r="T556" s="23"/>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row>
    <row r="557" spans="1:50" x14ac:dyDescent="0.35">
      <c r="A557" s="23"/>
      <c r="B557" s="23"/>
      <c r="C557" s="23"/>
      <c r="D557" s="23"/>
      <c r="E557" s="23"/>
      <c r="F557" s="23"/>
      <c r="G557" s="23"/>
      <c r="H557" s="23"/>
      <c r="I557" s="23"/>
      <c r="J557" s="23"/>
      <c r="K557" s="23"/>
      <c r="L557" s="23"/>
      <c r="M557" s="23"/>
      <c r="N557" s="23"/>
      <c r="O557" s="23"/>
      <c r="P557" s="23"/>
      <c r="Q557" s="23"/>
      <c r="R557" s="23"/>
      <c r="S557" s="23"/>
      <c r="T557" s="23"/>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row>
    <row r="558" spans="1:50" x14ac:dyDescent="0.35">
      <c r="A558" s="23"/>
      <c r="B558" s="23"/>
      <c r="C558" s="23"/>
      <c r="D558" s="23"/>
      <c r="E558" s="23"/>
      <c r="F558" s="23"/>
      <c r="G558" s="23"/>
      <c r="H558" s="23"/>
      <c r="I558" s="23"/>
      <c r="J558" s="23"/>
      <c r="K558" s="23"/>
      <c r="L558" s="23"/>
      <c r="M558" s="23"/>
      <c r="N558" s="23"/>
      <c r="O558" s="23"/>
      <c r="P558" s="23"/>
      <c r="Q558" s="23"/>
      <c r="R558" s="23"/>
      <c r="S558" s="23"/>
      <c r="T558" s="23"/>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row>
    <row r="559" spans="1:50" x14ac:dyDescent="0.35">
      <c r="A559" s="23"/>
      <c r="B559" s="23"/>
      <c r="C559" s="23"/>
      <c r="D559" s="23"/>
      <c r="E559" s="23"/>
      <c r="F559" s="23"/>
      <c r="G559" s="23"/>
      <c r="H559" s="23"/>
      <c r="I559" s="23"/>
      <c r="J559" s="23"/>
      <c r="K559" s="23"/>
      <c r="L559" s="23"/>
      <c r="M559" s="23"/>
      <c r="N559" s="23"/>
      <c r="O559" s="23"/>
      <c r="P559" s="23"/>
      <c r="Q559" s="23"/>
      <c r="R559" s="23"/>
      <c r="S559" s="23"/>
      <c r="T559" s="23"/>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row>
    <row r="560" spans="1:50" x14ac:dyDescent="0.35">
      <c r="A560" s="23"/>
      <c r="B560" s="23"/>
      <c r="C560" s="23"/>
      <c r="D560" s="23"/>
      <c r="E560" s="23"/>
      <c r="F560" s="23"/>
      <c r="G560" s="23"/>
      <c r="H560" s="23"/>
      <c r="I560" s="23"/>
      <c r="J560" s="23"/>
      <c r="K560" s="23"/>
      <c r="L560" s="23"/>
      <c r="M560" s="23"/>
      <c r="N560" s="23"/>
      <c r="O560" s="23"/>
      <c r="P560" s="23"/>
      <c r="Q560" s="23"/>
      <c r="R560" s="23"/>
      <c r="S560" s="23"/>
      <c r="T560" s="23"/>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row>
    <row r="561" spans="1:50" x14ac:dyDescent="0.35">
      <c r="A561" s="23"/>
      <c r="B561" s="23"/>
      <c r="C561" s="23"/>
      <c r="D561" s="23"/>
      <c r="E561" s="23"/>
      <c r="F561" s="23"/>
      <c r="G561" s="23"/>
      <c r="H561" s="23"/>
      <c r="I561" s="23"/>
      <c r="J561" s="23"/>
      <c r="K561" s="23"/>
      <c r="L561" s="23"/>
      <c r="M561" s="23"/>
      <c r="N561" s="23"/>
      <c r="O561" s="23"/>
      <c r="P561" s="23"/>
      <c r="Q561" s="23"/>
      <c r="R561" s="23"/>
      <c r="S561" s="23"/>
      <c r="T561" s="23"/>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row>
    <row r="562" spans="1:50" x14ac:dyDescent="0.35">
      <c r="A562" s="23"/>
      <c r="B562" s="23"/>
      <c r="C562" s="23"/>
      <c r="D562" s="23"/>
      <c r="E562" s="23"/>
      <c r="F562" s="23"/>
      <c r="G562" s="23"/>
      <c r="H562" s="23"/>
      <c r="I562" s="23"/>
      <c r="J562" s="23"/>
      <c r="K562" s="23"/>
      <c r="L562" s="23"/>
      <c r="M562" s="23"/>
      <c r="N562" s="23"/>
      <c r="O562" s="23"/>
      <c r="P562" s="23"/>
      <c r="Q562" s="23"/>
      <c r="R562" s="23"/>
      <c r="S562" s="23"/>
      <c r="T562" s="23"/>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row>
    <row r="563" spans="1:50" x14ac:dyDescent="0.35">
      <c r="A563" s="23"/>
      <c r="B563" s="23"/>
      <c r="C563" s="23"/>
      <c r="D563" s="23"/>
      <c r="E563" s="23"/>
      <c r="F563" s="23"/>
      <c r="G563" s="23"/>
      <c r="H563" s="23"/>
      <c r="I563" s="23"/>
      <c r="J563" s="23"/>
      <c r="K563" s="23"/>
      <c r="L563" s="23"/>
      <c r="M563" s="23"/>
      <c r="N563" s="23"/>
      <c r="O563" s="23"/>
      <c r="P563" s="23"/>
      <c r="Q563" s="23"/>
      <c r="R563" s="23"/>
      <c r="S563" s="23"/>
      <c r="T563" s="23"/>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row>
    <row r="564" spans="1:50" x14ac:dyDescent="0.35">
      <c r="A564" s="23"/>
      <c r="B564" s="23"/>
      <c r="C564" s="23"/>
      <c r="D564" s="23"/>
      <c r="E564" s="23"/>
      <c r="F564" s="23"/>
      <c r="G564" s="23"/>
      <c r="H564" s="23"/>
      <c r="I564" s="23"/>
      <c r="J564" s="23"/>
      <c r="K564" s="23"/>
      <c r="L564" s="23"/>
      <c r="M564" s="23"/>
      <c r="N564" s="23"/>
      <c r="O564" s="23"/>
      <c r="P564" s="23"/>
      <c r="Q564" s="23"/>
      <c r="R564" s="23"/>
      <c r="S564" s="23"/>
      <c r="T564" s="23"/>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row>
    <row r="565" spans="1:50" x14ac:dyDescent="0.35">
      <c r="A565" s="23"/>
      <c r="B565" s="23"/>
      <c r="C565" s="23"/>
      <c r="D565" s="23"/>
      <c r="E565" s="23"/>
      <c r="F565" s="23"/>
      <c r="G565" s="23"/>
      <c r="H565" s="23"/>
      <c r="I565" s="23"/>
      <c r="J565" s="23"/>
      <c r="K565" s="23"/>
      <c r="L565" s="23"/>
      <c r="M565" s="23"/>
      <c r="N565" s="23"/>
      <c r="O565" s="23"/>
      <c r="P565" s="23"/>
      <c r="Q565" s="23"/>
      <c r="R565" s="23"/>
      <c r="S565" s="23"/>
      <c r="T565" s="23"/>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row>
    <row r="566" spans="1:50" x14ac:dyDescent="0.35">
      <c r="A566" s="23"/>
      <c r="B566" s="23"/>
      <c r="C566" s="23"/>
      <c r="D566" s="23"/>
      <c r="E566" s="23"/>
      <c r="F566" s="23"/>
      <c r="G566" s="23"/>
      <c r="H566" s="23"/>
      <c r="I566" s="23"/>
      <c r="J566" s="23"/>
      <c r="K566" s="23"/>
      <c r="L566" s="23"/>
      <c r="M566" s="23"/>
      <c r="N566" s="23"/>
      <c r="O566" s="23"/>
      <c r="P566" s="23"/>
      <c r="Q566" s="23"/>
      <c r="R566" s="23"/>
      <c r="S566" s="23"/>
      <c r="T566" s="23"/>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row>
    <row r="567" spans="1:50" x14ac:dyDescent="0.35">
      <c r="A567" s="23"/>
      <c r="B567" s="23"/>
      <c r="C567" s="23"/>
      <c r="D567" s="23"/>
      <c r="E567" s="23"/>
      <c r="F567" s="23"/>
      <c r="G567" s="23"/>
      <c r="H567" s="23"/>
      <c r="I567" s="23"/>
      <c r="J567" s="23"/>
      <c r="K567" s="23"/>
      <c r="L567" s="23"/>
      <c r="M567" s="23"/>
      <c r="N567" s="23"/>
      <c r="O567" s="23"/>
      <c r="P567" s="23"/>
      <c r="Q567" s="23"/>
      <c r="R567" s="23"/>
      <c r="S567" s="23"/>
      <c r="T567" s="23"/>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row>
    <row r="568" spans="1:50" x14ac:dyDescent="0.35">
      <c r="A568" s="23"/>
      <c r="B568" s="23"/>
      <c r="C568" s="23"/>
      <c r="D568" s="23"/>
      <c r="E568" s="23"/>
      <c r="F568" s="23"/>
      <c r="G568" s="23"/>
      <c r="H568" s="23"/>
      <c r="I568" s="23"/>
      <c r="J568" s="23"/>
      <c r="K568" s="23"/>
      <c r="L568" s="23"/>
      <c r="M568" s="23"/>
      <c r="N568" s="23"/>
      <c r="O568" s="23"/>
      <c r="P568" s="23"/>
      <c r="Q568" s="23"/>
      <c r="R568" s="23"/>
      <c r="S568" s="23"/>
      <c r="T568" s="23"/>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row>
    <row r="569" spans="1:50" x14ac:dyDescent="0.35">
      <c r="A569" s="23"/>
      <c r="B569" s="23"/>
      <c r="C569" s="23"/>
      <c r="D569" s="23"/>
      <c r="E569" s="23"/>
      <c r="F569" s="23"/>
      <c r="G569" s="23"/>
      <c r="H569" s="23"/>
      <c r="I569" s="23"/>
      <c r="J569" s="23"/>
      <c r="K569" s="23"/>
      <c r="L569" s="23"/>
      <c r="M569" s="23"/>
      <c r="N569" s="23"/>
      <c r="O569" s="23"/>
      <c r="P569" s="23"/>
      <c r="Q569" s="23"/>
      <c r="R569" s="23"/>
      <c r="S569" s="23"/>
      <c r="T569" s="23"/>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row>
    <row r="570" spans="1:50" x14ac:dyDescent="0.35">
      <c r="A570" s="23"/>
      <c r="B570" s="23"/>
      <c r="C570" s="23"/>
      <c r="D570" s="23"/>
      <c r="E570" s="23"/>
      <c r="F570" s="23"/>
      <c r="G570" s="23"/>
      <c r="H570" s="23"/>
      <c r="I570" s="23"/>
      <c r="J570" s="23"/>
      <c r="K570" s="23"/>
      <c r="L570" s="23"/>
      <c r="M570" s="23"/>
      <c r="N570" s="23"/>
      <c r="O570" s="23"/>
      <c r="P570" s="23"/>
      <c r="Q570" s="23"/>
      <c r="R570" s="23"/>
      <c r="S570" s="23"/>
      <c r="T570" s="23"/>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row>
    <row r="571" spans="1:50" x14ac:dyDescent="0.35">
      <c r="A571" s="23"/>
      <c r="B571" s="23"/>
      <c r="C571" s="23"/>
      <c r="D571" s="23"/>
      <c r="E571" s="23"/>
      <c r="F571" s="23"/>
      <c r="G571" s="23"/>
      <c r="H571" s="23"/>
      <c r="I571" s="23"/>
      <c r="J571" s="23"/>
      <c r="K571" s="23"/>
      <c r="L571" s="23"/>
      <c r="M571" s="23"/>
      <c r="N571" s="23"/>
      <c r="O571" s="23"/>
      <c r="P571" s="23"/>
      <c r="Q571" s="23"/>
      <c r="R571" s="23"/>
      <c r="S571" s="23"/>
      <c r="T571" s="23"/>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row>
    <row r="572" spans="1:50" x14ac:dyDescent="0.35">
      <c r="A572" s="23"/>
      <c r="B572" s="23"/>
      <c r="C572" s="23"/>
      <c r="D572" s="23"/>
      <c r="E572" s="23"/>
      <c r="F572" s="23"/>
      <c r="G572" s="23"/>
      <c r="H572" s="23"/>
      <c r="I572" s="23"/>
      <c r="J572" s="23"/>
      <c r="K572" s="23"/>
      <c r="L572" s="23"/>
      <c r="M572" s="23"/>
      <c r="N572" s="23"/>
      <c r="O572" s="23"/>
      <c r="P572" s="23"/>
      <c r="Q572" s="23"/>
      <c r="R572" s="23"/>
      <c r="S572" s="23"/>
      <c r="T572" s="23"/>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row>
    <row r="573" spans="1:50" x14ac:dyDescent="0.35">
      <c r="A573" s="23"/>
      <c r="B573" s="23"/>
      <c r="C573" s="23"/>
      <c r="D573" s="23"/>
      <c r="E573" s="23"/>
      <c r="F573" s="23"/>
      <c r="G573" s="23"/>
      <c r="H573" s="23"/>
      <c r="I573" s="23"/>
      <c r="J573" s="23"/>
      <c r="K573" s="23"/>
      <c r="L573" s="23"/>
      <c r="M573" s="23"/>
      <c r="N573" s="23"/>
      <c r="O573" s="23"/>
      <c r="P573" s="23"/>
      <c r="Q573" s="23"/>
      <c r="R573" s="23"/>
      <c r="S573" s="23"/>
      <c r="T573" s="23"/>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row>
    <row r="574" spans="1:50" x14ac:dyDescent="0.35">
      <c r="A574" s="23"/>
      <c r="B574" s="23"/>
      <c r="C574" s="23"/>
      <c r="D574" s="23"/>
      <c r="E574" s="23"/>
      <c r="F574" s="23"/>
      <c r="G574" s="23"/>
      <c r="H574" s="23"/>
      <c r="I574" s="23"/>
      <c r="J574" s="23"/>
      <c r="K574" s="23"/>
      <c r="L574" s="23"/>
      <c r="M574" s="23"/>
      <c r="N574" s="23"/>
      <c r="O574" s="23"/>
      <c r="P574" s="23"/>
      <c r="Q574" s="23"/>
      <c r="R574" s="23"/>
      <c r="S574" s="23"/>
      <c r="T574" s="23"/>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row>
    <row r="575" spans="1:50" x14ac:dyDescent="0.35">
      <c r="A575" s="23"/>
      <c r="B575" s="23"/>
      <c r="C575" s="23"/>
      <c r="D575" s="23"/>
      <c r="E575" s="23"/>
      <c r="F575" s="23"/>
      <c r="G575" s="23"/>
      <c r="H575" s="23"/>
      <c r="I575" s="23"/>
      <c r="J575" s="23"/>
      <c r="K575" s="23"/>
      <c r="L575" s="23"/>
      <c r="M575" s="23"/>
      <c r="N575" s="23"/>
      <c r="O575" s="23"/>
      <c r="P575" s="23"/>
      <c r="Q575" s="23"/>
      <c r="R575" s="23"/>
      <c r="S575" s="23"/>
      <c r="T575" s="23"/>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row>
    <row r="576" spans="1:50" x14ac:dyDescent="0.35">
      <c r="A576" s="23"/>
      <c r="B576" s="23"/>
      <c r="C576" s="23"/>
      <c r="D576" s="23"/>
      <c r="E576" s="23"/>
      <c r="F576" s="23"/>
      <c r="G576" s="23"/>
      <c r="H576" s="23"/>
      <c r="I576" s="23"/>
      <c r="J576" s="23"/>
      <c r="K576" s="23"/>
      <c r="L576" s="23"/>
      <c r="M576" s="23"/>
      <c r="N576" s="23"/>
      <c r="O576" s="23"/>
      <c r="P576" s="23"/>
      <c r="Q576" s="23"/>
      <c r="R576" s="23"/>
      <c r="S576" s="23"/>
      <c r="T576" s="23"/>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row>
    <row r="577" spans="1:50" x14ac:dyDescent="0.35">
      <c r="A577" s="23"/>
      <c r="B577" s="23"/>
      <c r="C577" s="23"/>
      <c r="D577" s="23"/>
      <c r="E577" s="23"/>
      <c r="F577" s="23"/>
      <c r="G577" s="23"/>
      <c r="H577" s="23"/>
      <c r="I577" s="23"/>
      <c r="J577" s="23"/>
      <c r="K577" s="23"/>
      <c r="L577" s="23"/>
      <c r="M577" s="23"/>
      <c r="N577" s="23"/>
      <c r="O577" s="23"/>
      <c r="P577" s="23"/>
      <c r="Q577" s="23"/>
      <c r="R577" s="23"/>
      <c r="S577" s="23"/>
      <c r="T577" s="23"/>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row>
    <row r="578" spans="1:50" x14ac:dyDescent="0.35">
      <c r="A578" s="23"/>
      <c r="B578" s="23"/>
      <c r="C578" s="23"/>
      <c r="D578" s="23"/>
      <c r="E578" s="23"/>
      <c r="F578" s="23"/>
      <c r="G578" s="23"/>
      <c r="H578" s="23"/>
      <c r="I578" s="23"/>
      <c r="J578" s="23"/>
      <c r="K578" s="23"/>
      <c r="L578" s="23"/>
      <c r="M578" s="23"/>
      <c r="N578" s="23"/>
      <c r="O578" s="23"/>
      <c r="P578" s="23"/>
      <c r="Q578" s="23"/>
      <c r="R578" s="23"/>
      <c r="S578" s="23"/>
      <c r="T578" s="23"/>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row>
    <row r="579" spans="1:50" x14ac:dyDescent="0.35">
      <c r="A579" s="23"/>
      <c r="B579" s="23"/>
      <c r="C579" s="23"/>
      <c r="D579" s="23"/>
      <c r="E579" s="23"/>
      <c r="F579" s="23"/>
      <c r="G579" s="23"/>
      <c r="H579" s="23"/>
      <c r="I579" s="23"/>
      <c r="J579" s="23"/>
      <c r="K579" s="23"/>
      <c r="L579" s="23"/>
      <c r="M579" s="23"/>
      <c r="N579" s="23"/>
      <c r="O579" s="23"/>
      <c r="P579" s="23"/>
      <c r="Q579" s="23"/>
      <c r="R579" s="23"/>
      <c r="S579" s="23"/>
      <c r="T579" s="23"/>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row>
    <row r="580" spans="1:50" x14ac:dyDescent="0.35">
      <c r="A580" s="23"/>
      <c r="B580" s="23"/>
      <c r="C580" s="23"/>
      <c r="D580" s="23"/>
      <c r="E580" s="23"/>
      <c r="F580" s="23"/>
      <c r="G580" s="23"/>
      <c r="H580" s="23"/>
      <c r="I580" s="23"/>
      <c r="J580" s="23"/>
      <c r="K580" s="23"/>
      <c r="L580" s="23"/>
      <c r="M580" s="23"/>
      <c r="N580" s="23"/>
      <c r="O580" s="23"/>
      <c r="P580" s="23"/>
      <c r="Q580" s="23"/>
      <c r="R580" s="23"/>
      <c r="S580" s="23"/>
      <c r="T580" s="23"/>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row>
    <row r="581" spans="1:50" x14ac:dyDescent="0.35">
      <c r="A581" s="23"/>
      <c r="B581" s="23"/>
      <c r="C581" s="23"/>
      <c r="D581" s="23"/>
      <c r="E581" s="23"/>
      <c r="F581" s="23"/>
      <c r="G581" s="23"/>
      <c r="H581" s="23"/>
      <c r="I581" s="23"/>
      <c r="J581" s="23"/>
      <c r="K581" s="23"/>
      <c r="L581" s="23"/>
      <c r="M581" s="23"/>
      <c r="N581" s="23"/>
      <c r="O581" s="23"/>
      <c r="P581" s="23"/>
      <c r="Q581" s="23"/>
      <c r="R581" s="23"/>
      <c r="S581" s="23"/>
      <c r="T581" s="23"/>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row>
    <row r="582" spans="1:50" x14ac:dyDescent="0.35">
      <c r="A582" s="23"/>
      <c r="B582" s="23"/>
      <c r="C582" s="23"/>
      <c r="D582" s="23"/>
      <c r="E582" s="23"/>
      <c r="F582" s="23"/>
      <c r="G582" s="23"/>
      <c r="H582" s="23"/>
      <c r="I582" s="23"/>
      <c r="J582" s="23"/>
      <c r="K582" s="23"/>
      <c r="L582" s="23"/>
      <c r="M582" s="23"/>
      <c r="N582" s="23"/>
      <c r="O582" s="23"/>
      <c r="P582" s="23"/>
      <c r="Q582" s="23"/>
      <c r="R582" s="23"/>
      <c r="S582" s="23"/>
      <c r="T582" s="23"/>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row>
    <row r="583" spans="1:50" x14ac:dyDescent="0.35">
      <c r="A583" s="23"/>
      <c r="B583" s="23"/>
      <c r="C583" s="23"/>
      <c r="D583" s="23"/>
      <c r="E583" s="23"/>
      <c r="F583" s="23"/>
      <c r="G583" s="23"/>
      <c r="H583" s="23"/>
      <c r="I583" s="23"/>
      <c r="J583" s="23"/>
      <c r="K583" s="23"/>
      <c r="L583" s="23"/>
      <c r="M583" s="23"/>
      <c r="N583" s="23"/>
      <c r="O583" s="23"/>
      <c r="P583" s="23"/>
      <c r="Q583" s="23"/>
      <c r="R583" s="23"/>
      <c r="S583" s="23"/>
      <c r="T583" s="23"/>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row>
    <row r="584" spans="1:50" x14ac:dyDescent="0.35">
      <c r="A584" s="23"/>
      <c r="B584" s="23"/>
      <c r="C584" s="23"/>
      <c r="D584" s="23"/>
      <c r="E584" s="23"/>
      <c r="F584" s="23"/>
      <c r="G584" s="23"/>
      <c r="H584" s="23"/>
      <c r="I584" s="23"/>
      <c r="J584" s="23"/>
      <c r="K584" s="23"/>
      <c r="L584" s="23"/>
      <c r="M584" s="23"/>
      <c r="N584" s="23"/>
      <c r="O584" s="23"/>
      <c r="P584" s="23"/>
      <c r="Q584" s="23"/>
      <c r="R584" s="23"/>
      <c r="S584" s="23"/>
      <c r="T584" s="23"/>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row>
    <row r="585" spans="1:50" x14ac:dyDescent="0.35">
      <c r="A585" s="23"/>
      <c r="B585" s="23"/>
      <c r="C585" s="23"/>
      <c r="D585" s="23"/>
      <c r="E585" s="23"/>
      <c r="F585" s="23"/>
      <c r="G585" s="23"/>
      <c r="H585" s="23"/>
      <c r="I585" s="23"/>
      <c r="J585" s="23"/>
      <c r="K585" s="23"/>
      <c r="L585" s="23"/>
      <c r="M585" s="23"/>
      <c r="N585" s="23"/>
      <c r="O585" s="23"/>
      <c r="P585" s="23"/>
      <c r="Q585" s="23"/>
      <c r="R585" s="23"/>
      <c r="S585" s="23"/>
      <c r="T585" s="23"/>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row>
    <row r="586" spans="1:50" x14ac:dyDescent="0.35">
      <c r="A586" s="23"/>
      <c r="B586" s="23"/>
      <c r="C586" s="23"/>
      <c r="D586" s="23"/>
      <c r="E586" s="23"/>
      <c r="F586" s="23"/>
      <c r="G586" s="23"/>
      <c r="H586" s="23"/>
      <c r="I586" s="23"/>
      <c r="J586" s="23"/>
      <c r="K586" s="23"/>
      <c r="L586" s="23"/>
      <c r="M586" s="23"/>
      <c r="N586" s="23"/>
      <c r="O586" s="23"/>
      <c r="P586" s="23"/>
      <c r="Q586" s="23"/>
      <c r="R586" s="23"/>
      <c r="S586" s="23"/>
      <c r="T586" s="23"/>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row>
    <row r="587" spans="1:50" x14ac:dyDescent="0.35">
      <c r="A587" s="23"/>
      <c r="B587" s="23"/>
      <c r="C587" s="23"/>
      <c r="D587" s="23"/>
      <c r="E587" s="23"/>
      <c r="F587" s="23"/>
      <c r="G587" s="23"/>
      <c r="H587" s="23"/>
      <c r="I587" s="23"/>
      <c r="J587" s="23"/>
      <c r="K587" s="23"/>
      <c r="L587" s="23"/>
      <c r="M587" s="23"/>
      <c r="N587" s="23"/>
      <c r="O587" s="23"/>
      <c r="P587" s="23"/>
      <c r="Q587" s="23"/>
      <c r="R587" s="23"/>
      <c r="S587" s="23"/>
      <c r="T587" s="23"/>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row>
    <row r="588" spans="1:50" x14ac:dyDescent="0.35">
      <c r="A588" s="23"/>
      <c r="B588" s="23"/>
      <c r="C588" s="23"/>
      <c r="D588" s="23"/>
      <c r="E588" s="23"/>
      <c r="F588" s="23"/>
      <c r="G588" s="23"/>
      <c r="H588" s="23"/>
      <c r="I588" s="23"/>
      <c r="J588" s="23"/>
      <c r="K588" s="23"/>
      <c r="L588" s="23"/>
      <c r="M588" s="23"/>
      <c r="N588" s="23"/>
      <c r="O588" s="23"/>
      <c r="P588" s="23"/>
      <c r="Q588" s="23"/>
      <c r="R588" s="23"/>
      <c r="S588" s="23"/>
      <c r="T588" s="23"/>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row>
    <row r="589" spans="1:50" x14ac:dyDescent="0.35">
      <c r="A589" s="23"/>
      <c r="B589" s="23"/>
      <c r="C589" s="23"/>
      <c r="D589" s="23"/>
      <c r="E589" s="23"/>
      <c r="F589" s="23"/>
      <c r="G589" s="23"/>
      <c r="H589" s="23"/>
      <c r="I589" s="23"/>
      <c r="J589" s="23"/>
      <c r="K589" s="23"/>
      <c r="L589" s="23"/>
      <c r="M589" s="23"/>
      <c r="N589" s="23"/>
      <c r="O589" s="23"/>
      <c r="P589" s="23"/>
      <c r="Q589" s="23"/>
      <c r="R589" s="23"/>
      <c r="S589" s="23"/>
      <c r="T589" s="23"/>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row>
    <row r="590" spans="1:50" x14ac:dyDescent="0.35">
      <c r="A590" s="23"/>
      <c r="B590" s="23"/>
      <c r="C590" s="23"/>
      <c r="D590" s="23"/>
      <c r="E590" s="23"/>
      <c r="F590" s="23"/>
      <c r="G590" s="23"/>
      <c r="H590" s="23"/>
      <c r="I590" s="23"/>
      <c r="J590" s="23"/>
      <c r="K590" s="23"/>
      <c r="L590" s="23"/>
      <c r="M590" s="23"/>
      <c r="N590" s="23"/>
      <c r="O590" s="23"/>
      <c r="P590" s="23"/>
      <c r="Q590" s="23"/>
      <c r="R590" s="23"/>
      <c r="S590" s="23"/>
      <c r="T590" s="23"/>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row>
    <row r="591" spans="1:50" x14ac:dyDescent="0.35">
      <c r="A591" s="23"/>
      <c r="B591" s="23"/>
      <c r="C591" s="23"/>
      <c r="D591" s="23"/>
      <c r="E591" s="23"/>
      <c r="F591" s="23"/>
      <c r="G591" s="23"/>
      <c r="H591" s="23"/>
      <c r="I591" s="23"/>
      <c r="J591" s="23"/>
      <c r="K591" s="23"/>
      <c r="L591" s="23"/>
      <c r="M591" s="23"/>
      <c r="N591" s="23"/>
      <c r="O591" s="23"/>
      <c r="P591" s="23"/>
      <c r="Q591" s="23"/>
      <c r="R591" s="23"/>
      <c r="S591" s="23"/>
      <c r="T591" s="23"/>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row>
    <row r="592" spans="1:50" x14ac:dyDescent="0.35">
      <c r="A592" s="23"/>
      <c r="B592" s="23"/>
      <c r="C592" s="23"/>
      <c r="D592" s="23"/>
      <c r="E592" s="23"/>
      <c r="F592" s="23"/>
      <c r="G592" s="23"/>
      <c r="H592" s="23"/>
      <c r="I592" s="23"/>
      <c r="J592" s="23"/>
      <c r="K592" s="23"/>
      <c r="L592" s="23"/>
      <c r="M592" s="23"/>
      <c r="N592" s="23"/>
      <c r="O592" s="23"/>
      <c r="P592" s="23"/>
      <c r="Q592" s="23"/>
      <c r="R592" s="23"/>
      <c r="S592" s="23"/>
      <c r="T592" s="23"/>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row>
    <row r="593" spans="1:50" x14ac:dyDescent="0.35">
      <c r="A593" s="23"/>
      <c r="B593" s="23"/>
      <c r="C593" s="23"/>
      <c r="D593" s="23"/>
      <c r="E593" s="23"/>
      <c r="F593" s="23"/>
      <c r="G593" s="23"/>
      <c r="H593" s="23"/>
      <c r="I593" s="23"/>
      <c r="J593" s="23"/>
      <c r="K593" s="23"/>
      <c r="L593" s="23"/>
      <c r="M593" s="23"/>
      <c r="N593" s="23"/>
      <c r="O593" s="23"/>
      <c r="P593" s="23"/>
      <c r="Q593" s="23"/>
      <c r="R593" s="23"/>
      <c r="S593" s="23"/>
      <c r="T593" s="23"/>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row>
    <row r="594" spans="1:50" x14ac:dyDescent="0.35">
      <c r="A594" s="23"/>
      <c r="B594" s="23"/>
      <c r="C594" s="23"/>
      <c r="D594" s="23"/>
      <c r="E594" s="23"/>
      <c r="F594" s="23"/>
      <c r="G594" s="23"/>
      <c r="H594" s="23"/>
      <c r="I594" s="23"/>
      <c r="J594" s="23"/>
      <c r="K594" s="23"/>
      <c r="L594" s="23"/>
      <c r="M594" s="23"/>
      <c r="N594" s="23"/>
      <c r="O594" s="23"/>
      <c r="P594" s="23"/>
      <c r="Q594" s="23"/>
      <c r="R594" s="23"/>
      <c r="S594" s="23"/>
      <c r="T594" s="23"/>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row>
    <row r="595" spans="1:50" x14ac:dyDescent="0.35">
      <c r="A595" s="23"/>
      <c r="B595" s="23"/>
      <c r="C595" s="23"/>
      <c r="D595" s="23"/>
      <c r="E595" s="23"/>
      <c r="F595" s="23"/>
      <c r="G595" s="23"/>
      <c r="H595" s="23"/>
      <c r="I595" s="23"/>
      <c r="J595" s="23"/>
      <c r="K595" s="23"/>
      <c r="L595" s="23"/>
      <c r="M595" s="23"/>
      <c r="N595" s="23"/>
      <c r="O595" s="23"/>
      <c r="P595" s="23"/>
      <c r="Q595" s="23"/>
      <c r="R595" s="23"/>
      <c r="S595" s="23"/>
      <c r="T595" s="23"/>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row>
    <row r="596" spans="1:50" x14ac:dyDescent="0.35">
      <c r="A596" s="23"/>
      <c r="B596" s="23"/>
      <c r="C596" s="23"/>
      <c r="D596" s="23"/>
      <c r="E596" s="23"/>
      <c r="F596" s="23"/>
      <c r="G596" s="23"/>
      <c r="H596" s="23"/>
      <c r="I596" s="23"/>
      <c r="J596" s="23"/>
      <c r="K596" s="23"/>
      <c r="L596" s="23"/>
      <c r="M596" s="23"/>
      <c r="N596" s="23"/>
      <c r="O596" s="23"/>
      <c r="P596" s="23"/>
      <c r="Q596" s="23"/>
      <c r="R596" s="23"/>
      <c r="S596" s="23"/>
      <c r="T596" s="23"/>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row>
    <row r="597" spans="1:50" x14ac:dyDescent="0.35">
      <c r="A597" s="23"/>
      <c r="B597" s="23"/>
      <c r="C597" s="23"/>
      <c r="D597" s="23"/>
      <c r="E597" s="23"/>
      <c r="F597" s="23"/>
      <c r="G597" s="23"/>
      <c r="H597" s="23"/>
      <c r="I597" s="23"/>
      <c r="J597" s="23"/>
      <c r="K597" s="23"/>
      <c r="L597" s="23"/>
      <c r="M597" s="23"/>
      <c r="N597" s="23"/>
      <c r="O597" s="23"/>
      <c r="P597" s="23"/>
      <c r="Q597" s="23"/>
      <c r="R597" s="23"/>
      <c r="S597" s="23"/>
      <c r="T597" s="23"/>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row>
    <row r="598" spans="1:50" x14ac:dyDescent="0.35">
      <c r="A598" s="23"/>
      <c r="B598" s="23"/>
      <c r="C598" s="23"/>
      <c r="D598" s="23"/>
      <c r="E598" s="23"/>
      <c r="F598" s="23"/>
      <c r="G598" s="23"/>
      <c r="H598" s="23"/>
      <c r="I598" s="23"/>
      <c r="J598" s="23"/>
      <c r="K598" s="23"/>
      <c r="L598" s="23"/>
      <c r="M598" s="23"/>
      <c r="N598" s="23"/>
      <c r="O598" s="23"/>
      <c r="P598" s="23"/>
      <c r="Q598" s="23"/>
      <c r="R598" s="23"/>
      <c r="S598" s="23"/>
      <c r="T598" s="23"/>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row>
    <row r="599" spans="1:50" x14ac:dyDescent="0.35">
      <c r="A599" s="23"/>
      <c r="B599" s="23"/>
      <c r="C599" s="23"/>
      <c r="D599" s="23"/>
      <c r="E599" s="23"/>
      <c r="F599" s="23"/>
      <c r="G599" s="23"/>
      <c r="H599" s="23"/>
      <c r="I599" s="23"/>
      <c r="J599" s="23"/>
      <c r="K599" s="23"/>
      <c r="L599" s="23"/>
      <c r="M599" s="23"/>
      <c r="N599" s="23"/>
      <c r="O599" s="23"/>
      <c r="P599" s="23"/>
      <c r="Q599" s="23"/>
      <c r="R599" s="23"/>
      <c r="S599" s="23"/>
      <c r="T599" s="23"/>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row>
    <row r="600" spans="1:50" x14ac:dyDescent="0.35">
      <c r="A600" s="23"/>
      <c r="B600" s="23"/>
      <c r="C600" s="23"/>
      <c r="D600" s="23"/>
      <c r="E600" s="23"/>
      <c r="F600" s="23"/>
      <c r="G600" s="23"/>
      <c r="H600" s="23"/>
      <c r="I600" s="23"/>
      <c r="J600" s="23"/>
      <c r="K600" s="23"/>
      <c r="L600" s="23"/>
      <c r="M600" s="23"/>
      <c r="N600" s="23"/>
      <c r="O600" s="23"/>
      <c r="P600" s="23"/>
      <c r="Q600" s="23"/>
      <c r="R600" s="23"/>
      <c r="S600" s="23"/>
      <c r="T600" s="23"/>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row>
    <row r="601" spans="1:50" x14ac:dyDescent="0.35">
      <c r="A601" s="23"/>
      <c r="B601" s="23"/>
      <c r="C601" s="23"/>
      <c r="D601" s="23"/>
      <c r="E601" s="23"/>
      <c r="F601" s="23"/>
      <c r="G601" s="23"/>
      <c r="H601" s="23"/>
      <c r="I601" s="23"/>
      <c r="J601" s="23"/>
      <c r="K601" s="23"/>
      <c r="L601" s="23"/>
      <c r="M601" s="23"/>
      <c r="N601" s="23"/>
      <c r="O601" s="23"/>
      <c r="P601" s="23"/>
      <c r="Q601" s="23"/>
      <c r="R601" s="23"/>
      <c r="S601" s="23"/>
      <c r="T601" s="23"/>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row>
    <row r="602" spans="1:50" x14ac:dyDescent="0.35">
      <c r="A602" s="23"/>
      <c r="B602" s="23"/>
      <c r="C602" s="23"/>
      <c r="D602" s="23"/>
      <c r="E602" s="23"/>
      <c r="F602" s="23"/>
      <c r="G602" s="23"/>
      <c r="H602" s="23"/>
      <c r="I602" s="23"/>
      <c r="J602" s="23"/>
      <c r="K602" s="23"/>
      <c r="L602" s="23"/>
      <c r="M602" s="23"/>
      <c r="N602" s="23"/>
      <c r="O602" s="23"/>
      <c r="P602" s="23"/>
      <c r="Q602" s="23"/>
      <c r="R602" s="23"/>
      <c r="S602" s="23"/>
      <c r="T602" s="23"/>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row>
    <row r="603" spans="1:50" x14ac:dyDescent="0.35">
      <c r="A603" s="23"/>
      <c r="B603" s="23"/>
      <c r="C603" s="23"/>
      <c r="D603" s="23"/>
      <c r="E603" s="23"/>
      <c r="F603" s="23"/>
      <c r="G603" s="23"/>
      <c r="H603" s="23"/>
      <c r="I603" s="23"/>
      <c r="J603" s="23"/>
      <c r="K603" s="23"/>
      <c r="L603" s="23"/>
      <c r="M603" s="23"/>
      <c r="N603" s="23"/>
      <c r="O603" s="23"/>
      <c r="P603" s="23"/>
      <c r="Q603" s="23"/>
      <c r="R603" s="23"/>
      <c r="S603" s="23"/>
      <c r="T603" s="23"/>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row>
    <row r="604" spans="1:50" x14ac:dyDescent="0.35">
      <c r="A604" s="23"/>
      <c r="B604" s="23"/>
      <c r="C604" s="23"/>
      <c r="D604" s="23"/>
      <c r="E604" s="23"/>
      <c r="F604" s="23"/>
      <c r="G604" s="23"/>
      <c r="H604" s="23"/>
      <c r="I604" s="23"/>
      <c r="J604" s="23"/>
      <c r="K604" s="23"/>
      <c r="L604" s="23"/>
      <c r="M604" s="23"/>
      <c r="N604" s="23"/>
      <c r="O604" s="23"/>
      <c r="P604" s="23"/>
      <c r="Q604" s="23"/>
      <c r="R604" s="23"/>
      <c r="S604" s="23"/>
      <c r="T604" s="23"/>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row>
    <row r="605" spans="1:50" x14ac:dyDescent="0.35">
      <c r="A605" s="23"/>
      <c r="B605" s="23"/>
      <c r="C605" s="23"/>
      <c r="D605" s="23"/>
      <c r="E605" s="23"/>
      <c r="F605" s="23"/>
      <c r="G605" s="23"/>
      <c r="H605" s="23"/>
      <c r="I605" s="23"/>
      <c r="J605" s="23"/>
      <c r="K605" s="23"/>
      <c r="L605" s="23"/>
      <c r="M605" s="23"/>
      <c r="N605" s="23"/>
      <c r="O605" s="23"/>
      <c r="P605" s="23"/>
      <c r="Q605" s="23"/>
      <c r="R605" s="23"/>
      <c r="S605" s="23"/>
      <c r="T605" s="23"/>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row>
    <row r="606" spans="1:50" x14ac:dyDescent="0.35">
      <c r="A606" s="23"/>
      <c r="B606" s="23"/>
      <c r="C606" s="23"/>
      <c r="D606" s="23"/>
      <c r="E606" s="23"/>
      <c r="F606" s="23"/>
      <c r="G606" s="23"/>
      <c r="H606" s="23"/>
      <c r="I606" s="23"/>
      <c r="J606" s="23"/>
      <c r="K606" s="23"/>
      <c r="L606" s="23"/>
      <c r="M606" s="23"/>
      <c r="N606" s="23"/>
      <c r="O606" s="23"/>
      <c r="P606" s="23"/>
      <c r="Q606" s="23"/>
      <c r="R606" s="23"/>
      <c r="S606" s="23"/>
      <c r="T606" s="23"/>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row>
    <row r="607" spans="1:50" x14ac:dyDescent="0.35">
      <c r="A607" s="23"/>
      <c r="B607" s="23"/>
      <c r="C607" s="23"/>
      <c r="D607" s="23"/>
      <c r="E607" s="23"/>
      <c r="F607" s="23"/>
      <c r="G607" s="23"/>
      <c r="H607" s="23"/>
      <c r="I607" s="23"/>
      <c r="J607" s="23"/>
      <c r="K607" s="23"/>
      <c r="L607" s="23"/>
      <c r="M607" s="23"/>
      <c r="N607" s="23"/>
      <c r="O607" s="23"/>
      <c r="P607" s="23"/>
      <c r="Q607" s="23"/>
      <c r="R607" s="23"/>
      <c r="S607" s="23"/>
      <c r="T607" s="23"/>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row>
    <row r="608" spans="1:50" x14ac:dyDescent="0.35">
      <c r="A608" s="23"/>
      <c r="B608" s="23"/>
      <c r="C608" s="23"/>
      <c r="D608" s="23"/>
      <c r="E608" s="23"/>
      <c r="F608" s="23"/>
      <c r="G608" s="23"/>
      <c r="H608" s="23"/>
      <c r="I608" s="23"/>
      <c r="J608" s="23"/>
      <c r="K608" s="23"/>
      <c r="L608" s="23"/>
      <c r="M608" s="23"/>
      <c r="N608" s="23"/>
      <c r="O608" s="23"/>
      <c r="P608" s="23"/>
      <c r="Q608" s="23"/>
      <c r="R608" s="23"/>
      <c r="S608" s="23"/>
      <c r="T608" s="23"/>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row>
    <row r="609" spans="1:50" x14ac:dyDescent="0.35">
      <c r="A609" s="23"/>
      <c r="B609" s="23"/>
      <c r="C609" s="23"/>
      <c r="D609" s="23"/>
      <c r="E609" s="23"/>
      <c r="F609" s="23"/>
      <c r="G609" s="23"/>
      <c r="H609" s="23"/>
      <c r="I609" s="23"/>
      <c r="J609" s="23"/>
      <c r="K609" s="23"/>
      <c r="L609" s="23"/>
      <c r="M609" s="23"/>
      <c r="N609" s="23"/>
      <c r="O609" s="23"/>
      <c r="P609" s="23"/>
      <c r="Q609" s="23"/>
      <c r="R609" s="23"/>
      <c r="S609" s="23"/>
      <c r="T609" s="23"/>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row>
    <row r="610" spans="1:50" x14ac:dyDescent="0.35">
      <c r="A610" s="23"/>
      <c r="B610" s="23"/>
      <c r="C610" s="23"/>
      <c r="D610" s="23"/>
      <c r="E610" s="23"/>
      <c r="F610" s="23"/>
      <c r="G610" s="23"/>
      <c r="H610" s="23"/>
      <c r="I610" s="23"/>
      <c r="J610" s="23"/>
      <c r="K610" s="23"/>
      <c r="L610" s="23"/>
      <c r="M610" s="23"/>
      <c r="N610" s="23"/>
      <c r="O610" s="23"/>
      <c r="P610" s="23"/>
      <c r="Q610" s="23"/>
      <c r="R610" s="23"/>
      <c r="S610" s="23"/>
      <c r="T610" s="23"/>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row>
    <row r="611" spans="1:50" x14ac:dyDescent="0.35">
      <c r="A611" s="23"/>
      <c r="B611" s="23"/>
      <c r="C611" s="23"/>
      <c r="D611" s="23"/>
      <c r="E611" s="23"/>
      <c r="F611" s="23"/>
      <c r="G611" s="23"/>
      <c r="H611" s="23"/>
      <c r="I611" s="23"/>
      <c r="J611" s="23"/>
      <c r="K611" s="23"/>
      <c r="L611" s="23"/>
      <c r="M611" s="23"/>
      <c r="N611" s="23"/>
      <c r="O611" s="23"/>
      <c r="P611" s="23"/>
      <c r="Q611" s="23"/>
      <c r="R611" s="23"/>
      <c r="S611" s="23"/>
      <c r="T611" s="23"/>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row>
    <row r="612" spans="1:50" x14ac:dyDescent="0.35">
      <c r="A612" s="23"/>
      <c r="B612" s="23"/>
      <c r="C612" s="23"/>
      <c r="D612" s="23"/>
      <c r="E612" s="23"/>
      <c r="F612" s="23"/>
      <c r="G612" s="23"/>
      <c r="H612" s="23"/>
      <c r="I612" s="23"/>
      <c r="J612" s="23"/>
      <c r="K612" s="23"/>
      <c r="L612" s="23"/>
      <c r="M612" s="23"/>
      <c r="N612" s="23"/>
      <c r="O612" s="23"/>
      <c r="P612" s="23"/>
      <c r="Q612" s="23"/>
      <c r="R612" s="23"/>
      <c r="S612" s="23"/>
      <c r="T612" s="23"/>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row>
    <row r="613" spans="1:50" x14ac:dyDescent="0.35">
      <c r="A613" s="23"/>
      <c r="B613" s="23"/>
      <c r="C613" s="23"/>
      <c r="D613" s="23"/>
      <c r="E613" s="23"/>
      <c r="F613" s="23"/>
      <c r="G613" s="23"/>
      <c r="H613" s="23"/>
      <c r="I613" s="23"/>
      <c r="J613" s="23"/>
      <c r="K613" s="23"/>
      <c r="L613" s="23"/>
      <c r="M613" s="23"/>
      <c r="N613" s="23"/>
      <c r="O613" s="23"/>
      <c r="P613" s="23"/>
      <c r="Q613" s="23"/>
      <c r="R613" s="23"/>
      <c r="S613" s="23"/>
      <c r="T613" s="23"/>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row>
    <row r="614" spans="1:50" x14ac:dyDescent="0.35">
      <c r="A614" s="23"/>
      <c r="B614" s="23"/>
      <c r="C614" s="23"/>
      <c r="D614" s="23"/>
      <c r="E614" s="23"/>
      <c r="F614" s="23"/>
      <c r="G614" s="23"/>
      <c r="H614" s="23"/>
      <c r="I614" s="23"/>
      <c r="J614" s="23"/>
      <c r="K614" s="23"/>
      <c r="L614" s="23"/>
      <c r="M614" s="23"/>
      <c r="N614" s="23"/>
      <c r="O614" s="23"/>
      <c r="P614" s="23"/>
      <c r="Q614" s="23"/>
      <c r="R614" s="23"/>
      <c r="S614" s="23"/>
      <c r="T614" s="23"/>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row>
    <row r="615" spans="1:50" x14ac:dyDescent="0.35">
      <c r="A615" s="23"/>
      <c r="B615" s="23"/>
      <c r="C615" s="23"/>
      <c r="D615" s="23"/>
      <c r="E615" s="23"/>
      <c r="F615" s="23"/>
      <c r="G615" s="23"/>
      <c r="H615" s="23"/>
      <c r="I615" s="23"/>
      <c r="J615" s="23"/>
      <c r="K615" s="23"/>
      <c r="L615" s="23"/>
      <c r="M615" s="23"/>
      <c r="N615" s="23"/>
      <c r="O615" s="23"/>
      <c r="P615" s="23"/>
      <c r="Q615" s="23"/>
      <c r="R615" s="23"/>
      <c r="S615" s="23"/>
      <c r="T615" s="23"/>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row>
    <row r="616" spans="1:50" x14ac:dyDescent="0.35">
      <c r="A616" s="23"/>
      <c r="B616" s="23"/>
      <c r="C616" s="23"/>
      <c r="D616" s="23"/>
      <c r="E616" s="23"/>
      <c r="F616" s="23"/>
      <c r="G616" s="23"/>
      <c r="H616" s="23"/>
      <c r="I616" s="23"/>
      <c r="J616" s="23"/>
      <c r="K616" s="23"/>
      <c r="L616" s="23"/>
      <c r="M616" s="23"/>
      <c r="N616" s="23"/>
      <c r="O616" s="23"/>
      <c r="P616" s="23"/>
      <c r="Q616" s="23"/>
      <c r="R616" s="23"/>
      <c r="S616" s="23"/>
      <c r="T616" s="23"/>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row>
    <row r="617" spans="1:50" x14ac:dyDescent="0.35">
      <c r="A617" s="23"/>
      <c r="B617" s="23"/>
      <c r="C617" s="23"/>
      <c r="D617" s="23"/>
      <c r="E617" s="23"/>
      <c r="F617" s="23"/>
      <c r="G617" s="23"/>
      <c r="H617" s="23"/>
      <c r="I617" s="23"/>
      <c r="J617" s="23"/>
      <c r="K617" s="23"/>
      <c r="L617" s="23"/>
      <c r="M617" s="23"/>
      <c r="N617" s="23"/>
      <c r="O617" s="23"/>
      <c r="P617" s="23"/>
      <c r="Q617" s="23"/>
      <c r="R617" s="23"/>
      <c r="S617" s="23"/>
      <c r="T617" s="23"/>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row>
    <row r="618" spans="1:50" x14ac:dyDescent="0.35">
      <c r="A618" s="23"/>
      <c r="B618" s="23"/>
      <c r="C618" s="23"/>
      <c r="D618" s="23"/>
      <c r="E618" s="23"/>
      <c r="F618" s="23"/>
      <c r="G618" s="23"/>
      <c r="H618" s="23"/>
      <c r="I618" s="23"/>
      <c r="J618" s="23"/>
      <c r="K618" s="23"/>
      <c r="L618" s="23"/>
      <c r="M618" s="23"/>
      <c r="N618" s="23"/>
      <c r="O618" s="23"/>
      <c r="P618" s="23"/>
      <c r="Q618" s="23"/>
      <c r="R618" s="23"/>
      <c r="S618" s="23"/>
      <c r="T618" s="23"/>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row>
    <row r="619" spans="1:50" x14ac:dyDescent="0.35">
      <c r="A619" s="23"/>
      <c r="B619" s="23"/>
      <c r="C619" s="23"/>
      <c r="D619" s="23"/>
      <c r="E619" s="23"/>
      <c r="F619" s="23"/>
      <c r="G619" s="23"/>
      <c r="H619" s="23"/>
      <c r="I619" s="23"/>
      <c r="J619" s="23"/>
      <c r="K619" s="23"/>
      <c r="L619" s="23"/>
      <c r="M619" s="23"/>
      <c r="N619" s="23"/>
      <c r="O619" s="23"/>
      <c r="P619" s="23"/>
      <c r="Q619" s="23"/>
      <c r="R619" s="23"/>
      <c r="S619" s="23"/>
      <c r="T619" s="23"/>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row>
    <row r="620" spans="1:50" x14ac:dyDescent="0.35">
      <c r="A620" s="23"/>
      <c r="B620" s="23"/>
      <c r="C620" s="23"/>
      <c r="D620" s="23"/>
      <c r="E620" s="23"/>
      <c r="F620" s="23"/>
      <c r="G620" s="23"/>
      <c r="H620" s="23"/>
      <c r="I620" s="23"/>
      <c r="J620" s="23"/>
      <c r="K620" s="23"/>
      <c r="L620" s="23"/>
      <c r="M620" s="23"/>
      <c r="N620" s="23"/>
      <c r="O620" s="23"/>
      <c r="P620" s="23"/>
      <c r="Q620" s="23"/>
      <c r="R620" s="23"/>
      <c r="S620" s="23"/>
      <c r="T620" s="23"/>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row>
    <row r="621" spans="1:50" x14ac:dyDescent="0.35">
      <c r="A621" s="23"/>
      <c r="B621" s="23"/>
      <c r="C621" s="23"/>
      <c r="D621" s="23"/>
      <c r="E621" s="23"/>
      <c r="F621" s="23"/>
      <c r="G621" s="23"/>
      <c r="H621" s="23"/>
      <c r="I621" s="23"/>
      <c r="J621" s="23"/>
      <c r="K621" s="23"/>
      <c r="L621" s="23"/>
      <c r="M621" s="23"/>
      <c r="N621" s="23"/>
      <c r="O621" s="23"/>
      <c r="P621" s="23"/>
      <c r="Q621" s="23"/>
      <c r="R621" s="23"/>
      <c r="S621" s="23"/>
      <c r="T621" s="23"/>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row>
    <row r="622" spans="1:50" x14ac:dyDescent="0.35">
      <c r="A622" s="23"/>
      <c r="B622" s="23"/>
      <c r="C622" s="23"/>
      <c r="D622" s="23"/>
      <c r="E622" s="23"/>
      <c r="F622" s="23"/>
      <c r="G622" s="23"/>
      <c r="H622" s="23"/>
      <c r="I622" s="23"/>
      <c r="J622" s="23"/>
      <c r="K622" s="23"/>
      <c r="L622" s="23"/>
      <c r="M622" s="23"/>
      <c r="N622" s="23"/>
      <c r="O622" s="23"/>
      <c r="P622" s="23"/>
      <c r="Q622" s="23"/>
      <c r="R622" s="23"/>
      <c r="S622" s="23"/>
      <c r="T622" s="23"/>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row>
    <row r="623" spans="1:50" x14ac:dyDescent="0.35">
      <c r="A623" s="23"/>
      <c r="B623" s="23"/>
      <c r="C623" s="23"/>
      <c r="D623" s="23"/>
      <c r="E623" s="23"/>
      <c r="F623" s="23"/>
      <c r="G623" s="23"/>
      <c r="H623" s="23"/>
      <c r="I623" s="23"/>
      <c r="J623" s="23"/>
      <c r="K623" s="23"/>
      <c r="L623" s="23"/>
      <c r="M623" s="23"/>
      <c r="N623" s="23"/>
      <c r="O623" s="23"/>
      <c r="P623" s="23"/>
      <c r="Q623" s="23"/>
      <c r="R623" s="23"/>
      <c r="S623" s="23"/>
      <c r="T623" s="23"/>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row>
    <row r="624" spans="1:50" x14ac:dyDescent="0.35">
      <c r="A624" s="23"/>
      <c r="B624" s="23"/>
      <c r="C624" s="23"/>
      <c r="D624" s="23"/>
      <c r="E624" s="23"/>
      <c r="F624" s="23"/>
      <c r="G624" s="23"/>
      <c r="H624" s="23"/>
      <c r="I624" s="23"/>
      <c r="J624" s="23"/>
      <c r="K624" s="23"/>
      <c r="L624" s="23"/>
      <c r="M624" s="23"/>
      <c r="N624" s="23"/>
      <c r="O624" s="23"/>
      <c r="P624" s="23"/>
      <c r="Q624" s="23"/>
      <c r="R624" s="23"/>
      <c r="S624" s="23"/>
      <c r="T624" s="23"/>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row>
    <row r="625" spans="1:50" x14ac:dyDescent="0.35">
      <c r="A625" s="23"/>
      <c r="B625" s="23"/>
      <c r="C625" s="23"/>
      <c r="D625" s="23"/>
      <c r="E625" s="23"/>
      <c r="F625" s="23"/>
      <c r="G625" s="23"/>
      <c r="H625" s="23"/>
      <c r="I625" s="23"/>
      <c r="J625" s="23"/>
      <c r="K625" s="23"/>
      <c r="L625" s="23"/>
      <c r="M625" s="23"/>
      <c r="N625" s="23"/>
      <c r="O625" s="23"/>
      <c r="P625" s="23"/>
      <c r="Q625" s="23"/>
      <c r="R625" s="23"/>
      <c r="S625" s="23"/>
      <c r="T625" s="23"/>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row>
    <row r="626" spans="1:50" x14ac:dyDescent="0.35">
      <c r="A626" s="23"/>
      <c r="B626" s="23"/>
      <c r="C626" s="23"/>
      <c r="D626" s="23"/>
      <c r="E626" s="23"/>
      <c r="F626" s="23"/>
      <c r="G626" s="23"/>
      <c r="H626" s="23"/>
      <c r="I626" s="23"/>
      <c r="J626" s="23"/>
      <c r="K626" s="23"/>
      <c r="L626" s="23"/>
      <c r="M626" s="23"/>
      <c r="N626" s="23"/>
      <c r="O626" s="23"/>
      <c r="P626" s="23"/>
      <c r="Q626" s="23"/>
      <c r="R626" s="23"/>
      <c r="S626" s="23"/>
      <c r="T626" s="23"/>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row>
    <row r="627" spans="1:50" x14ac:dyDescent="0.35">
      <c r="A627" s="23"/>
      <c r="B627" s="23"/>
      <c r="C627" s="23"/>
      <c r="D627" s="23"/>
      <c r="E627" s="23"/>
      <c r="F627" s="23"/>
      <c r="G627" s="23"/>
      <c r="H627" s="23"/>
      <c r="I627" s="23"/>
      <c r="J627" s="23"/>
      <c r="K627" s="23"/>
      <c r="L627" s="23"/>
      <c r="M627" s="23"/>
      <c r="N627" s="23"/>
      <c r="O627" s="23"/>
      <c r="P627" s="23"/>
      <c r="Q627" s="23"/>
      <c r="R627" s="23"/>
      <c r="S627" s="23"/>
      <c r="T627" s="23"/>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row>
    <row r="628" spans="1:50" x14ac:dyDescent="0.35">
      <c r="A628" s="23"/>
      <c r="B628" s="23"/>
      <c r="C628" s="23"/>
      <c r="D628" s="23"/>
      <c r="E628" s="23"/>
      <c r="F628" s="23"/>
      <c r="G628" s="23"/>
      <c r="H628" s="23"/>
      <c r="I628" s="23"/>
      <c r="J628" s="23"/>
      <c r="K628" s="23"/>
      <c r="L628" s="23"/>
      <c r="M628" s="23"/>
      <c r="N628" s="23"/>
      <c r="O628" s="23"/>
      <c r="P628" s="23"/>
      <c r="Q628" s="23"/>
      <c r="R628" s="23"/>
      <c r="S628" s="23"/>
      <c r="T628" s="23"/>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row>
    <row r="629" spans="1:50" x14ac:dyDescent="0.35">
      <c r="A629" s="23"/>
      <c r="B629" s="23"/>
      <c r="C629" s="23"/>
      <c r="D629" s="23"/>
      <c r="E629" s="23"/>
      <c r="F629" s="23"/>
      <c r="G629" s="23"/>
      <c r="H629" s="23"/>
      <c r="I629" s="23"/>
      <c r="J629" s="23"/>
      <c r="K629" s="23"/>
      <c r="L629" s="23"/>
      <c r="M629" s="23"/>
      <c r="N629" s="23"/>
      <c r="O629" s="23"/>
      <c r="P629" s="23"/>
      <c r="Q629" s="23"/>
      <c r="R629" s="23"/>
      <c r="S629" s="23"/>
      <c r="T629" s="23"/>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row>
    <row r="630" spans="1:50" x14ac:dyDescent="0.35">
      <c r="A630" s="23"/>
      <c r="B630" s="23"/>
      <c r="C630" s="23"/>
      <c r="D630" s="23"/>
      <c r="E630" s="23"/>
      <c r="F630" s="23"/>
      <c r="G630" s="23"/>
      <c r="H630" s="23"/>
      <c r="I630" s="23"/>
      <c r="J630" s="23"/>
      <c r="K630" s="23"/>
      <c r="L630" s="23"/>
      <c r="M630" s="23"/>
      <c r="N630" s="23"/>
      <c r="O630" s="23"/>
      <c r="P630" s="23"/>
      <c r="Q630" s="23"/>
      <c r="R630" s="23"/>
      <c r="S630" s="23"/>
      <c r="T630" s="23"/>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row>
    <row r="631" spans="1:50" x14ac:dyDescent="0.35">
      <c r="A631" s="23"/>
      <c r="B631" s="23"/>
      <c r="C631" s="23"/>
      <c r="D631" s="23"/>
      <c r="E631" s="23"/>
      <c r="F631" s="23"/>
      <c r="G631" s="23"/>
      <c r="H631" s="23"/>
      <c r="I631" s="23"/>
      <c r="J631" s="23"/>
      <c r="K631" s="23"/>
      <c r="L631" s="23"/>
      <c r="M631" s="23"/>
      <c r="N631" s="23"/>
      <c r="O631" s="23"/>
      <c r="P631" s="23"/>
      <c r="Q631" s="23"/>
      <c r="R631" s="23"/>
      <c r="S631" s="23"/>
      <c r="T631" s="23"/>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row>
    <row r="632" spans="1:50" x14ac:dyDescent="0.35">
      <c r="A632" s="23"/>
      <c r="B632" s="23"/>
      <c r="C632" s="23"/>
      <c r="D632" s="23"/>
      <c r="E632" s="23"/>
      <c r="F632" s="23"/>
      <c r="G632" s="23"/>
      <c r="H632" s="23"/>
      <c r="I632" s="23"/>
      <c r="J632" s="23"/>
      <c r="K632" s="23"/>
      <c r="L632" s="23"/>
      <c r="M632" s="23"/>
      <c r="N632" s="23"/>
      <c r="O632" s="23"/>
      <c r="P632" s="23"/>
      <c r="Q632" s="23"/>
      <c r="R632" s="23"/>
      <c r="S632" s="23"/>
      <c r="T632" s="23"/>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row>
    <row r="633" spans="1:50" x14ac:dyDescent="0.35">
      <c r="A633" s="23"/>
      <c r="B633" s="23"/>
      <c r="C633" s="23"/>
      <c r="D633" s="23"/>
      <c r="E633" s="23"/>
      <c r="F633" s="23"/>
      <c r="G633" s="23"/>
      <c r="H633" s="23"/>
      <c r="I633" s="23"/>
      <c r="J633" s="23"/>
      <c r="K633" s="23"/>
      <c r="L633" s="23"/>
      <c r="M633" s="23"/>
      <c r="N633" s="23"/>
      <c r="O633" s="23"/>
      <c r="P633" s="23"/>
      <c r="Q633" s="23"/>
      <c r="R633" s="23"/>
      <c r="S633" s="23"/>
      <c r="T633" s="23"/>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row>
    <row r="634" spans="1:50" x14ac:dyDescent="0.35">
      <c r="A634" s="23"/>
      <c r="B634" s="23"/>
      <c r="C634" s="23"/>
      <c r="D634" s="23"/>
      <c r="E634" s="23"/>
      <c r="F634" s="23"/>
      <c r="G634" s="23"/>
      <c r="H634" s="23"/>
      <c r="I634" s="23"/>
      <c r="J634" s="23"/>
      <c r="K634" s="23"/>
      <c r="L634" s="23"/>
      <c r="M634" s="23"/>
      <c r="N634" s="23"/>
      <c r="O634" s="23"/>
      <c r="P634" s="23"/>
      <c r="Q634" s="23"/>
      <c r="R634" s="23"/>
      <c r="S634" s="23"/>
      <c r="T634" s="23"/>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row>
    <row r="635" spans="1:50" x14ac:dyDescent="0.35">
      <c r="A635" s="23"/>
      <c r="B635" s="23"/>
      <c r="C635" s="23"/>
      <c r="D635" s="23"/>
      <c r="E635" s="23"/>
      <c r="F635" s="23"/>
      <c r="G635" s="23"/>
      <c r="H635" s="23"/>
      <c r="I635" s="23"/>
      <c r="J635" s="23"/>
      <c r="K635" s="23"/>
      <c r="L635" s="23"/>
      <c r="M635" s="23"/>
      <c r="N635" s="23"/>
      <c r="O635" s="23"/>
      <c r="P635" s="23"/>
      <c r="Q635" s="23"/>
      <c r="R635" s="23"/>
      <c r="S635" s="23"/>
      <c r="T635" s="23"/>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row>
    <row r="636" spans="1:50" x14ac:dyDescent="0.35">
      <c r="A636" s="23"/>
      <c r="B636" s="23"/>
      <c r="C636" s="23"/>
      <c r="D636" s="23"/>
      <c r="E636" s="23"/>
      <c r="F636" s="23"/>
      <c r="G636" s="23"/>
      <c r="H636" s="23"/>
      <c r="I636" s="23"/>
      <c r="J636" s="23"/>
      <c r="K636" s="23"/>
      <c r="L636" s="23"/>
      <c r="M636" s="23"/>
      <c r="N636" s="23"/>
      <c r="O636" s="23"/>
      <c r="P636" s="23"/>
      <c r="Q636" s="23"/>
      <c r="R636" s="23"/>
      <c r="S636" s="23"/>
      <c r="T636" s="23"/>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row>
    <row r="637" spans="1:50" x14ac:dyDescent="0.35">
      <c r="A637" s="23"/>
      <c r="B637" s="23"/>
      <c r="C637" s="23"/>
      <c r="D637" s="23"/>
      <c r="E637" s="23"/>
      <c r="F637" s="23"/>
      <c r="G637" s="23"/>
      <c r="H637" s="23"/>
      <c r="I637" s="23"/>
      <c r="J637" s="23"/>
      <c r="K637" s="23"/>
      <c r="L637" s="23"/>
      <c r="M637" s="23"/>
      <c r="N637" s="23"/>
      <c r="O637" s="23"/>
      <c r="P637" s="23"/>
      <c r="Q637" s="23"/>
      <c r="R637" s="23"/>
      <c r="S637" s="23"/>
      <c r="T637" s="23"/>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row>
    <row r="638" spans="1:50" x14ac:dyDescent="0.35">
      <c r="A638" s="23"/>
      <c r="B638" s="23"/>
      <c r="C638" s="23"/>
      <c r="D638" s="23"/>
      <c r="E638" s="23"/>
      <c r="F638" s="23"/>
      <c r="G638" s="23"/>
      <c r="H638" s="23"/>
      <c r="I638" s="23"/>
      <c r="J638" s="23"/>
      <c r="K638" s="23"/>
      <c r="L638" s="23"/>
      <c r="M638" s="23"/>
      <c r="N638" s="23"/>
      <c r="O638" s="23"/>
      <c r="P638" s="23"/>
      <c r="Q638" s="23"/>
      <c r="R638" s="23"/>
      <c r="S638" s="23"/>
      <c r="T638" s="23"/>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row>
    <row r="639" spans="1:50" x14ac:dyDescent="0.35">
      <c r="A639" s="23"/>
      <c r="B639" s="23"/>
      <c r="C639" s="23"/>
      <c r="D639" s="23"/>
      <c r="E639" s="23"/>
      <c r="F639" s="23"/>
      <c r="G639" s="23"/>
      <c r="H639" s="23"/>
      <c r="I639" s="23"/>
      <c r="J639" s="23"/>
      <c r="K639" s="23"/>
      <c r="L639" s="23"/>
      <c r="M639" s="23"/>
      <c r="N639" s="23"/>
      <c r="O639" s="23"/>
      <c r="P639" s="23"/>
      <c r="Q639" s="23"/>
      <c r="R639" s="23"/>
      <c r="S639" s="23"/>
      <c r="T639" s="23"/>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row>
    <row r="640" spans="1:50" x14ac:dyDescent="0.35">
      <c r="A640" s="23"/>
      <c r="B640" s="23"/>
      <c r="C640" s="23"/>
      <c r="D640" s="23"/>
      <c r="E640" s="23"/>
      <c r="F640" s="23"/>
      <c r="G640" s="23"/>
      <c r="H640" s="23"/>
      <c r="I640" s="23"/>
      <c r="J640" s="23"/>
      <c r="K640" s="23"/>
      <c r="L640" s="23"/>
      <c r="M640" s="23"/>
      <c r="N640" s="23"/>
      <c r="O640" s="23"/>
      <c r="P640" s="23"/>
      <c r="Q640" s="23"/>
      <c r="R640" s="23"/>
      <c r="S640" s="23"/>
      <c r="T640" s="23"/>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row>
    <row r="641" spans="1:50" x14ac:dyDescent="0.35">
      <c r="A641" s="23"/>
      <c r="B641" s="23"/>
      <c r="C641" s="23"/>
      <c r="D641" s="23"/>
      <c r="E641" s="23"/>
      <c r="F641" s="23"/>
      <c r="G641" s="23"/>
      <c r="H641" s="23"/>
      <c r="I641" s="23"/>
      <c r="J641" s="23"/>
      <c r="K641" s="23"/>
      <c r="L641" s="23"/>
      <c r="M641" s="23"/>
      <c r="N641" s="23"/>
      <c r="O641" s="23"/>
      <c r="P641" s="23"/>
      <c r="Q641" s="23"/>
      <c r="R641" s="23"/>
      <c r="S641" s="23"/>
      <c r="T641" s="23"/>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row>
    <row r="642" spans="1:50" x14ac:dyDescent="0.35">
      <c r="A642" s="23"/>
      <c r="B642" s="23"/>
      <c r="C642" s="23"/>
      <c r="D642" s="23"/>
      <c r="E642" s="23"/>
      <c r="F642" s="23"/>
      <c r="G642" s="23"/>
      <c r="H642" s="23"/>
      <c r="I642" s="23"/>
      <c r="J642" s="23"/>
      <c r="K642" s="23"/>
      <c r="L642" s="23"/>
      <c r="M642" s="23"/>
      <c r="N642" s="23"/>
      <c r="O642" s="23"/>
      <c r="P642" s="23"/>
      <c r="Q642" s="23"/>
      <c r="R642" s="23"/>
      <c r="S642" s="23"/>
      <c r="T642" s="23"/>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row>
    <row r="643" spans="1:50" x14ac:dyDescent="0.35">
      <c r="A643" s="23"/>
      <c r="B643" s="23"/>
      <c r="C643" s="23"/>
      <c r="D643" s="23"/>
      <c r="E643" s="23"/>
      <c r="F643" s="23"/>
      <c r="G643" s="23"/>
      <c r="H643" s="23"/>
      <c r="I643" s="23"/>
      <c r="J643" s="23"/>
      <c r="K643" s="23"/>
      <c r="L643" s="23"/>
      <c r="M643" s="23"/>
      <c r="N643" s="23"/>
      <c r="O643" s="23"/>
      <c r="P643" s="23"/>
      <c r="Q643" s="23"/>
      <c r="R643" s="23"/>
      <c r="S643" s="23"/>
      <c r="T643" s="23"/>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row>
    <row r="644" spans="1:50" x14ac:dyDescent="0.35">
      <c r="A644" s="23"/>
      <c r="B644" s="23"/>
      <c r="C644" s="23"/>
      <c r="D644" s="23"/>
      <c r="E644" s="23"/>
      <c r="F644" s="23"/>
      <c r="G644" s="23"/>
      <c r="H644" s="23"/>
      <c r="I644" s="23"/>
      <c r="J644" s="23"/>
      <c r="K644" s="23"/>
      <c r="L644" s="23"/>
      <c r="M644" s="23"/>
      <c r="N644" s="23"/>
      <c r="O644" s="23"/>
      <c r="P644" s="23"/>
      <c r="Q644" s="23"/>
      <c r="R644" s="23"/>
      <c r="S644" s="23"/>
      <c r="T644" s="23"/>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row>
    <row r="645" spans="1:50" x14ac:dyDescent="0.35">
      <c r="A645" s="23"/>
      <c r="B645" s="23"/>
      <c r="C645" s="23"/>
      <c r="D645" s="23"/>
      <c r="E645" s="23"/>
      <c r="F645" s="23"/>
      <c r="G645" s="23"/>
      <c r="H645" s="23"/>
      <c r="I645" s="23"/>
      <c r="J645" s="23"/>
      <c r="K645" s="23"/>
      <c r="L645" s="23"/>
      <c r="M645" s="23"/>
      <c r="N645" s="23"/>
      <c r="O645" s="23"/>
      <c r="P645" s="23"/>
      <c r="Q645" s="23"/>
      <c r="R645" s="23"/>
      <c r="S645" s="23"/>
      <c r="T645" s="23"/>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row>
    <row r="646" spans="1:50" x14ac:dyDescent="0.35">
      <c r="A646" s="23"/>
      <c r="B646" s="23"/>
      <c r="C646" s="23"/>
      <c r="D646" s="23"/>
      <c r="E646" s="23"/>
      <c r="F646" s="23"/>
      <c r="G646" s="23"/>
      <c r="H646" s="23"/>
      <c r="I646" s="23"/>
      <c r="J646" s="23"/>
      <c r="K646" s="23"/>
      <c r="L646" s="23"/>
      <c r="M646" s="23"/>
      <c r="N646" s="23"/>
      <c r="O646" s="23"/>
      <c r="P646" s="23"/>
      <c r="Q646" s="23"/>
      <c r="R646" s="23"/>
      <c r="S646" s="23"/>
      <c r="T646" s="23"/>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row>
    <row r="647" spans="1:50" x14ac:dyDescent="0.35">
      <c r="A647" s="23"/>
      <c r="B647" s="23"/>
      <c r="C647" s="23"/>
      <c r="D647" s="23"/>
      <c r="E647" s="23"/>
      <c r="F647" s="23"/>
      <c r="G647" s="23"/>
      <c r="H647" s="23"/>
      <c r="I647" s="23"/>
      <c r="J647" s="23"/>
      <c r="K647" s="23"/>
      <c r="L647" s="23"/>
      <c r="M647" s="23"/>
      <c r="N647" s="23"/>
      <c r="O647" s="23"/>
      <c r="P647" s="23"/>
      <c r="Q647" s="23"/>
      <c r="R647" s="23"/>
      <c r="S647" s="23"/>
      <c r="T647" s="23"/>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row>
    <row r="648" spans="1:50" x14ac:dyDescent="0.35">
      <c r="A648" s="23"/>
      <c r="B648" s="23"/>
      <c r="C648" s="23"/>
      <c r="D648" s="23"/>
      <c r="E648" s="23"/>
      <c r="F648" s="23"/>
      <c r="G648" s="23"/>
      <c r="H648" s="23"/>
      <c r="I648" s="23"/>
      <c r="J648" s="23"/>
      <c r="K648" s="23"/>
      <c r="L648" s="23"/>
      <c r="M648" s="23"/>
      <c r="N648" s="23"/>
      <c r="O648" s="23"/>
      <c r="P648" s="23"/>
      <c r="Q648" s="23"/>
      <c r="R648" s="23"/>
      <c r="S648" s="23"/>
      <c r="T648" s="23"/>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row>
    <row r="649" spans="1:50" x14ac:dyDescent="0.35">
      <c r="A649" s="23"/>
      <c r="B649" s="23"/>
      <c r="C649" s="23"/>
      <c r="D649" s="23"/>
      <c r="E649" s="23"/>
      <c r="F649" s="23"/>
      <c r="G649" s="23"/>
      <c r="H649" s="23"/>
      <c r="I649" s="23"/>
      <c r="J649" s="23"/>
      <c r="K649" s="23"/>
      <c r="L649" s="23"/>
      <c r="M649" s="23"/>
      <c r="N649" s="23"/>
      <c r="O649" s="23"/>
      <c r="P649" s="23"/>
      <c r="Q649" s="23"/>
      <c r="R649" s="23"/>
      <c r="S649" s="23"/>
      <c r="T649" s="23"/>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row>
    <row r="650" spans="1:50" x14ac:dyDescent="0.35">
      <c r="A650" s="23"/>
      <c r="B650" s="23"/>
      <c r="C650" s="23"/>
      <c r="D650" s="23"/>
      <c r="E650" s="23"/>
      <c r="F650" s="23"/>
      <c r="G650" s="23"/>
      <c r="H650" s="23"/>
      <c r="I650" s="23"/>
      <c r="J650" s="23"/>
      <c r="K650" s="23"/>
      <c r="L650" s="23"/>
      <c r="M650" s="23"/>
      <c r="N650" s="23"/>
      <c r="O650" s="23"/>
      <c r="P650" s="23"/>
      <c r="Q650" s="23"/>
      <c r="R650" s="23"/>
      <c r="S650" s="23"/>
      <c r="T650" s="23"/>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row>
    <row r="651" spans="1:50" x14ac:dyDescent="0.35">
      <c r="A651" s="23"/>
      <c r="B651" s="23"/>
      <c r="C651" s="23"/>
      <c r="D651" s="23"/>
      <c r="E651" s="23"/>
      <c r="F651" s="23"/>
      <c r="G651" s="23"/>
      <c r="H651" s="23"/>
      <c r="I651" s="23"/>
      <c r="J651" s="23"/>
      <c r="K651" s="23"/>
      <c r="L651" s="23"/>
      <c r="M651" s="23"/>
      <c r="N651" s="23"/>
      <c r="O651" s="23"/>
      <c r="P651" s="23"/>
      <c r="Q651" s="23"/>
      <c r="R651" s="23"/>
      <c r="S651" s="23"/>
      <c r="T651" s="23"/>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row>
    <row r="652" spans="1:50" x14ac:dyDescent="0.35">
      <c r="A652" s="23"/>
      <c r="B652" s="23"/>
      <c r="C652" s="23"/>
      <c r="D652" s="23"/>
      <c r="E652" s="23"/>
      <c r="F652" s="23"/>
      <c r="G652" s="23"/>
      <c r="H652" s="23"/>
      <c r="I652" s="23"/>
      <c r="J652" s="23"/>
      <c r="K652" s="23"/>
      <c r="L652" s="23"/>
      <c r="M652" s="23"/>
      <c r="N652" s="23"/>
      <c r="O652" s="23"/>
      <c r="P652" s="23"/>
      <c r="Q652" s="23"/>
      <c r="R652" s="23"/>
      <c r="S652" s="23"/>
      <c r="T652" s="23"/>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row>
    <row r="653" spans="1:50" x14ac:dyDescent="0.35">
      <c r="A653" s="23"/>
      <c r="B653" s="23"/>
      <c r="C653" s="23"/>
      <c r="D653" s="23"/>
      <c r="E653" s="23"/>
      <c r="F653" s="23"/>
      <c r="G653" s="23"/>
      <c r="H653" s="23"/>
      <c r="I653" s="23"/>
      <c r="J653" s="23"/>
      <c r="K653" s="23"/>
      <c r="L653" s="23"/>
      <c r="M653" s="23"/>
      <c r="N653" s="23"/>
      <c r="O653" s="23"/>
      <c r="P653" s="23"/>
      <c r="Q653" s="23"/>
      <c r="R653" s="23"/>
      <c r="S653" s="23"/>
      <c r="T653" s="23"/>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row>
    <row r="654" spans="1:50" x14ac:dyDescent="0.35">
      <c r="A654" s="23"/>
      <c r="B654" s="23"/>
      <c r="C654" s="23"/>
      <c r="D654" s="23"/>
      <c r="E654" s="23"/>
      <c r="F654" s="23"/>
      <c r="G654" s="23"/>
      <c r="H654" s="23"/>
      <c r="I654" s="23"/>
      <c r="J654" s="23"/>
      <c r="K654" s="23"/>
      <c r="L654" s="23"/>
      <c r="M654" s="23"/>
      <c r="N654" s="23"/>
      <c r="O654" s="23"/>
      <c r="P654" s="23"/>
      <c r="Q654" s="23"/>
      <c r="R654" s="23"/>
      <c r="S654" s="23"/>
      <c r="T654" s="23"/>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row>
    <row r="655" spans="1:50" x14ac:dyDescent="0.35">
      <c r="A655" s="23"/>
      <c r="B655" s="23"/>
      <c r="C655" s="23"/>
      <c r="D655" s="23"/>
      <c r="E655" s="23"/>
      <c r="F655" s="23"/>
      <c r="G655" s="23"/>
      <c r="H655" s="23"/>
      <c r="I655" s="23"/>
      <c r="J655" s="23"/>
      <c r="K655" s="23"/>
      <c r="L655" s="23"/>
      <c r="M655" s="23"/>
      <c r="N655" s="23"/>
      <c r="O655" s="23"/>
      <c r="P655" s="23"/>
      <c r="Q655" s="23"/>
      <c r="R655" s="23"/>
      <c r="S655" s="23"/>
      <c r="T655" s="23"/>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row>
    <row r="656" spans="1:50" x14ac:dyDescent="0.35">
      <c r="A656" s="23"/>
      <c r="B656" s="23"/>
      <c r="C656" s="23"/>
      <c r="D656" s="23"/>
      <c r="E656" s="23"/>
      <c r="F656" s="23"/>
      <c r="G656" s="23"/>
      <c r="H656" s="23"/>
      <c r="I656" s="23"/>
      <c r="J656" s="23"/>
      <c r="K656" s="23"/>
      <c r="L656" s="23"/>
      <c r="M656" s="23"/>
      <c r="N656" s="23"/>
      <c r="O656" s="23"/>
      <c r="P656" s="23"/>
      <c r="Q656" s="23"/>
      <c r="R656" s="23"/>
      <c r="S656" s="23"/>
      <c r="T656" s="23"/>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row>
    <row r="657" spans="1:50" x14ac:dyDescent="0.35">
      <c r="A657" s="23"/>
      <c r="B657" s="23"/>
      <c r="C657" s="23"/>
      <c r="D657" s="23"/>
      <c r="E657" s="23"/>
      <c r="F657" s="23"/>
      <c r="G657" s="23"/>
      <c r="H657" s="23"/>
      <c r="I657" s="23"/>
      <c r="J657" s="23"/>
      <c r="K657" s="23"/>
      <c r="L657" s="23"/>
      <c r="M657" s="23"/>
      <c r="N657" s="23"/>
      <c r="O657" s="23"/>
      <c r="P657" s="23"/>
      <c r="Q657" s="23"/>
      <c r="R657" s="23"/>
      <c r="S657" s="23"/>
      <c r="T657" s="23"/>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row>
    <row r="658" spans="1:50" x14ac:dyDescent="0.35">
      <c r="A658" s="23"/>
      <c r="B658" s="23"/>
      <c r="C658" s="23"/>
      <c r="D658" s="23"/>
      <c r="E658" s="23"/>
      <c r="F658" s="23"/>
      <c r="G658" s="23"/>
      <c r="H658" s="23"/>
      <c r="I658" s="23"/>
      <c r="J658" s="23"/>
      <c r="K658" s="23"/>
      <c r="L658" s="23"/>
      <c r="M658" s="23"/>
      <c r="N658" s="23"/>
      <c r="O658" s="23"/>
      <c r="P658" s="23"/>
      <c r="Q658" s="23"/>
      <c r="R658" s="23"/>
      <c r="S658" s="23"/>
      <c r="T658" s="23"/>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row>
    <row r="659" spans="1:50" x14ac:dyDescent="0.35">
      <c r="A659" s="23"/>
      <c r="B659" s="23"/>
      <c r="C659" s="23"/>
      <c r="D659" s="23"/>
      <c r="E659" s="23"/>
      <c r="F659" s="23"/>
      <c r="G659" s="23"/>
      <c r="H659" s="23"/>
      <c r="I659" s="23"/>
      <c r="J659" s="23"/>
      <c r="K659" s="23"/>
      <c r="L659" s="23"/>
      <c r="M659" s="23"/>
      <c r="N659" s="23"/>
      <c r="O659" s="23"/>
      <c r="P659" s="23"/>
      <c r="Q659" s="23"/>
      <c r="R659" s="23"/>
      <c r="S659" s="23"/>
      <c r="T659" s="23"/>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row>
    <row r="660" spans="1:50" x14ac:dyDescent="0.35">
      <c r="A660" s="23"/>
      <c r="B660" s="23"/>
      <c r="C660" s="23"/>
      <c r="D660" s="23"/>
      <c r="E660" s="23"/>
      <c r="F660" s="23"/>
      <c r="G660" s="23"/>
      <c r="H660" s="23"/>
      <c r="I660" s="23"/>
      <c r="J660" s="23"/>
      <c r="K660" s="23"/>
      <c r="L660" s="23"/>
      <c r="M660" s="23"/>
      <c r="N660" s="23"/>
      <c r="O660" s="23"/>
      <c r="P660" s="23"/>
      <c r="Q660" s="23"/>
      <c r="R660" s="23"/>
      <c r="S660" s="23"/>
      <c r="T660" s="23"/>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row>
    <row r="661" spans="1:50" x14ac:dyDescent="0.35">
      <c r="A661" s="23"/>
      <c r="B661" s="23"/>
      <c r="C661" s="23"/>
      <c r="D661" s="23"/>
      <c r="E661" s="23"/>
      <c r="F661" s="23"/>
      <c r="G661" s="23"/>
      <c r="H661" s="23"/>
      <c r="I661" s="23"/>
      <c r="J661" s="23"/>
      <c r="K661" s="23"/>
      <c r="L661" s="23"/>
      <c r="M661" s="23"/>
      <c r="N661" s="23"/>
      <c r="O661" s="23"/>
      <c r="P661" s="23"/>
      <c r="Q661" s="23"/>
      <c r="R661" s="23"/>
      <c r="S661" s="23"/>
      <c r="T661" s="23"/>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row>
    <row r="662" spans="1:50" x14ac:dyDescent="0.35">
      <c r="A662" s="23"/>
      <c r="B662" s="23"/>
      <c r="C662" s="23"/>
      <c r="D662" s="23"/>
      <c r="E662" s="23"/>
      <c r="F662" s="23"/>
      <c r="G662" s="23"/>
      <c r="H662" s="23"/>
      <c r="I662" s="23"/>
      <c r="J662" s="23"/>
      <c r="K662" s="23"/>
      <c r="L662" s="23"/>
      <c r="M662" s="23"/>
      <c r="N662" s="23"/>
      <c r="O662" s="23"/>
      <c r="P662" s="23"/>
      <c r="Q662" s="23"/>
      <c r="R662" s="23"/>
      <c r="S662" s="23"/>
      <c r="T662" s="23"/>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row>
    <row r="663" spans="1:50" x14ac:dyDescent="0.35">
      <c r="A663" s="23"/>
      <c r="B663" s="23"/>
      <c r="C663" s="23"/>
      <c r="D663" s="23"/>
      <c r="E663" s="23"/>
      <c r="F663" s="23"/>
      <c r="G663" s="23"/>
      <c r="H663" s="23"/>
      <c r="I663" s="23"/>
      <c r="J663" s="23"/>
      <c r="K663" s="23"/>
      <c r="L663" s="23"/>
      <c r="M663" s="23"/>
      <c r="N663" s="23"/>
      <c r="O663" s="23"/>
      <c r="P663" s="23"/>
      <c r="Q663" s="23"/>
      <c r="R663" s="23"/>
      <c r="S663" s="23"/>
      <c r="T663" s="23"/>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row>
    <row r="664" spans="1:50" x14ac:dyDescent="0.35">
      <c r="A664" s="23"/>
      <c r="B664" s="23"/>
      <c r="C664" s="23"/>
      <c r="D664" s="23"/>
      <c r="E664" s="23"/>
      <c r="F664" s="23"/>
      <c r="G664" s="23"/>
      <c r="H664" s="23"/>
      <c r="I664" s="23"/>
      <c r="J664" s="23"/>
      <c r="K664" s="23"/>
      <c r="L664" s="23"/>
      <c r="M664" s="23"/>
      <c r="N664" s="23"/>
      <c r="O664" s="23"/>
      <c r="P664" s="23"/>
      <c r="Q664" s="23"/>
      <c r="R664" s="23"/>
      <c r="S664" s="23"/>
      <c r="T664" s="23"/>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row>
    <row r="665" spans="1:50" x14ac:dyDescent="0.35">
      <c r="A665" s="23"/>
      <c r="B665" s="23"/>
      <c r="C665" s="23"/>
      <c r="D665" s="23"/>
      <c r="E665" s="23"/>
      <c r="F665" s="23"/>
      <c r="G665" s="23"/>
      <c r="H665" s="23"/>
      <c r="I665" s="23"/>
      <c r="J665" s="23"/>
      <c r="K665" s="23"/>
      <c r="L665" s="23"/>
      <c r="M665" s="23"/>
      <c r="N665" s="23"/>
      <c r="O665" s="23"/>
      <c r="P665" s="23"/>
      <c r="Q665" s="23"/>
      <c r="R665" s="23"/>
      <c r="S665" s="23"/>
      <c r="T665" s="23"/>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row>
    <row r="666" spans="1:50" x14ac:dyDescent="0.35">
      <c r="A666" s="23"/>
      <c r="B666" s="23"/>
      <c r="C666" s="23"/>
      <c r="D666" s="23"/>
      <c r="E666" s="23"/>
      <c r="F666" s="23"/>
      <c r="G666" s="23"/>
      <c r="H666" s="23"/>
      <c r="I666" s="23"/>
      <c r="J666" s="23"/>
      <c r="K666" s="23"/>
      <c r="L666" s="23"/>
      <c r="M666" s="23"/>
      <c r="N666" s="23"/>
      <c r="O666" s="23"/>
      <c r="P666" s="23"/>
      <c r="Q666" s="23"/>
      <c r="R666" s="23"/>
      <c r="S666" s="23"/>
      <c r="T666" s="23"/>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row>
    <row r="667" spans="1:50" x14ac:dyDescent="0.35">
      <c r="A667" s="23"/>
      <c r="B667" s="23"/>
      <c r="C667" s="23"/>
      <c r="D667" s="23"/>
      <c r="E667" s="23"/>
      <c r="F667" s="23"/>
      <c r="G667" s="23"/>
      <c r="H667" s="23"/>
      <c r="I667" s="23"/>
      <c r="J667" s="23"/>
      <c r="K667" s="23"/>
      <c r="L667" s="23"/>
      <c r="M667" s="23"/>
      <c r="N667" s="23"/>
      <c r="O667" s="23"/>
      <c r="P667" s="23"/>
      <c r="Q667" s="23"/>
      <c r="R667" s="23"/>
      <c r="S667" s="23"/>
      <c r="T667" s="23"/>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row>
    <row r="668" spans="1:50" x14ac:dyDescent="0.35">
      <c r="A668" s="23"/>
      <c r="B668" s="23"/>
      <c r="C668" s="23"/>
      <c r="D668" s="23"/>
      <c r="E668" s="23"/>
      <c r="F668" s="23"/>
      <c r="G668" s="23"/>
      <c r="H668" s="23"/>
      <c r="I668" s="23"/>
      <c r="J668" s="23"/>
      <c r="K668" s="23"/>
      <c r="L668" s="23"/>
      <c r="M668" s="23"/>
      <c r="N668" s="23"/>
      <c r="O668" s="23"/>
      <c r="P668" s="23"/>
      <c r="Q668" s="23"/>
      <c r="R668" s="23"/>
      <c r="S668" s="23"/>
      <c r="T668" s="23"/>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row>
    <row r="669" spans="1:50" x14ac:dyDescent="0.35">
      <c r="A669" s="23"/>
      <c r="B669" s="23"/>
      <c r="C669" s="23"/>
      <c r="D669" s="23"/>
      <c r="E669" s="23"/>
      <c r="F669" s="23"/>
      <c r="G669" s="23"/>
      <c r="H669" s="23"/>
      <c r="I669" s="23"/>
      <c r="J669" s="23"/>
      <c r="K669" s="23"/>
      <c r="L669" s="23"/>
      <c r="M669" s="23"/>
      <c r="N669" s="23"/>
      <c r="O669" s="23"/>
      <c r="P669" s="23"/>
      <c r="Q669" s="23"/>
      <c r="R669" s="23"/>
      <c r="S669" s="23"/>
      <c r="T669" s="23"/>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row>
    <row r="670" spans="1:50" x14ac:dyDescent="0.35">
      <c r="A670" s="23"/>
      <c r="B670" s="23"/>
      <c r="C670" s="23"/>
      <c r="D670" s="23"/>
      <c r="E670" s="23"/>
      <c r="F670" s="23"/>
      <c r="G670" s="23"/>
      <c r="H670" s="23"/>
      <c r="I670" s="23"/>
      <c r="J670" s="23"/>
      <c r="K670" s="23"/>
      <c r="L670" s="23"/>
      <c r="M670" s="23"/>
      <c r="N670" s="23"/>
      <c r="O670" s="23"/>
      <c r="P670" s="23"/>
      <c r="Q670" s="23"/>
      <c r="R670" s="23"/>
      <c r="S670" s="23"/>
      <c r="T670" s="23"/>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row>
    <row r="671" spans="1:50" x14ac:dyDescent="0.35">
      <c r="A671" s="23"/>
      <c r="B671" s="23"/>
      <c r="C671" s="23"/>
      <c r="D671" s="23"/>
      <c r="E671" s="23"/>
      <c r="F671" s="23"/>
      <c r="G671" s="23"/>
      <c r="H671" s="23"/>
      <c r="I671" s="23"/>
      <c r="J671" s="23"/>
      <c r="K671" s="23"/>
      <c r="L671" s="23"/>
      <c r="M671" s="23"/>
      <c r="N671" s="23"/>
      <c r="O671" s="23"/>
      <c r="P671" s="23"/>
      <c r="Q671" s="23"/>
      <c r="R671" s="23"/>
      <c r="S671" s="23"/>
      <c r="T671" s="23"/>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row>
    <row r="672" spans="1:50" x14ac:dyDescent="0.35">
      <c r="A672" s="23"/>
      <c r="B672" s="23"/>
      <c r="C672" s="23"/>
      <c r="D672" s="23"/>
      <c r="E672" s="23"/>
      <c r="F672" s="23"/>
      <c r="G672" s="23"/>
      <c r="H672" s="23"/>
      <c r="I672" s="23"/>
      <c r="J672" s="23"/>
      <c r="K672" s="23"/>
      <c r="L672" s="23"/>
      <c r="M672" s="23"/>
      <c r="N672" s="23"/>
      <c r="O672" s="23"/>
      <c r="P672" s="23"/>
      <c r="Q672" s="23"/>
      <c r="R672" s="23"/>
      <c r="S672" s="23"/>
      <c r="T672" s="23"/>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row>
    <row r="673" spans="1:50" x14ac:dyDescent="0.35">
      <c r="A673" s="23"/>
      <c r="B673" s="23"/>
      <c r="C673" s="23"/>
      <c r="D673" s="23"/>
      <c r="E673" s="23"/>
      <c r="F673" s="23"/>
      <c r="G673" s="23"/>
      <c r="H673" s="23"/>
      <c r="I673" s="23"/>
      <c r="J673" s="23"/>
      <c r="K673" s="23"/>
      <c r="L673" s="23"/>
      <c r="M673" s="23"/>
      <c r="N673" s="23"/>
      <c r="O673" s="23"/>
      <c r="P673" s="23"/>
      <c r="Q673" s="23"/>
      <c r="R673" s="23"/>
      <c r="S673" s="23"/>
      <c r="T673" s="23"/>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row>
    <row r="674" spans="1:50" x14ac:dyDescent="0.35">
      <c r="A674" s="23"/>
      <c r="B674" s="23"/>
      <c r="C674" s="23"/>
      <c r="D674" s="23"/>
      <c r="E674" s="23"/>
      <c r="F674" s="23"/>
      <c r="G674" s="23"/>
      <c r="H674" s="23"/>
      <c r="I674" s="23"/>
      <c r="J674" s="23"/>
      <c r="K674" s="23"/>
      <c r="L674" s="23"/>
      <c r="M674" s="23"/>
      <c r="N674" s="23"/>
      <c r="O674" s="23"/>
      <c r="P674" s="23"/>
      <c r="Q674" s="23"/>
      <c r="R674" s="23"/>
      <c r="S674" s="23"/>
      <c r="T674" s="23"/>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row>
    <row r="675" spans="1:50" x14ac:dyDescent="0.35">
      <c r="A675" s="23"/>
      <c r="B675" s="23"/>
      <c r="C675" s="23"/>
      <c r="D675" s="23"/>
      <c r="E675" s="23"/>
      <c r="F675" s="23"/>
      <c r="G675" s="23"/>
      <c r="H675" s="23"/>
      <c r="I675" s="23"/>
      <c r="J675" s="23"/>
      <c r="K675" s="23"/>
      <c r="L675" s="23"/>
      <c r="M675" s="23"/>
      <c r="N675" s="23"/>
      <c r="O675" s="23"/>
      <c r="P675" s="23"/>
      <c r="Q675" s="23"/>
      <c r="R675" s="23"/>
      <c r="S675" s="23"/>
      <c r="T675" s="23"/>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row>
    <row r="676" spans="1:50" x14ac:dyDescent="0.35">
      <c r="A676" s="23"/>
      <c r="B676" s="23"/>
      <c r="C676" s="23"/>
      <c r="D676" s="23"/>
      <c r="E676" s="23"/>
      <c r="F676" s="23"/>
      <c r="G676" s="23"/>
      <c r="H676" s="23"/>
      <c r="I676" s="23"/>
      <c r="J676" s="23"/>
      <c r="K676" s="23"/>
      <c r="L676" s="23"/>
      <c r="M676" s="23"/>
      <c r="N676" s="23"/>
      <c r="O676" s="23"/>
      <c r="P676" s="23"/>
      <c r="Q676" s="23"/>
      <c r="R676" s="23"/>
      <c r="S676" s="23"/>
      <c r="T676" s="23"/>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row>
    <row r="677" spans="1:50" x14ac:dyDescent="0.35">
      <c r="A677" s="23"/>
      <c r="B677" s="23"/>
      <c r="C677" s="23"/>
      <c r="D677" s="23"/>
      <c r="E677" s="23"/>
      <c r="F677" s="23"/>
      <c r="G677" s="23"/>
      <c r="H677" s="23"/>
      <c r="I677" s="23"/>
      <c r="J677" s="23"/>
      <c r="K677" s="23"/>
      <c r="L677" s="23"/>
      <c r="M677" s="23"/>
      <c r="N677" s="23"/>
      <c r="O677" s="23"/>
      <c r="P677" s="23"/>
      <c r="Q677" s="23"/>
      <c r="R677" s="23"/>
      <c r="S677" s="23"/>
      <c r="T677" s="23"/>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row>
    <row r="678" spans="1:50" x14ac:dyDescent="0.35">
      <c r="A678" s="23"/>
      <c r="B678" s="23"/>
      <c r="C678" s="23"/>
      <c r="D678" s="23"/>
      <c r="E678" s="23"/>
      <c r="F678" s="23"/>
      <c r="G678" s="23"/>
      <c r="H678" s="23"/>
      <c r="I678" s="23"/>
      <c r="J678" s="23"/>
      <c r="K678" s="23"/>
      <c r="L678" s="23"/>
      <c r="M678" s="23"/>
      <c r="N678" s="23"/>
      <c r="O678" s="23"/>
      <c r="P678" s="23"/>
      <c r="Q678" s="23"/>
      <c r="R678" s="23"/>
      <c r="S678" s="23"/>
      <c r="T678" s="23"/>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row>
    <row r="679" spans="1:50" x14ac:dyDescent="0.35">
      <c r="A679" s="23"/>
      <c r="B679" s="23"/>
      <c r="C679" s="23"/>
      <c r="D679" s="23"/>
      <c r="E679" s="23"/>
      <c r="F679" s="23"/>
      <c r="G679" s="23"/>
      <c r="H679" s="23"/>
      <c r="I679" s="23"/>
      <c r="J679" s="23"/>
      <c r="K679" s="23"/>
      <c r="L679" s="23"/>
      <c r="M679" s="23"/>
      <c r="N679" s="23"/>
      <c r="O679" s="23"/>
      <c r="P679" s="23"/>
      <c r="Q679" s="23"/>
      <c r="R679" s="23"/>
      <c r="S679" s="23"/>
      <c r="T679" s="23"/>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row>
    <row r="680" spans="1:50" x14ac:dyDescent="0.35">
      <c r="A680" s="23"/>
      <c r="B680" s="23"/>
      <c r="C680" s="23"/>
      <c r="D680" s="23"/>
      <c r="E680" s="23"/>
      <c r="F680" s="23"/>
      <c r="G680" s="23"/>
      <c r="H680" s="23"/>
      <c r="I680" s="23"/>
      <c r="J680" s="23"/>
      <c r="K680" s="23"/>
      <c r="L680" s="23"/>
      <c r="M680" s="23"/>
      <c r="N680" s="23"/>
      <c r="O680" s="23"/>
      <c r="P680" s="23"/>
      <c r="Q680" s="23"/>
      <c r="R680" s="23"/>
      <c r="S680" s="23"/>
      <c r="T680" s="23"/>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row>
    <row r="681" spans="1:50" x14ac:dyDescent="0.35">
      <c r="A681" s="23"/>
      <c r="B681" s="23"/>
      <c r="C681" s="23"/>
      <c r="D681" s="23"/>
      <c r="E681" s="23"/>
      <c r="F681" s="23"/>
      <c r="G681" s="23"/>
      <c r="H681" s="23"/>
      <c r="I681" s="23"/>
      <c r="J681" s="23"/>
      <c r="K681" s="23"/>
      <c r="L681" s="23"/>
      <c r="M681" s="23"/>
      <c r="N681" s="23"/>
      <c r="O681" s="23"/>
      <c r="P681" s="23"/>
      <c r="Q681" s="23"/>
      <c r="R681" s="23"/>
      <c r="S681" s="23"/>
      <c r="T681" s="23"/>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row>
    <row r="682" spans="1:50" x14ac:dyDescent="0.35">
      <c r="A682" s="23"/>
      <c r="B682" s="23"/>
      <c r="C682" s="23"/>
      <c r="D682" s="23"/>
      <c r="E682" s="23"/>
      <c r="F682" s="23"/>
      <c r="G682" s="23"/>
      <c r="H682" s="23"/>
      <c r="I682" s="23"/>
      <c r="J682" s="23"/>
      <c r="K682" s="23"/>
      <c r="L682" s="23"/>
      <c r="M682" s="23"/>
      <c r="N682" s="23"/>
      <c r="O682" s="23"/>
      <c r="P682" s="23"/>
      <c r="Q682" s="23"/>
      <c r="R682" s="23"/>
      <c r="S682" s="23"/>
      <c r="T682" s="23"/>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row>
    <row r="683" spans="1:50" x14ac:dyDescent="0.35">
      <c r="A683" s="23"/>
      <c r="B683" s="23"/>
      <c r="C683" s="23"/>
      <c r="D683" s="23"/>
      <c r="E683" s="23"/>
      <c r="F683" s="23"/>
      <c r="G683" s="23"/>
      <c r="H683" s="23"/>
      <c r="I683" s="23"/>
      <c r="J683" s="23"/>
      <c r="K683" s="23"/>
      <c r="L683" s="23"/>
      <c r="M683" s="23"/>
      <c r="N683" s="23"/>
      <c r="O683" s="23"/>
      <c r="P683" s="23"/>
      <c r="Q683" s="23"/>
      <c r="R683" s="23"/>
      <c r="S683" s="23"/>
      <c r="T683" s="23"/>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row>
    <row r="684" spans="1:50" x14ac:dyDescent="0.35">
      <c r="A684" s="23"/>
      <c r="B684" s="23"/>
      <c r="C684" s="23"/>
      <c r="D684" s="23"/>
      <c r="E684" s="23"/>
      <c r="F684" s="23"/>
      <c r="G684" s="23"/>
      <c r="H684" s="23"/>
      <c r="I684" s="23"/>
      <c r="J684" s="23"/>
      <c r="K684" s="23"/>
      <c r="L684" s="23"/>
      <c r="M684" s="23"/>
      <c r="N684" s="23"/>
      <c r="O684" s="23"/>
      <c r="P684" s="23"/>
      <c r="Q684" s="23"/>
      <c r="R684" s="23"/>
      <c r="S684" s="23"/>
      <c r="T684" s="23"/>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row>
    <row r="685" spans="1:50" x14ac:dyDescent="0.35">
      <c r="A685" s="23"/>
      <c r="B685" s="23"/>
      <c r="C685" s="23"/>
      <c r="D685" s="23"/>
      <c r="E685" s="23"/>
      <c r="F685" s="23"/>
      <c r="G685" s="23"/>
      <c r="H685" s="23"/>
      <c r="I685" s="23"/>
      <c r="J685" s="23"/>
      <c r="K685" s="23"/>
      <c r="L685" s="23"/>
      <c r="M685" s="23"/>
      <c r="N685" s="23"/>
      <c r="O685" s="23"/>
      <c r="P685" s="23"/>
      <c r="Q685" s="23"/>
      <c r="R685" s="23"/>
      <c r="S685" s="23"/>
      <c r="T685" s="23"/>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row>
    <row r="686" spans="1:50" x14ac:dyDescent="0.35">
      <c r="A686" s="23"/>
      <c r="B686" s="23"/>
      <c r="C686" s="23"/>
      <c r="D686" s="23"/>
      <c r="E686" s="23"/>
      <c r="F686" s="23"/>
      <c r="G686" s="23"/>
      <c r="H686" s="23"/>
      <c r="I686" s="23"/>
      <c r="J686" s="23"/>
      <c r="K686" s="23"/>
      <c r="L686" s="23"/>
      <c r="M686" s="23"/>
      <c r="N686" s="23"/>
      <c r="O686" s="23"/>
      <c r="P686" s="23"/>
      <c r="Q686" s="23"/>
      <c r="R686" s="23"/>
      <c r="S686" s="23"/>
      <c r="T686" s="23"/>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row>
    <row r="687" spans="1:50" x14ac:dyDescent="0.35">
      <c r="A687" s="23"/>
      <c r="B687" s="23"/>
      <c r="C687" s="23"/>
      <c r="D687" s="23"/>
      <c r="E687" s="23"/>
      <c r="F687" s="23"/>
      <c r="G687" s="23"/>
      <c r="H687" s="23"/>
      <c r="I687" s="23"/>
      <c r="J687" s="23"/>
      <c r="K687" s="23"/>
      <c r="L687" s="23"/>
      <c r="M687" s="23"/>
      <c r="N687" s="23"/>
      <c r="O687" s="23"/>
      <c r="P687" s="23"/>
      <c r="Q687" s="23"/>
      <c r="R687" s="23"/>
      <c r="S687" s="23"/>
      <c r="T687" s="23"/>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row>
    <row r="688" spans="1:50" x14ac:dyDescent="0.35">
      <c r="A688" s="23"/>
      <c r="B688" s="23"/>
      <c r="C688" s="23"/>
      <c r="D688" s="23"/>
      <c r="E688" s="23"/>
      <c r="F688" s="23"/>
      <c r="G688" s="23"/>
      <c r="H688" s="23"/>
      <c r="I688" s="23"/>
      <c r="J688" s="23"/>
      <c r="K688" s="23"/>
      <c r="L688" s="23"/>
      <c r="M688" s="23"/>
      <c r="N688" s="23"/>
      <c r="O688" s="23"/>
      <c r="P688" s="23"/>
      <c r="Q688" s="23"/>
      <c r="R688" s="23"/>
      <c r="S688" s="23"/>
      <c r="T688" s="23"/>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row>
    <row r="689" spans="1:50" x14ac:dyDescent="0.35">
      <c r="A689" s="23"/>
      <c r="B689" s="23"/>
      <c r="C689" s="23"/>
      <c r="D689" s="23"/>
      <c r="E689" s="23"/>
      <c r="F689" s="23"/>
      <c r="G689" s="23"/>
      <c r="H689" s="23"/>
      <c r="I689" s="23"/>
      <c r="J689" s="23"/>
      <c r="K689" s="23"/>
      <c r="L689" s="23"/>
      <c r="M689" s="23"/>
      <c r="N689" s="23"/>
      <c r="O689" s="23"/>
      <c r="P689" s="23"/>
      <c r="Q689" s="23"/>
      <c r="R689" s="23"/>
      <c r="S689" s="23"/>
      <c r="T689" s="23"/>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row>
    <row r="690" spans="1:50" x14ac:dyDescent="0.35">
      <c r="A690" s="23"/>
      <c r="B690" s="23"/>
      <c r="C690" s="23"/>
      <c r="D690" s="23"/>
      <c r="E690" s="23"/>
      <c r="F690" s="23"/>
      <c r="G690" s="23"/>
      <c r="H690" s="23"/>
      <c r="I690" s="23"/>
      <c r="J690" s="23"/>
      <c r="K690" s="23"/>
      <c r="L690" s="23"/>
      <c r="M690" s="23"/>
      <c r="N690" s="23"/>
      <c r="O690" s="23"/>
      <c r="P690" s="23"/>
      <c r="Q690" s="23"/>
      <c r="R690" s="23"/>
      <c r="S690" s="23"/>
      <c r="T690" s="23"/>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row>
    <row r="691" spans="1:50" x14ac:dyDescent="0.35">
      <c r="A691" s="23"/>
      <c r="B691" s="23"/>
      <c r="C691" s="23"/>
      <c r="D691" s="23"/>
      <c r="E691" s="23"/>
      <c r="F691" s="23"/>
      <c r="G691" s="23"/>
      <c r="H691" s="23"/>
      <c r="I691" s="23"/>
      <c r="J691" s="23"/>
      <c r="K691" s="23"/>
      <c r="L691" s="23"/>
      <c r="M691" s="23"/>
      <c r="N691" s="23"/>
      <c r="O691" s="23"/>
      <c r="P691" s="23"/>
      <c r="Q691" s="23"/>
      <c r="R691" s="23"/>
      <c r="S691" s="23"/>
      <c r="T691" s="23"/>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row>
    <row r="692" spans="1:50" x14ac:dyDescent="0.35">
      <c r="A692" s="23"/>
      <c r="B692" s="23"/>
      <c r="C692" s="23"/>
      <c r="D692" s="23"/>
      <c r="E692" s="23"/>
      <c r="F692" s="23"/>
      <c r="G692" s="23"/>
      <c r="H692" s="23"/>
      <c r="I692" s="23"/>
      <c r="J692" s="23"/>
      <c r="K692" s="23"/>
      <c r="L692" s="23"/>
      <c r="M692" s="23"/>
      <c r="N692" s="23"/>
      <c r="O692" s="23"/>
      <c r="P692" s="23"/>
      <c r="Q692" s="23"/>
      <c r="R692" s="23"/>
      <c r="S692" s="23"/>
      <c r="T692" s="23"/>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row>
    <row r="693" spans="1:50" x14ac:dyDescent="0.35">
      <c r="A693" s="23"/>
      <c r="B693" s="23"/>
      <c r="C693" s="23"/>
      <c r="D693" s="23"/>
      <c r="E693" s="23"/>
      <c r="F693" s="23"/>
      <c r="G693" s="23"/>
      <c r="H693" s="23"/>
      <c r="I693" s="23"/>
      <c r="J693" s="23"/>
      <c r="K693" s="23"/>
      <c r="L693" s="23"/>
      <c r="M693" s="23"/>
      <c r="N693" s="23"/>
      <c r="O693" s="23"/>
      <c r="P693" s="23"/>
      <c r="Q693" s="23"/>
      <c r="R693" s="23"/>
      <c r="S693" s="23"/>
      <c r="T693" s="23"/>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row>
    <row r="694" spans="1:50" x14ac:dyDescent="0.35">
      <c r="A694" s="23"/>
      <c r="B694" s="23"/>
      <c r="C694" s="23"/>
      <c r="D694" s="23"/>
      <c r="E694" s="23"/>
      <c r="F694" s="23"/>
      <c r="G694" s="23"/>
      <c r="H694" s="23"/>
      <c r="I694" s="23"/>
      <c r="J694" s="23"/>
      <c r="K694" s="23"/>
      <c r="L694" s="23"/>
      <c r="M694" s="23"/>
      <c r="N694" s="23"/>
      <c r="O694" s="23"/>
      <c r="P694" s="23"/>
      <c r="Q694" s="23"/>
      <c r="R694" s="23"/>
      <c r="S694" s="23"/>
      <c r="T694" s="23"/>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row>
    <row r="695" spans="1:50" x14ac:dyDescent="0.35">
      <c r="A695" s="23"/>
      <c r="B695" s="23"/>
      <c r="C695" s="23"/>
      <c r="D695" s="23"/>
      <c r="E695" s="23"/>
      <c r="F695" s="23"/>
      <c r="G695" s="23"/>
      <c r="H695" s="23"/>
      <c r="I695" s="23"/>
      <c r="J695" s="23"/>
      <c r="K695" s="23"/>
      <c r="L695" s="23"/>
      <c r="M695" s="23"/>
      <c r="N695" s="23"/>
      <c r="O695" s="23"/>
      <c r="P695" s="23"/>
      <c r="Q695" s="23"/>
      <c r="R695" s="23"/>
      <c r="S695" s="23"/>
      <c r="T695" s="23"/>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row>
    <row r="696" spans="1:50" x14ac:dyDescent="0.35">
      <c r="A696" s="23"/>
      <c r="B696" s="23"/>
      <c r="C696" s="23"/>
      <c r="D696" s="23"/>
      <c r="E696" s="23"/>
      <c r="F696" s="23"/>
      <c r="G696" s="23"/>
      <c r="H696" s="23"/>
      <c r="I696" s="23"/>
      <c r="J696" s="23"/>
      <c r="K696" s="23"/>
      <c r="L696" s="23"/>
      <c r="M696" s="23"/>
      <c r="N696" s="23"/>
      <c r="O696" s="23"/>
      <c r="P696" s="23"/>
      <c r="Q696" s="23"/>
      <c r="R696" s="23"/>
      <c r="S696" s="23"/>
      <c r="T696" s="23"/>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row>
    <row r="697" spans="1:50" x14ac:dyDescent="0.35">
      <c r="A697" s="23"/>
      <c r="B697" s="23"/>
      <c r="C697" s="23"/>
      <c r="D697" s="23"/>
      <c r="E697" s="23"/>
      <c r="F697" s="23"/>
      <c r="G697" s="23"/>
      <c r="H697" s="23"/>
      <c r="I697" s="23"/>
      <c r="J697" s="23"/>
      <c r="K697" s="23"/>
      <c r="L697" s="23"/>
      <c r="M697" s="23"/>
      <c r="N697" s="23"/>
      <c r="O697" s="23"/>
      <c r="P697" s="23"/>
      <c r="Q697" s="23"/>
      <c r="R697" s="23"/>
      <c r="S697" s="23"/>
      <c r="T697" s="23"/>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row>
    <row r="698" spans="1:50" x14ac:dyDescent="0.35">
      <c r="A698" s="23"/>
      <c r="B698" s="23"/>
      <c r="C698" s="23"/>
      <c r="D698" s="23"/>
      <c r="E698" s="23"/>
      <c r="F698" s="23"/>
      <c r="G698" s="23"/>
      <c r="H698" s="23"/>
      <c r="I698" s="23"/>
      <c r="J698" s="23"/>
      <c r="K698" s="23"/>
      <c r="L698" s="23"/>
      <c r="M698" s="23"/>
      <c r="N698" s="23"/>
      <c r="O698" s="23"/>
      <c r="P698" s="23"/>
      <c r="Q698" s="23"/>
      <c r="R698" s="23"/>
      <c r="S698" s="23"/>
      <c r="T698" s="23"/>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row>
    <row r="699" spans="1:50" x14ac:dyDescent="0.35">
      <c r="A699" s="23"/>
      <c r="B699" s="23"/>
      <c r="C699" s="23"/>
      <c r="D699" s="23"/>
      <c r="E699" s="23"/>
      <c r="F699" s="23"/>
      <c r="G699" s="23"/>
      <c r="H699" s="23"/>
      <c r="I699" s="23"/>
      <c r="J699" s="23"/>
      <c r="K699" s="23"/>
      <c r="L699" s="23"/>
      <c r="M699" s="23"/>
      <c r="N699" s="23"/>
      <c r="O699" s="23"/>
      <c r="P699" s="23"/>
      <c r="Q699" s="23"/>
      <c r="R699" s="23"/>
      <c r="S699" s="23"/>
      <c r="T699" s="23"/>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row>
    <row r="700" spans="1:50" x14ac:dyDescent="0.35">
      <c r="A700" s="23"/>
      <c r="B700" s="23"/>
      <c r="C700" s="23"/>
      <c r="D700" s="23"/>
      <c r="E700" s="23"/>
      <c r="F700" s="23"/>
      <c r="G700" s="23"/>
      <c r="H700" s="23"/>
      <c r="I700" s="23"/>
      <c r="J700" s="23"/>
      <c r="K700" s="23"/>
      <c r="L700" s="23"/>
      <c r="M700" s="23"/>
      <c r="N700" s="23"/>
      <c r="O700" s="23"/>
      <c r="P700" s="23"/>
      <c r="Q700" s="23"/>
      <c r="R700" s="23"/>
      <c r="S700" s="23"/>
      <c r="T700" s="23"/>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row>
    <row r="701" spans="1:50" x14ac:dyDescent="0.35">
      <c r="A701" s="23"/>
      <c r="B701" s="23"/>
      <c r="C701" s="23"/>
      <c r="D701" s="23"/>
      <c r="E701" s="23"/>
      <c r="F701" s="23"/>
      <c r="G701" s="23"/>
      <c r="H701" s="23"/>
      <c r="I701" s="23"/>
      <c r="J701" s="23"/>
      <c r="K701" s="23"/>
      <c r="L701" s="23"/>
      <c r="M701" s="23"/>
      <c r="N701" s="23"/>
      <c r="O701" s="23"/>
      <c r="P701" s="23"/>
      <c r="Q701" s="23"/>
      <c r="R701" s="23"/>
      <c r="S701" s="23"/>
      <c r="T701" s="23"/>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row>
    <row r="702" spans="1:50" x14ac:dyDescent="0.35">
      <c r="A702" s="23"/>
      <c r="B702" s="23"/>
      <c r="C702" s="23"/>
      <c r="D702" s="23"/>
      <c r="E702" s="23"/>
      <c r="F702" s="23"/>
      <c r="G702" s="23"/>
      <c r="H702" s="23"/>
      <c r="I702" s="23"/>
      <c r="J702" s="23"/>
      <c r="K702" s="23"/>
      <c r="L702" s="23"/>
      <c r="M702" s="23"/>
      <c r="N702" s="23"/>
      <c r="O702" s="23"/>
      <c r="P702" s="23"/>
      <c r="Q702" s="23"/>
      <c r="R702" s="23"/>
      <c r="S702" s="23"/>
      <c r="T702" s="23"/>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row>
    <row r="703" spans="1:50" x14ac:dyDescent="0.35">
      <c r="A703" s="23"/>
      <c r="B703" s="23"/>
      <c r="C703" s="23"/>
      <c r="D703" s="23"/>
      <c r="E703" s="23"/>
      <c r="F703" s="23"/>
      <c r="G703" s="23"/>
      <c r="H703" s="23"/>
      <c r="I703" s="23"/>
      <c r="J703" s="23"/>
      <c r="K703" s="23"/>
      <c r="L703" s="23"/>
      <c r="M703" s="23"/>
      <c r="N703" s="23"/>
      <c r="O703" s="23"/>
      <c r="P703" s="23"/>
      <c r="Q703" s="23"/>
      <c r="R703" s="23"/>
      <c r="S703" s="23"/>
      <c r="T703" s="23"/>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row>
    <row r="704" spans="1:50" x14ac:dyDescent="0.35">
      <c r="A704" s="23"/>
      <c r="B704" s="23"/>
      <c r="C704" s="23"/>
      <c r="D704" s="23"/>
      <c r="E704" s="23"/>
      <c r="F704" s="23"/>
      <c r="G704" s="23"/>
      <c r="H704" s="23"/>
      <c r="I704" s="23"/>
      <c r="J704" s="23"/>
      <c r="K704" s="23"/>
      <c r="L704" s="23"/>
      <c r="M704" s="23"/>
      <c r="N704" s="23"/>
      <c r="O704" s="23"/>
      <c r="P704" s="23"/>
      <c r="Q704" s="23"/>
      <c r="R704" s="23"/>
      <c r="S704" s="23"/>
      <c r="T704" s="23"/>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row>
    <row r="705" spans="1:50" x14ac:dyDescent="0.35">
      <c r="A705" s="23"/>
      <c r="B705" s="23"/>
      <c r="C705" s="23"/>
      <c r="D705" s="23"/>
      <c r="E705" s="23"/>
      <c r="F705" s="23"/>
      <c r="G705" s="23"/>
      <c r="H705" s="23"/>
      <c r="I705" s="23"/>
      <c r="J705" s="23"/>
      <c r="K705" s="23"/>
      <c r="L705" s="23"/>
      <c r="M705" s="23"/>
      <c r="N705" s="23"/>
      <c r="O705" s="23"/>
      <c r="P705" s="23"/>
      <c r="Q705" s="23"/>
      <c r="R705" s="23"/>
      <c r="S705" s="23"/>
      <c r="T705" s="23"/>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row>
    <row r="706" spans="1:50" x14ac:dyDescent="0.35">
      <c r="A706" s="23"/>
      <c r="B706" s="23"/>
      <c r="C706" s="23"/>
      <c r="D706" s="23"/>
      <c r="E706" s="23"/>
      <c r="F706" s="23"/>
      <c r="G706" s="23"/>
      <c r="H706" s="23"/>
      <c r="I706" s="23"/>
      <c r="J706" s="23"/>
      <c r="K706" s="23"/>
      <c r="L706" s="23"/>
      <c r="M706" s="23"/>
      <c r="N706" s="23"/>
      <c r="O706" s="23"/>
      <c r="P706" s="23"/>
      <c r="Q706" s="23"/>
      <c r="R706" s="23"/>
      <c r="S706" s="23"/>
      <c r="T706" s="23"/>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row>
    <row r="707" spans="1:50" x14ac:dyDescent="0.35">
      <c r="A707" s="23"/>
      <c r="B707" s="23"/>
      <c r="C707" s="23"/>
      <c r="D707" s="23"/>
      <c r="E707" s="23"/>
      <c r="F707" s="23"/>
      <c r="G707" s="23"/>
      <c r="H707" s="23"/>
      <c r="I707" s="23"/>
      <c r="J707" s="23"/>
      <c r="K707" s="23"/>
      <c r="L707" s="23"/>
      <c r="M707" s="23"/>
      <c r="N707" s="23"/>
      <c r="O707" s="23"/>
      <c r="P707" s="23"/>
      <c r="Q707" s="23"/>
      <c r="R707" s="23"/>
      <c r="S707" s="23"/>
      <c r="T707" s="23"/>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row>
    <row r="708" spans="1:50" x14ac:dyDescent="0.35">
      <c r="A708" s="23"/>
      <c r="B708" s="23"/>
      <c r="C708" s="23"/>
      <c r="D708" s="23"/>
      <c r="E708" s="23"/>
      <c r="F708" s="23"/>
      <c r="G708" s="23"/>
      <c r="H708" s="23"/>
      <c r="I708" s="23"/>
      <c r="J708" s="23"/>
      <c r="K708" s="23"/>
      <c r="L708" s="23"/>
      <c r="M708" s="23"/>
      <c r="N708" s="23"/>
      <c r="O708" s="23"/>
      <c r="P708" s="23"/>
      <c r="Q708" s="23"/>
      <c r="R708" s="23"/>
      <c r="S708" s="23"/>
      <c r="T708" s="23"/>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row>
    <row r="709" spans="1:50" x14ac:dyDescent="0.35">
      <c r="A709" s="23"/>
      <c r="B709" s="23"/>
      <c r="C709" s="23"/>
      <c r="D709" s="23"/>
      <c r="E709" s="23"/>
      <c r="F709" s="23"/>
      <c r="G709" s="23"/>
      <c r="H709" s="23"/>
      <c r="I709" s="23"/>
      <c r="J709" s="23"/>
      <c r="K709" s="23"/>
      <c r="L709" s="23"/>
      <c r="M709" s="23"/>
      <c r="N709" s="23"/>
      <c r="O709" s="23"/>
      <c r="P709" s="23"/>
      <c r="Q709" s="23"/>
      <c r="R709" s="23"/>
      <c r="S709" s="23"/>
      <c r="T709" s="23"/>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row>
    <row r="710" spans="1:50" x14ac:dyDescent="0.35">
      <c r="A710" s="23"/>
      <c r="B710" s="23"/>
      <c r="C710" s="23"/>
      <c r="D710" s="23"/>
      <c r="E710" s="23"/>
      <c r="F710" s="23"/>
      <c r="G710" s="23"/>
      <c r="H710" s="23"/>
      <c r="I710" s="23"/>
      <c r="J710" s="23"/>
      <c r="K710" s="23"/>
      <c r="L710" s="23"/>
      <c r="M710" s="23"/>
      <c r="N710" s="23"/>
      <c r="O710" s="23"/>
      <c r="P710" s="23"/>
      <c r="Q710" s="23"/>
      <c r="R710" s="23"/>
      <c r="S710" s="23"/>
      <c r="T710" s="23"/>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row>
    <row r="711" spans="1:50" x14ac:dyDescent="0.35">
      <c r="A711" s="23"/>
      <c r="B711" s="23"/>
      <c r="C711" s="23"/>
      <c r="D711" s="23"/>
      <c r="E711" s="23"/>
      <c r="F711" s="23"/>
      <c r="G711" s="23"/>
      <c r="H711" s="23"/>
      <c r="I711" s="23"/>
      <c r="J711" s="23"/>
      <c r="K711" s="23"/>
      <c r="L711" s="23"/>
      <c r="M711" s="23"/>
      <c r="N711" s="23"/>
      <c r="O711" s="23"/>
      <c r="P711" s="23"/>
      <c r="Q711" s="23"/>
      <c r="R711" s="23"/>
      <c r="S711" s="23"/>
      <c r="T711" s="23"/>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row>
    <row r="712" spans="1:50" x14ac:dyDescent="0.35">
      <c r="A712" s="23"/>
      <c r="B712" s="23"/>
      <c r="C712" s="23"/>
      <c r="D712" s="23"/>
      <c r="E712" s="23"/>
      <c r="F712" s="23"/>
      <c r="G712" s="23"/>
      <c r="H712" s="23"/>
      <c r="I712" s="23"/>
      <c r="J712" s="23"/>
      <c r="K712" s="23"/>
      <c r="L712" s="23"/>
      <c r="M712" s="23"/>
      <c r="N712" s="23"/>
      <c r="O712" s="23"/>
      <c r="P712" s="23"/>
      <c r="Q712" s="23"/>
      <c r="R712" s="23"/>
      <c r="S712" s="23"/>
      <c r="T712" s="23"/>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row>
    <row r="713" spans="1:50" x14ac:dyDescent="0.35">
      <c r="A713" s="23"/>
      <c r="B713" s="23"/>
      <c r="C713" s="23"/>
      <c r="D713" s="23"/>
      <c r="E713" s="23"/>
      <c r="F713" s="23"/>
      <c r="G713" s="23"/>
      <c r="H713" s="23"/>
      <c r="I713" s="23"/>
      <c r="J713" s="23"/>
      <c r="K713" s="23"/>
      <c r="L713" s="23"/>
      <c r="M713" s="23"/>
      <c r="N713" s="23"/>
      <c r="O713" s="23"/>
      <c r="P713" s="23"/>
      <c r="Q713" s="23"/>
      <c r="R713" s="23"/>
      <c r="S713" s="23"/>
      <c r="T713" s="23"/>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row>
    <row r="714" spans="1:50" x14ac:dyDescent="0.35">
      <c r="A714" s="23"/>
      <c r="B714" s="23"/>
      <c r="C714" s="23"/>
      <c r="D714" s="23"/>
      <c r="E714" s="23"/>
      <c r="F714" s="23"/>
      <c r="G714" s="23"/>
      <c r="H714" s="23"/>
      <c r="I714" s="23"/>
      <c r="J714" s="23"/>
      <c r="K714" s="23"/>
      <c r="L714" s="23"/>
      <c r="M714" s="23"/>
      <c r="N714" s="23"/>
      <c r="O714" s="23"/>
      <c r="P714" s="23"/>
      <c r="Q714" s="23"/>
      <c r="R714" s="23"/>
      <c r="S714" s="23"/>
      <c r="T714" s="23"/>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row>
    <row r="715" spans="1:50" x14ac:dyDescent="0.35">
      <c r="A715" s="23"/>
      <c r="B715" s="23"/>
      <c r="C715" s="23"/>
      <c r="D715" s="23"/>
      <c r="E715" s="23"/>
      <c r="F715" s="23"/>
      <c r="G715" s="23"/>
      <c r="H715" s="23"/>
      <c r="I715" s="23"/>
      <c r="J715" s="23"/>
      <c r="K715" s="23"/>
      <c r="L715" s="23"/>
      <c r="M715" s="23"/>
      <c r="N715" s="23"/>
      <c r="O715" s="23"/>
      <c r="P715" s="23"/>
      <c r="Q715" s="23"/>
      <c r="R715" s="23"/>
      <c r="S715" s="23"/>
      <c r="T715" s="23"/>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row>
    <row r="716" spans="1:50" x14ac:dyDescent="0.35">
      <c r="A716" s="23"/>
      <c r="B716" s="23"/>
      <c r="C716" s="23"/>
      <c r="D716" s="23"/>
      <c r="E716" s="23"/>
      <c r="F716" s="23"/>
      <c r="G716" s="23"/>
      <c r="H716" s="23"/>
      <c r="I716" s="23"/>
      <c r="J716" s="23"/>
      <c r="K716" s="23"/>
      <c r="L716" s="23"/>
      <c r="M716" s="23"/>
      <c r="N716" s="23"/>
      <c r="O716" s="23"/>
      <c r="P716" s="23"/>
      <c r="Q716" s="23"/>
      <c r="R716" s="23"/>
      <c r="S716" s="23"/>
      <c r="T716" s="23"/>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row>
    <row r="717" spans="1:50" x14ac:dyDescent="0.35">
      <c r="A717" s="23"/>
      <c r="B717" s="23"/>
      <c r="C717" s="23"/>
      <c r="D717" s="23"/>
      <c r="E717" s="23"/>
      <c r="F717" s="23"/>
      <c r="G717" s="23"/>
      <c r="H717" s="23"/>
      <c r="I717" s="23"/>
      <c r="J717" s="23"/>
      <c r="K717" s="23"/>
      <c r="L717" s="23"/>
      <c r="M717" s="23"/>
      <c r="N717" s="23"/>
      <c r="O717" s="23"/>
      <c r="P717" s="23"/>
      <c r="Q717" s="23"/>
      <c r="R717" s="23"/>
      <c r="S717" s="23"/>
      <c r="T717" s="23"/>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row>
    <row r="718" spans="1:50" x14ac:dyDescent="0.35">
      <c r="A718" s="23"/>
      <c r="B718" s="23"/>
      <c r="C718" s="23"/>
      <c r="D718" s="23"/>
      <c r="E718" s="23"/>
      <c r="F718" s="23"/>
      <c r="G718" s="23"/>
      <c r="H718" s="23"/>
      <c r="I718" s="23"/>
      <c r="J718" s="23"/>
      <c r="K718" s="23"/>
      <c r="L718" s="23"/>
      <c r="M718" s="23"/>
      <c r="N718" s="23"/>
      <c r="O718" s="23"/>
      <c r="P718" s="23"/>
      <c r="Q718" s="23"/>
      <c r="R718" s="23"/>
      <c r="S718" s="23"/>
      <c r="T718" s="23"/>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row>
    <row r="719" spans="1:50" x14ac:dyDescent="0.35">
      <c r="A719" s="23"/>
      <c r="B719" s="23"/>
      <c r="C719" s="23"/>
      <c r="D719" s="23"/>
      <c r="E719" s="23"/>
      <c r="F719" s="23"/>
      <c r="G719" s="23"/>
      <c r="H719" s="23"/>
      <c r="I719" s="23"/>
      <c r="J719" s="23"/>
      <c r="K719" s="23"/>
      <c r="L719" s="23"/>
      <c r="M719" s="23"/>
      <c r="N719" s="23"/>
      <c r="O719" s="23"/>
      <c r="P719" s="23"/>
      <c r="Q719" s="23"/>
      <c r="R719" s="23"/>
      <c r="S719" s="23"/>
      <c r="T719" s="23"/>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row>
    <row r="720" spans="1:50" x14ac:dyDescent="0.35">
      <c r="A720" s="23"/>
      <c r="B720" s="23"/>
      <c r="C720" s="23"/>
      <c r="D720" s="23"/>
      <c r="E720" s="23"/>
      <c r="F720" s="23"/>
      <c r="G720" s="23"/>
      <c r="H720" s="23"/>
      <c r="I720" s="23"/>
      <c r="J720" s="23"/>
      <c r="K720" s="23"/>
      <c r="L720" s="23"/>
      <c r="M720" s="23"/>
      <c r="N720" s="23"/>
      <c r="O720" s="23"/>
      <c r="P720" s="23"/>
      <c r="Q720" s="23"/>
      <c r="R720" s="23"/>
      <c r="S720" s="23"/>
      <c r="T720" s="23"/>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row>
    <row r="721" spans="1:50" x14ac:dyDescent="0.35">
      <c r="A721" s="23"/>
      <c r="B721" s="23"/>
      <c r="C721" s="23"/>
      <c r="D721" s="23"/>
      <c r="E721" s="23"/>
      <c r="F721" s="23"/>
      <c r="G721" s="23"/>
      <c r="H721" s="23"/>
      <c r="I721" s="23"/>
      <c r="J721" s="23"/>
      <c r="K721" s="23"/>
      <c r="L721" s="23"/>
      <c r="M721" s="23"/>
      <c r="N721" s="23"/>
      <c r="O721" s="23"/>
      <c r="P721" s="23"/>
      <c r="Q721" s="23"/>
      <c r="R721" s="23"/>
      <c r="S721" s="23"/>
      <c r="T721" s="23"/>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row>
    <row r="722" spans="1:50" x14ac:dyDescent="0.35">
      <c r="A722" s="23"/>
      <c r="B722" s="23"/>
      <c r="C722" s="23"/>
      <c r="D722" s="23"/>
      <c r="E722" s="23"/>
      <c r="F722" s="23"/>
      <c r="G722" s="23"/>
      <c r="H722" s="23"/>
      <c r="I722" s="23"/>
      <c r="J722" s="23"/>
      <c r="K722" s="23"/>
      <c r="L722" s="23"/>
      <c r="M722" s="23"/>
      <c r="N722" s="23"/>
      <c r="O722" s="23"/>
      <c r="P722" s="23"/>
      <c r="Q722" s="23"/>
      <c r="R722" s="23"/>
      <c r="S722" s="23"/>
      <c r="T722" s="23"/>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row>
    <row r="723" spans="1:50" x14ac:dyDescent="0.35">
      <c r="A723" s="23"/>
      <c r="B723" s="23"/>
      <c r="C723" s="23"/>
      <c r="D723" s="23"/>
      <c r="E723" s="23"/>
      <c r="F723" s="23"/>
      <c r="G723" s="23"/>
      <c r="H723" s="23"/>
      <c r="I723" s="23"/>
      <c r="J723" s="23"/>
      <c r="K723" s="23"/>
      <c r="L723" s="23"/>
      <c r="M723" s="23"/>
      <c r="N723" s="23"/>
      <c r="O723" s="23"/>
      <c r="P723" s="23"/>
      <c r="Q723" s="23"/>
      <c r="R723" s="23"/>
      <c r="S723" s="23"/>
      <c r="T723" s="23"/>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row>
    <row r="724" spans="1:50" x14ac:dyDescent="0.35">
      <c r="A724" s="23"/>
      <c r="B724" s="23"/>
      <c r="C724" s="23"/>
      <c r="D724" s="23"/>
      <c r="E724" s="23"/>
      <c r="F724" s="23"/>
      <c r="G724" s="23"/>
      <c r="H724" s="23"/>
      <c r="I724" s="23"/>
      <c r="J724" s="23"/>
      <c r="K724" s="23"/>
      <c r="L724" s="23"/>
      <c r="M724" s="23"/>
      <c r="N724" s="23"/>
      <c r="O724" s="23"/>
      <c r="P724" s="23"/>
      <c r="Q724" s="23"/>
      <c r="R724" s="23"/>
      <c r="S724" s="23"/>
      <c r="T724" s="23"/>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row>
    <row r="725" spans="1:50" x14ac:dyDescent="0.35">
      <c r="A725" s="23"/>
      <c r="B725" s="23"/>
      <c r="C725" s="23"/>
      <c r="D725" s="23"/>
      <c r="E725" s="23"/>
      <c r="F725" s="23"/>
      <c r="G725" s="23"/>
      <c r="H725" s="23"/>
      <c r="I725" s="23"/>
      <c r="J725" s="23"/>
      <c r="K725" s="23"/>
      <c r="L725" s="23"/>
      <c r="M725" s="23"/>
      <c r="N725" s="23"/>
      <c r="O725" s="23"/>
      <c r="P725" s="23"/>
      <c r="Q725" s="23"/>
      <c r="R725" s="23"/>
      <c r="S725" s="23"/>
      <c r="T725" s="23"/>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row>
    <row r="726" spans="1:50" x14ac:dyDescent="0.35">
      <c r="A726" s="23"/>
      <c r="B726" s="23"/>
      <c r="C726" s="23"/>
      <c r="D726" s="23"/>
      <c r="E726" s="23"/>
      <c r="F726" s="23"/>
      <c r="G726" s="23"/>
      <c r="H726" s="23"/>
      <c r="I726" s="23"/>
      <c r="J726" s="23"/>
      <c r="K726" s="23"/>
      <c r="L726" s="23"/>
      <c r="M726" s="23"/>
      <c r="N726" s="23"/>
      <c r="O726" s="23"/>
      <c r="P726" s="23"/>
      <c r="Q726" s="23"/>
      <c r="R726" s="23"/>
      <c r="S726" s="23"/>
      <c r="T726" s="23"/>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row>
    <row r="727" spans="1:50" x14ac:dyDescent="0.35">
      <c r="A727" s="23"/>
      <c r="B727" s="23"/>
      <c r="C727" s="23"/>
      <c r="D727" s="23"/>
      <c r="E727" s="23"/>
      <c r="F727" s="23"/>
      <c r="G727" s="23"/>
      <c r="H727" s="23"/>
      <c r="I727" s="23"/>
      <c r="J727" s="23"/>
      <c r="K727" s="23"/>
      <c r="L727" s="23"/>
      <c r="M727" s="23"/>
      <c r="N727" s="23"/>
      <c r="O727" s="23"/>
      <c r="P727" s="23"/>
      <c r="Q727" s="23"/>
      <c r="R727" s="23"/>
      <c r="S727" s="23"/>
      <c r="T727" s="23"/>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row>
    <row r="728" spans="1:50" x14ac:dyDescent="0.35">
      <c r="A728" s="23"/>
      <c r="B728" s="23"/>
      <c r="C728" s="23"/>
      <c r="D728" s="23"/>
      <c r="E728" s="23"/>
      <c r="F728" s="23"/>
      <c r="G728" s="23"/>
      <c r="H728" s="23"/>
      <c r="I728" s="23"/>
      <c r="J728" s="23"/>
      <c r="K728" s="23"/>
      <c r="L728" s="23"/>
      <c r="M728" s="23"/>
      <c r="N728" s="23"/>
      <c r="O728" s="23"/>
      <c r="P728" s="23"/>
      <c r="Q728" s="23"/>
      <c r="R728" s="23"/>
      <c r="S728" s="23"/>
      <c r="T728" s="23"/>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row>
    <row r="729" spans="1:50" x14ac:dyDescent="0.35">
      <c r="A729" s="23"/>
      <c r="B729" s="23"/>
      <c r="C729" s="23"/>
      <c r="D729" s="23"/>
      <c r="E729" s="23"/>
      <c r="F729" s="23"/>
      <c r="G729" s="23"/>
      <c r="H729" s="23"/>
      <c r="I729" s="23"/>
      <c r="J729" s="23"/>
      <c r="K729" s="23"/>
      <c r="L729" s="23"/>
      <c r="M729" s="23"/>
      <c r="N729" s="23"/>
      <c r="O729" s="23"/>
      <c r="P729" s="23"/>
      <c r="Q729" s="23"/>
      <c r="R729" s="23"/>
      <c r="S729" s="23"/>
      <c r="T729" s="23"/>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row>
    <row r="730" spans="1:50" x14ac:dyDescent="0.35">
      <c r="A730" s="23"/>
      <c r="B730" s="23"/>
      <c r="C730" s="23"/>
      <c r="D730" s="23"/>
      <c r="E730" s="23"/>
      <c r="F730" s="23"/>
      <c r="G730" s="23"/>
      <c r="H730" s="23"/>
      <c r="I730" s="23"/>
      <c r="J730" s="23"/>
      <c r="K730" s="23"/>
      <c r="L730" s="23"/>
      <c r="M730" s="23"/>
      <c r="N730" s="23"/>
      <c r="O730" s="23"/>
      <c r="P730" s="23"/>
      <c r="Q730" s="23"/>
      <c r="R730" s="23"/>
      <c r="S730" s="23"/>
      <c r="T730" s="23"/>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row>
    <row r="731" spans="1:50" x14ac:dyDescent="0.35">
      <c r="A731" s="23"/>
      <c r="B731" s="23"/>
      <c r="C731" s="23"/>
      <c r="D731" s="23"/>
      <c r="E731" s="23"/>
      <c r="F731" s="23"/>
      <c r="G731" s="23"/>
      <c r="H731" s="23"/>
      <c r="I731" s="23"/>
      <c r="J731" s="23"/>
      <c r="K731" s="23"/>
      <c r="L731" s="23"/>
      <c r="M731" s="23"/>
      <c r="N731" s="23"/>
      <c r="O731" s="23"/>
      <c r="P731" s="23"/>
      <c r="Q731" s="23"/>
      <c r="R731" s="23"/>
      <c r="S731" s="23"/>
      <c r="T731" s="23"/>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row>
    <row r="732" spans="1:50" x14ac:dyDescent="0.35">
      <c r="A732" s="23"/>
      <c r="B732" s="23"/>
      <c r="C732" s="23"/>
      <c r="D732" s="23"/>
      <c r="E732" s="23"/>
      <c r="F732" s="23"/>
      <c r="G732" s="23"/>
      <c r="H732" s="23"/>
      <c r="I732" s="23"/>
      <c r="J732" s="23"/>
      <c r="K732" s="23"/>
      <c r="L732" s="23"/>
      <c r="M732" s="23"/>
      <c r="N732" s="23"/>
      <c r="O732" s="23"/>
      <c r="P732" s="23"/>
      <c r="Q732" s="23"/>
      <c r="R732" s="23"/>
      <c r="S732" s="23"/>
      <c r="T732" s="23"/>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row>
    <row r="733" spans="1:50" x14ac:dyDescent="0.35">
      <c r="A733" s="23"/>
      <c r="B733" s="23"/>
      <c r="C733" s="23"/>
      <c r="D733" s="23"/>
      <c r="E733" s="23"/>
      <c r="F733" s="23"/>
      <c r="G733" s="23"/>
      <c r="H733" s="23"/>
      <c r="I733" s="23"/>
      <c r="J733" s="23"/>
      <c r="K733" s="23"/>
      <c r="L733" s="23"/>
      <c r="M733" s="23"/>
      <c r="N733" s="23"/>
      <c r="O733" s="23"/>
      <c r="P733" s="23"/>
      <c r="Q733" s="23"/>
      <c r="R733" s="23"/>
      <c r="S733" s="23"/>
      <c r="T733" s="23"/>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row>
    <row r="734" spans="1:50" x14ac:dyDescent="0.35">
      <c r="A734" s="23"/>
      <c r="B734" s="23"/>
      <c r="C734" s="23"/>
      <c r="D734" s="23"/>
      <c r="E734" s="23"/>
      <c r="F734" s="23"/>
      <c r="G734" s="23"/>
      <c r="H734" s="23"/>
      <c r="I734" s="23"/>
      <c r="J734" s="23"/>
      <c r="K734" s="23"/>
      <c r="L734" s="23"/>
      <c r="M734" s="23"/>
      <c r="N734" s="23"/>
      <c r="O734" s="23"/>
      <c r="P734" s="23"/>
      <c r="Q734" s="23"/>
      <c r="R734" s="23"/>
      <c r="S734" s="23"/>
      <c r="T734" s="23"/>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row>
    <row r="735" spans="1:50" x14ac:dyDescent="0.35">
      <c r="A735" s="23"/>
      <c r="B735" s="23"/>
      <c r="C735" s="23"/>
      <c r="D735" s="23"/>
      <c r="E735" s="23"/>
      <c r="F735" s="23"/>
      <c r="G735" s="23"/>
      <c r="H735" s="23"/>
      <c r="I735" s="23"/>
      <c r="J735" s="23"/>
      <c r="K735" s="23"/>
      <c r="L735" s="23"/>
      <c r="M735" s="23"/>
      <c r="N735" s="23"/>
      <c r="O735" s="23"/>
      <c r="P735" s="23"/>
      <c r="Q735" s="23"/>
      <c r="R735" s="23"/>
      <c r="S735" s="23"/>
      <c r="T735" s="23"/>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row>
    <row r="736" spans="1:50" x14ac:dyDescent="0.35">
      <c r="A736" s="23"/>
      <c r="B736" s="23"/>
      <c r="C736" s="23"/>
      <c r="D736" s="23"/>
      <c r="E736" s="23"/>
      <c r="F736" s="23"/>
      <c r="G736" s="23"/>
      <c r="H736" s="23"/>
      <c r="I736" s="23"/>
      <c r="J736" s="23"/>
      <c r="K736" s="23"/>
      <c r="L736" s="23"/>
      <c r="M736" s="23"/>
      <c r="N736" s="23"/>
      <c r="O736" s="23"/>
      <c r="P736" s="23"/>
      <c r="Q736" s="23"/>
      <c r="R736" s="23"/>
      <c r="S736" s="23"/>
      <c r="T736" s="23"/>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row>
    <row r="737" spans="1:50" x14ac:dyDescent="0.35">
      <c r="A737" s="23"/>
      <c r="B737" s="23"/>
      <c r="C737" s="23"/>
      <c r="D737" s="23"/>
      <c r="E737" s="23"/>
      <c r="F737" s="23"/>
      <c r="G737" s="23"/>
      <c r="H737" s="23"/>
      <c r="I737" s="23"/>
      <c r="J737" s="23"/>
      <c r="K737" s="23"/>
      <c r="L737" s="23"/>
      <c r="M737" s="23"/>
      <c r="N737" s="23"/>
      <c r="O737" s="23"/>
      <c r="P737" s="23"/>
      <c r="Q737" s="23"/>
      <c r="R737" s="23"/>
      <c r="S737" s="23"/>
      <c r="T737" s="23"/>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row>
    <row r="738" spans="1:50" x14ac:dyDescent="0.35">
      <c r="A738" s="23"/>
      <c r="B738" s="23"/>
      <c r="C738" s="23"/>
      <c r="D738" s="23"/>
      <c r="E738" s="23"/>
      <c r="F738" s="23"/>
      <c r="G738" s="23"/>
      <c r="H738" s="23"/>
      <c r="I738" s="23"/>
      <c r="J738" s="23"/>
      <c r="K738" s="23"/>
      <c r="L738" s="23"/>
      <c r="M738" s="23"/>
      <c r="N738" s="23"/>
      <c r="O738" s="23"/>
      <c r="P738" s="23"/>
      <c r="Q738" s="23"/>
      <c r="R738" s="23"/>
      <c r="S738" s="23"/>
      <c r="T738" s="23"/>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row>
    <row r="739" spans="1:50" x14ac:dyDescent="0.35">
      <c r="A739" s="23"/>
      <c r="B739" s="23"/>
      <c r="C739" s="23"/>
      <c r="D739" s="23"/>
      <c r="E739" s="23"/>
      <c r="F739" s="23"/>
      <c r="G739" s="23"/>
      <c r="H739" s="23"/>
      <c r="I739" s="23"/>
      <c r="J739" s="23"/>
      <c r="K739" s="23"/>
      <c r="L739" s="23"/>
      <c r="M739" s="23"/>
      <c r="N739" s="23"/>
      <c r="O739" s="23"/>
      <c r="P739" s="23"/>
      <c r="Q739" s="23"/>
      <c r="R739" s="23"/>
      <c r="S739" s="23"/>
      <c r="T739" s="23"/>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row>
    <row r="740" spans="1:50" x14ac:dyDescent="0.35">
      <c r="A740" s="23"/>
      <c r="B740" s="23"/>
      <c r="C740" s="23"/>
      <c r="D740" s="23"/>
      <c r="E740" s="23"/>
      <c r="F740" s="23"/>
      <c r="G740" s="23"/>
      <c r="H740" s="23"/>
      <c r="I740" s="23"/>
      <c r="J740" s="23"/>
      <c r="K740" s="23"/>
      <c r="L740" s="23"/>
      <c r="M740" s="23"/>
      <c r="N740" s="23"/>
      <c r="O740" s="23"/>
      <c r="P740" s="23"/>
      <c r="Q740" s="23"/>
      <c r="R740" s="23"/>
      <c r="S740" s="23"/>
      <c r="T740" s="23"/>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row>
    <row r="741" spans="1:50" x14ac:dyDescent="0.35">
      <c r="A741" s="23"/>
      <c r="B741" s="23"/>
      <c r="C741" s="23"/>
      <c r="D741" s="23"/>
      <c r="E741" s="23"/>
      <c r="F741" s="23"/>
      <c r="G741" s="23"/>
      <c r="H741" s="23"/>
      <c r="I741" s="23"/>
      <c r="J741" s="23"/>
      <c r="K741" s="23"/>
      <c r="L741" s="23"/>
      <c r="M741" s="23"/>
      <c r="N741" s="23"/>
      <c r="O741" s="23"/>
      <c r="P741" s="23"/>
      <c r="Q741" s="23"/>
      <c r="R741" s="23"/>
      <c r="S741" s="23"/>
      <c r="T741" s="23"/>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row>
    <row r="742" spans="1:50" x14ac:dyDescent="0.35">
      <c r="A742" s="23"/>
      <c r="B742" s="23"/>
      <c r="C742" s="23"/>
      <c r="D742" s="23"/>
      <c r="E742" s="23"/>
      <c r="F742" s="23"/>
      <c r="G742" s="23"/>
      <c r="H742" s="23"/>
      <c r="I742" s="23"/>
      <c r="J742" s="23"/>
      <c r="K742" s="23"/>
      <c r="L742" s="23"/>
      <c r="M742" s="23"/>
      <c r="N742" s="23"/>
      <c r="O742" s="23"/>
      <c r="P742" s="23"/>
      <c r="Q742" s="23"/>
      <c r="R742" s="23"/>
      <c r="S742" s="23"/>
      <c r="T742" s="23"/>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row>
    <row r="743" spans="1:50" x14ac:dyDescent="0.35">
      <c r="A743" s="23"/>
      <c r="B743" s="23"/>
      <c r="C743" s="23"/>
      <c r="D743" s="23"/>
      <c r="E743" s="23"/>
      <c r="F743" s="23"/>
      <c r="G743" s="23"/>
      <c r="H743" s="23"/>
      <c r="I743" s="23"/>
      <c r="J743" s="23"/>
      <c r="K743" s="23"/>
      <c r="L743" s="23"/>
      <c r="M743" s="23"/>
      <c r="N743" s="23"/>
      <c r="O743" s="23"/>
      <c r="P743" s="23"/>
      <c r="Q743" s="23"/>
      <c r="R743" s="23"/>
      <c r="S743" s="23"/>
      <c r="T743" s="23"/>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row>
    <row r="744" spans="1:50" x14ac:dyDescent="0.35">
      <c r="A744" s="23"/>
      <c r="B744" s="23"/>
      <c r="C744" s="23"/>
      <c r="D744" s="23"/>
      <c r="E744" s="23"/>
      <c r="F744" s="23"/>
      <c r="G744" s="23"/>
      <c r="H744" s="23"/>
      <c r="I744" s="23"/>
      <c r="J744" s="23"/>
      <c r="K744" s="23"/>
      <c r="L744" s="23"/>
      <c r="M744" s="23"/>
      <c r="N744" s="23"/>
      <c r="O744" s="23"/>
      <c r="P744" s="23"/>
      <c r="Q744" s="23"/>
      <c r="R744" s="23"/>
      <c r="S744" s="23"/>
      <c r="T744" s="23"/>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row>
    <row r="745" spans="1:50" x14ac:dyDescent="0.35">
      <c r="A745" s="23"/>
      <c r="B745" s="23"/>
      <c r="C745" s="23"/>
      <c r="D745" s="23"/>
      <c r="E745" s="23"/>
      <c r="F745" s="23"/>
      <c r="G745" s="23"/>
      <c r="H745" s="23"/>
      <c r="I745" s="23"/>
      <c r="J745" s="23"/>
      <c r="K745" s="23"/>
      <c r="L745" s="23"/>
      <c r="M745" s="23"/>
      <c r="N745" s="23"/>
      <c r="O745" s="23"/>
      <c r="P745" s="23"/>
      <c r="Q745" s="23"/>
      <c r="R745" s="23"/>
      <c r="S745" s="23"/>
      <c r="T745" s="23"/>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row>
    <row r="746" spans="1:50" x14ac:dyDescent="0.35">
      <c r="A746" s="23"/>
      <c r="B746" s="23"/>
      <c r="C746" s="23"/>
      <c r="D746" s="23"/>
      <c r="E746" s="23"/>
      <c r="F746" s="23"/>
      <c r="G746" s="23"/>
      <c r="H746" s="23"/>
      <c r="I746" s="23"/>
      <c r="J746" s="23"/>
      <c r="K746" s="23"/>
      <c r="L746" s="23"/>
      <c r="M746" s="23"/>
      <c r="N746" s="23"/>
      <c r="O746" s="23"/>
      <c r="P746" s="23"/>
      <c r="Q746" s="23"/>
      <c r="R746" s="23"/>
      <c r="S746" s="23"/>
      <c r="T746" s="23"/>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row>
    <row r="747" spans="1:50" x14ac:dyDescent="0.35">
      <c r="A747" s="23"/>
      <c r="B747" s="23"/>
      <c r="C747" s="23"/>
      <c r="D747" s="23"/>
      <c r="E747" s="23"/>
      <c r="F747" s="23"/>
      <c r="G747" s="23"/>
      <c r="H747" s="23"/>
      <c r="I747" s="23"/>
      <c r="J747" s="23"/>
      <c r="K747" s="23"/>
      <c r="L747" s="23"/>
      <c r="M747" s="23"/>
      <c r="N747" s="23"/>
      <c r="O747" s="23"/>
      <c r="P747" s="23"/>
      <c r="Q747" s="23"/>
      <c r="R747" s="23"/>
      <c r="S747" s="23"/>
      <c r="T747" s="23"/>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row>
    <row r="748" spans="1:50" x14ac:dyDescent="0.35">
      <c r="A748" s="23"/>
      <c r="B748" s="23"/>
      <c r="C748" s="23"/>
      <c r="D748" s="23"/>
      <c r="E748" s="23"/>
      <c r="F748" s="23"/>
      <c r="G748" s="23"/>
      <c r="H748" s="23"/>
      <c r="I748" s="23"/>
      <c r="J748" s="23"/>
      <c r="K748" s="23"/>
      <c r="L748" s="23"/>
      <c r="M748" s="23"/>
      <c r="N748" s="23"/>
      <c r="O748" s="23"/>
      <c r="P748" s="23"/>
      <c r="Q748" s="23"/>
      <c r="R748" s="23"/>
      <c r="S748" s="23"/>
      <c r="T748" s="23"/>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row>
    <row r="749" spans="1:50" x14ac:dyDescent="0.35">
      <c r="A749" s="23"/>
      <c r="B749" s="23"/>
      <c r="C749" s="23"/>
      <c r="D749" s="23"/>
      <c r="E749" s="23"/>
      <c r="F749" s="23"/>
      <c r="G749" s="23"/>
      <c r="H749" s="23"/>
      <c r="I749" s="23"/>
      <c r="J749" s="23"/>
      <c r="K749" s="23"/>
      <c r="L749" s="23"/>
      <c r="M749" s="23"/>
      <c r="N749" s="23"/>
      <c r="O749" s="23"/>
      <c r="P749" s="23"/>
      <c r="Q749" s="23"/>
      <c r="R749" s="23"/>
      <c r="S749" s="23"/>
      <c r="T749" s="23"/>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row>
    <row r="750" spans="1:50" x14ac:dyDescent="0.35">
      <c r="A750" s="23"/>
      <c r="B750" s="23"/>
      <c r="C750" s="23"/>
      <c r="D750" s="23"/>
      <c r="E750" s="23"/>
      <c r="F750" s="23"/>
      <c r="G750" s="23"/>
      <c r="H750" s="23"/>
      <c r="I750" s="23"/>
      <c r="J750" s="23"/>
      <c r="K750" s="23"/>
      <c r="L750" s="23"/>
      <c r="M750" s="23"/>
      <c r="N750" s="23"/>
      <c r="O750" s="23"/>
      <c r="P750" s="23"/>
      <c r="Q750" s="23"/>
      <c r="R750" s="23"/>
      <c r="S750" s="23"/>
      <c r="T750" s="23"/>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row>
    <row r="751" spans="1:50" x14ac:dyDescent="0.35">
      <c r="A751" s="23"/>
      <c r="B751" s="23"/>
      <c r="C751" s="23"/>
      <c r="D751" s="23"/>
      <c r="E751" s="23"/>
      <c r="F751" s="23"/>
      <c r="G751" s="23"/>
      <c r="H751" s="23"/>
      <c r="I751" s="23"/>
      <c r="J751" s="23"/>
      <c r="K751" s="23"/>
      <c r="L751" s="23"/>
      <c r="M751" s="23"/>
      <c r="N751" s="23"/>
      <c r="O751" s="23"/>
      <c r="P751" s="23"/>
      <c r="Q751" s="23"/>
      <c r="R751" s="23"/>
      <c r="S751" s="23"/>
      <c r="T751" s="23"/>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row>
    <row r="752" spans="1:50" x14ac:dyDescent="0.35">
      <c r="A752" s="23"/>
      <c r="B752" s="23"/>
      <c r="C752" s="23"/>
      <c r="D752" s="23"/>
      <c r="E752" s="23"/>
      <c r="F752" s="23"/>
      <c r="G752" s="23"/>
      <c r="H752" s="23"/>
      <c r="I752" s="23"/>
      <c r="J752" s="23"/>
      <c r="K752" s="23"/>
      <c r="L752" s="23"/>
      <c r="M752" s="23"/>
      <c r="N752" s="23"/>
      <c r="O752" s="23"/>
      <c r="P752" s="23"/>
      <c r="Q752" s="23"/>
      <c r="R752" s="23"/>
      <c r="S752" s="23"/>
      <c r="T752" s="23"/>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row>
    <row r="753" spans="1:50" x14ac:dyDescent="0.35">
      <c r="A753" s="23"/>
      <c r="B753" s="23"/>
      <c r="C753" s="23"/>
      <c r="D753" s="23"/>
      <c r="E753" s="23"/>
      <c r="F753" s="23"/>
      <c r="G753" s="23"/>
      <c r="H753" s="23"/>
      <c r="I753" s="23"/>
      <c r="J753" s="23"/>
      <c r="K753" s="23"/>
      <c r="L753" s="23"/>
      <c r="M753" s="23"/>
      <c r="N753" s="23"/>
      <c r="O753" s="23"/>
      <c r="P753" s="23"/>
      <c r="Q753" s="23"/>
      <c r="R753" s="23"/>
      <c r="S753" s="23"/>
      <c r="T753" s="23"/>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row>
    <row r="754" spans="1:50" x14ac:dyDescent="0.35">
      <c r="A754" s="23"/>
      <c r="B754" s="23"/>
      <c r="C754" s="23"/>
      <c r="D754" s="23"/>
      <c r="E754" s="23"/>
      <c r="F754" s="23"/>
      <c r="G754" s="23"/>
      <c r="H754" s="23"/>
      <c r="I754" s="23"/>
      <c r="J754" s="23"/>
      <c r="K754" s="23"/>
      <c r="L754" s="23"/>
      <c r="M754" s="23"/>
      <c r="N754" s="23"/>
      <c r="O754" s="23"/>
      <c r="P754" s="23"/>
      <c r="Q754" s="23"/>
      <c r="R754" s="23"/>
      <c r="S754" s="23"/>
      <c r="T754" s="23"/>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row>
    <row r="755" spans="1:50" x14ac:dyDescent="0.35">
      <c r="A755" s="23"/>
      <c r="B755" s="23"/>
      <c r="C755" s="23"/>
      <c r="D755" s="23"/>
      <c r="E755" s="23"/>
      <c r="F755" s="23"/>
      <c r="G755" s="23"/>
      <c r="H755" s="23"/>
      <c r="I755" s="23"/>
      <c r="J755" s="23"/>
      <c r="K755" s="23"/>
      <c r="L755" s="23"/>
      <c r="M755" s="23"/>
      <c r="N755" s="23"/>
      <c r="O755" s="23"/>
      <c r="P755" s="23"/>
      <c r="Q755" s="23"/>
      <c r="R755" s="23"/>
      <c r="S755" s="23"/>
      <c r="T755" s="23"/>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row>
    <row r="756" spans="1:50" x14ac:dyDescent="0.35">
      <c r="A756" s="23"/>
      <c r="B756" s="23"/>
      <c r="C756" s="23"/>
      <c r="D756" s="23"/>
      <c r="E756" s="23"/>
      <c r="F756" s="23"/>
      <c r="G756" s="23"/>
      <c r="H756" s="23"/>
      <c r="I756" s="23"/>
      <c r="J756" s="23"/>
      <c r="K756" s="23"/>
      <c r="L756" s="23"/>
      <c r="M756" s="23"/>
      <c r="N756" s="23"/>
      <c r="O756" s="23"/>
      <c r="P756" s="23"/>
      <c r="Q756" s="23"/>
      <c r="R756" s="23"/>
      <c r="S756" s="23"/>
      <c r="T756" s="23"/>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row>
    <row r="757" spans="1:50" x14ac:dyDescent="0.35">
      <c r="A757" s="23"/>
      <c r="B757" s="23"/>
      <c r="C757" s="23"/>
      <c r="D757" s="23"/>
      <c r="E757" s="23"/>
      <c r="F757" s="23"/>
      <c r="G757" s="23"/>
      <c r="H757" s="23"/>
      <c r="I757" s="23"/>
      <c r="J757" s="23"/>
      <c r="K757" s="23"/>
      <c r="L757" s="23"/>
      <c r="M757" s="23"/>
      <c r="N757" s="23"/>
      <c r="O757" s="23"/>
      <c r="P757" s="23"/>
      <c r="Q757" s="23"/>
      <c r="R757" s="23"/>
      <c r="S757" s="23"/>
      <c r="T757" s="23"/>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row>
    <row r="758" spans="1:50" x14ac:dyDescent="0.35">
      <c r="A758" s="23"/>
      <c r="B758" s="23"/>
      <c r="C758" s="23"/>
      <c r="D758" s="23"/>
      <c r="E758" s="23"/>
      <c r="F758" s="23"/>
      <c r="G758" s="23"/>
      <c r="H758" s="23"/>
      <c r="I758" s="23"/>
      <c r="J758" s="23"/>
      <c r="K758" s="23"/>
      <c r="L758" s="23"/>
      <c r="M758" s="23"/>
      <c r="N758" s="23"/>
      <c r="O758" s="23"/>
      <c r="P758" s="23"/>
      <c r="Q758" s="23"/>
      <c r="R758" s="23"/>
      <c r="S758" s="23"/>
      <c r="T758" s="23"/>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row>
    <row r="759" spans="1:50" x14ac:dyDescent="0.35">
      <c r="A759" s="23"/>
      <c r="B759" s="23"/>
      <c r="C759" s="23"/>
      <c r="D759" s="23"/>
      <c r="E759" s="23"/>
      <c r="F759" s="23"/>
      <c r="G759" s="23"/>
      <c r="H759" s="23"/>
      <c r="I759" s="23"/>
      <c r="J759" s="23"/>
      <c r="K759" s="23"/>
      <c r="L759" s="23"/>
      <c r="M759" s="23"/>
      <c r="N759" s="23"/>
      <c r="O759" s="23"/>
      <c r="P759" s="23"/>
      <c r="Q759" s="23"/>
      <c r="R759" s="23"/>
      <c r="S759" s="23"/>
      <c r="T759" s="23"/>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row>
    <row r="760" spans="1:50" x14ac:dyDescent="0.35">
      <c r="A760" s="23"/>
      <c r="B760" s="23"/>
      <c r="C760" s="23"/>
      <c r="D760" s="23"/>
      <c r="E760" s="23"/>
      <c r="F760" s="23"/>
      <c r="G760" s="23"/>
      <c r="H760" s="23"/>
      <c r="I760" s="23"/>
      <c r="J760" s="23"/>
      <c r="K760" s="23"/>
      <c r="L760" s="23"/>
      <c r="M760" s="23"/>
      <c r="N760" s="23"/>
      <c r="O760" s="23"/>
      <c r="P760" s="23"/>
      <c r="Q760" s="23"/>
      <c r="R760" s="23"/>
      <c r="S760" s="23"/>
      <c r="T760" s="23"/>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row>
    <row r="761" spans="1:50" x14ac:dyDescent="0.35">
      <c r="A761" s="23"/>
      <c r="B761" s="23"/>
      <c r="C761" s="23"/>
      <c r="D761" s="23"/>
      <c r="E761" s="23"/>
      <c r="F761" s="23"/>
      <c r="G761" s="23"/>
      <c r="H761" s="23"/>
      <c r="I761" s="23"/>
      <c r="J761" s="23"/>
      <c r="K761" s="23"/>
      <c r="L761" s="23"/>
      <c r="M761" s="23"/>
      <c r="N761" s="23"/>
      <c r="O761" s="23"/>
      <c r="P761" s="23"/>
      <c r="Q761" s="23"/>
      <c r="R761" s="23"/>
      <c r="S761" s="23"/>
      <c r="T761" s="23"/>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row>
    <row r="762" spans="1:50" x14ac:dyDescent="0.35">
      <c r="A762" s="23"/>
      <c r="B762" s="23"/>
      <c r="C762" s="23"/>
      <c r="D762" s="23"/>
      <c r="E762" s="23"/>
      <c r="F762" s="23"/>
      <c r="G762" s="23"/>
      <c r="H762" s="23"/>
      <c r="I762" s="23"/>
      <c r="J762" s="23"/>
      <c r="K762" s="23"/>
      <c r="L762" s="23"/>
      <c r="M762" s="23"/>
      <c r="N762" s="23"/>
      <c r="O762" s="23"/>
      <c r="P762" s="23"/>
      <c r="Q762" s="23"/>
      <c r="R762" s="23"/>
      <c r="S762" s="23"/>
      <c r="T762" s="23"/>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row>
    <row r="763" spans="1:50" x14ac:dyDescent="0.35">
      <c r="A763" s="23"/>
      <c r="B763" s="23"/>
      <c r="C763" s="23"/>
      <c r="D763" s="23"/>
      <c r="E763" s="23"/>
      <c r="F763" s="23"/>
      <c r="G763" s="23"/>
      <c r="H763" s="23"/>
      <c r="I763" s="23"/>
      <c r="J763" s="23"/>
      <c r="K763" s="23"/>
      <c r="L763" s="23"/>
      <c r="M763" s="23"/>
      <c r="N763" s="23"/>
      <c r="O763" s="23"/>
      <c r="P763" s="23"/>
      <c r="Q763" s="23"/>
      <c r="R763" s="23"/>
      <c r="S763" s="23"/>
      <c r="T763" s="23"/>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row>
    <row r="764" spans="1:50" x14ac:dyDescent="0.35">
      <c r="A764" s="23"/>
      <c r="B764" s="23"/>
      <c r="C764" s="23"/>
      <c r="D764" s="23"/>
      <c r="E764" s="23"/>
      <c r="F764" s="23"/>
      <c r="G764" s="23"/>
      <c r="H764" s="23"/>
      <c r="I764" s="23"/>
      <c r="J764" s="23"/>
      <c r="K764" s="23"/>
      <c r="L764" s="23"/>
      <c r="M764" s="23"/>
      <c r="N764" s="23"/>
      <c r="O764" s="23"/>
      <c r="P764" s="23"/>
      <c r="Q764" s="23"/>
      <c r="R764" s="23"/>
      <c r="S764" s="23"/>
      <c r="T764" s="23"/>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row>
    <row r="765" spans="1:50" x14ac:dyDescent="0.35">
      <c r="A765" s="23"/>
      <c r="B765" s="23"/>
      <c r="C765" s="23"/>
      <c r="D765" s="23"/>
      <c r="E765" s="23"/>
      <c r="F765" s="23"/>
      <c r="G765" s="23"/>
      <c r="H765" s="23"/>
      <c r="I765" s="23"/>
      <c r="J765" s="23"/>
      <c r="K765" s="23"/>
      <c r="L765" s="23"/>
      <c r="M765" s="23"/>
      <c r="N765" s="23"/>
      <c r="O765" s="23"/>
      <c r="P765" s="23"/>
      <c r="Q765" s="23"/>
      <c r="R765" s="23"/>
      <c r="S765" s="23"/>
      <c r="T765" s="23"/>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row>
    <row r="766" spans="1:50" x14ac:dyDescent="0.35">
      <c r="A766" s="23"/>
      <c r="B766" s="23"/>
      <c r="C766" s="23"/>
      <c r="D766" s="23"/>
      <c r="E766" s="23"/>
      <c r="F766" s="23"/>
      <c r="G766" s="23"/>
      <c r="H766" s="23"/>
      <c r="I766" s="23"/>
      <c r="J766" s="23"/>
      <c r="K766" s="23"/>
      <c r="L766" s="23"/>
      <c r="M766" s="23"/>
      <c r="N766" s="23"/>
      <c r="O766" s="23"/>
      <c r="P766" s="23"/>
      <c r="Q766" s="23"/>
      <c r="R766" s="23"/>
      <c r="S766" s="23"/>
      <c r="T766" s="23"/>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row>
    <row r="767" spans="1:50" x14ac:dyDescent="0.35">
      <c r="A767" s="23"/>
      <c r="B767" s="23"/>
      <c r="C767" s="23"/>
      <c r="D767" s="23"/>
      <c r="E767" s="23"/>
      <c r="F767" s="23"/>
      <c r="G767" s="23"/>
      <c r="H767" s="23"/>
      <c r="I767" s="23"/>
      <c r="J767" s="23"/>
      <c r="K767" s="23"/>
      <c r="L767" s="23"/>
      <c r="M767" s="23"/>
      <c r="N767" s="23"/>
      <c r="O767" s="23"/>
      <c r="P767" s="23"/>
      <c r="Q767" s="23"/>
      <c r="R767" s="23"/>
      <c r="S767" s="23"/>
      <c r="T767" s="23"/>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row>
    <row r="768" spans="1:50" x14ac:dyDescent="0.35">
      <c r="A768" s="23"/>
      <c r="B768" s="23"/>
      <c r="C768" s="23"/>
      <c r="D768" s="23"/>
      <c r="E768" s="23"/>
      <c r="F768" s="23"/>
      <c r="G768" s="23"/>
      <c r="H768" s="23"/>
      <c r="I768" s="23"/>
      <c r="J768" s="23"/>
      <c r="K768" s="23"/>
      <c r="L768" s="23"/>
      <c r="M768" s="23"/>
      <c r="N768" s="23"/>
      <c r="O768" s="23"/>
      <c r="P768" s="23"/>
      <c r="Q768" s="23"/>
      <c r="R768" s="23"/>
      <c r="S768" s="23"/>
      <c r="T768" s="23"/>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row>
    <row r="769" spans="1:50" x14ac:dyDescent="0.35">
      <c r="A769" s="23"/>
      <c r="B769" s="23"/>
      <c r="C769" s="23"/>
      <c r="D769" s="23"/>
      <c r="E769" s="23"/>
      <c r="F769" s="23"/>
      <c r="G769" s="23"/>
      <c r="H769" s="23"/>
      <c r="I769" s="23"/>
      <c r="J769" s="23"/>
      <c r="K769" s="23"/>
      <c r="L769" s="23"/>
      <c r="M769" s="23"/>
      <c r="N769" s="23"/>
      <c r="O769" s="23"/>
      <c r="P769" s="23"/>
      <c r="Q769" s="23"/>
      <c r="R769" s="23"/>
      <c r="S769" s="23"/>
      <c r="T769" s="23"/>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row>
    <row r="770" spans="1:50" x14ac:dyDescent="0.35">
      <c r="A770" s="23"/>
      <c r="B770" s="23"/>
      <c r="C770" s="23"/>
      <c r="D770" s="23"/>
      <c r="E770" s="23"/>
      <c r="F770" s="23"/>
      <c r="G770" s="23"/>
      <c r="H770" s="23"/>
      <c r="I770" s="23"/>
      <c r="J770" s="23"/>
      <c r="K770" s="23"/>
      <c r="L770" s="23"/>
      <c r="M770" s="23"/>
      <c r="N770" s="23"/>
      <c r="O770" s="23"/>
      <c r="P770" s="23"/>
      <c r="Q770" s="23"/>
      <c r="R770" s="23"/>
      <c r="S770" s="23"/>
      <c r="T770" s="23"/>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row>
    <row r="771" spans="1:50" x14ac:dyDescent="0.35">
      <c r="A771" s="23"/>
      <c r="B771" s="23"/>
      <c r="C771" s="23"/>
      <c r="D771" s="23"/>
      <c r="E771" s="23"/>
      <c r="F771" s="23"/>
      <c r="G771" s="23"/>
      <c r="H771" s="23"/>
      <c r="I771" s="23"/>
      <c r="J771" s="23"/>
      <c r="K771" s="23"/>
      <c r="L771" s="23"/>
      <c r="M771" s="23"/>
      <c r="N771" s="23"/>
      <c r="O771" s="23"/>
      <c r="P771" s="23"/>
      <c r="Q771" s="23"/>
      <c r="R771" s="23"/>
      <c r="S771" s="23"/>
      <c r="T771" s="23"/>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row>
    <row r="772" spans="1:50" x14ac:dyDescent="0.35">
      <c r="A772" s="23"/>
      <c r="B772" s="23"/>
      <c r="C772" s="23"/>
      <c r="D772" s="23"/>
      <c r="E772" s="23"/>
      <c r="F772" s="23"/>
      <c r="G772" s="23"/>
      <c r="H772" s="23"/>
      <c r="I772" s="23"/>
      <c r="J772" s="23"/>
      <c r="K772" s="23"/>
      <c r="L772" s="23"/>
      <c r="M772" s="23"/>
      <c r="N772" s="23"/>
      <c r="O772" s="23"/>
      <c r="P772" s="23"/>
      <c r="Q772" s="23"/>
      <c r="R772" s="23"/>
      <c r="S772" s="23"/>
      <c r="T772" s="23"/>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row>
    <row r="773" spans="1:50" x14ac:dyDescent="0.35">
      <c r="A773" s="23"/>
      <c r="B773" s="23"/>
      <c r="C773" s="23"/>
      <c r="D773" s="23"/>
      <c r="E773" s="23"/>
      <c r="F773" s="23"/>
      <c r="G773" s="23"/>
      <c r="H773" s="23"/>
      <c r="I773" s="23"/>
      <c r="J773" s="23"/>
      <c r="K773" s="23"/>
      <c r="L773" s="23"/>
      <c r="M773" s="23"/>
      <c r="N773" s="23"/>
      <c r="O773" s="23"/>
      <c r="P773" s="23"/>
      <c r="Q773" s="23"/>
      <c r="R773" s="23"/>
      <c r="S773" s="23"/>
      <c r="T773" s="23"/>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row>
    <row r="774" spans="1:50" x14ac:dyDescent="0.35">
      <c r="A774" s="23"/>
      <c r="B774" s="23"/>
      <c r="C774" s="23"/>
      <c r="D774" s="23"/>
      <c r="E774" s="23"/>
      <c r="F774" s="23"/>
      <c r="G774" s="23"/>
      <c r="H774" s="23"/>
      <c r="I774" s="23"/>
      <c r="J774" s="23"/>
      <c r="K774" s="23"/>
      <c r="L774" s="23"/>
      <c r="M774" s="23"/>
      <c r="N774" s="23"/>
      <c r="O774" s="23"/>
      <c r="P774" s="23"/>
      <c r="Q774" s="23"/>
      <c r="R774" s="23"/>
      <c r="S774" s="23"/>
      <c r="T774" s="23"/>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row>
    <row r="775" spans="1:50" x14ac:dyDescent="0.35">
      <c r="A775" s="23"/>
      <c r="B775" s="23"/>
      <c r="C775" s="23"/>
      <c r="D775" s="23"/>
      <c r="E775" s="23"/>
      <c r="F775" s="23"/>
      <c r="G775" s="23"/>
      <c r="H775" s="23"/>
      <c r="I775" s="23"/>
      <c r="J775" s="23"/>
      <c r="K775" s="23"/>
      <c r="L775" s="23"/>
      <c r="M775" s="23"/>
      <c r="N775" s="23"/>
      <c r="O775" s="23"/>
      <c r="P775" s="23"/>
      <c r="Q775" s="23"/>
      <c r="R775" s="23"/>
      <c r="S775" s="23"/>
      <c r="T775" s="23"/>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row>
    <row r="776" spans="1:50" x14ac:dyDescent="0.35">
      <c r="A776" s="23"/>
      <c r="B776" s="23"/>
      <c r="C776" s="23"/>
      <c r="D776" s="23"/>
      <c r="E776" s="23"/>
      <c r="F776" s="23"/>
      <c r="G776" s="23"/>
      <c r="H776" s="23"/>
      <c r="I776" s="23"/>
      <c r="J776" s="23"/>
      <c r="K776" s="23"/>
      <c r="L776" s="23"/>
      <c r="M776" s="23"/>
      <c r="N776" s="23"/>
      <c r="O776" s="23"/>
      <c r="P776" s="23"/>
      <c r="Q776" s="23"/>
      <c r="R776" s="23"/>
      <c r="S776" s="23"/>
      <c r="T776" s="23"/>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row>
    <row r="777" spans="1:50" x14ac:dyDescent="0.35">
      <c r="A777" s="23"/>
      <c r="B777" s="23"/>
      <c r="C777" s="23"/>
      <c r="D777" s="23"/>
      <c r="E777" s="23"/>
      <c r="F777" s="23"/>
      <c r="G777" s="23"/>
      <c r="H777" s="23"/>
      <c r="I777" s="23"/>
      <c r="J777" s="23"/>
      <c r="K777" s="23"/>
      <c r="L777" s="23"/>
      <c r="M777" s="23"/>
      <c r="N777" s="23"/>
      <c r="O777" s="23"/>
      <c r="P777" s="23"/>
      <c r="Q777" s="23"/>
      <c r="R777" s="23"/>
      <c r="S777" s="23"/>
      <c r="T777" s="23"/>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row>
    <row r="778" spans="1:50" x14ac:dyDescent="0.35">
      <c r="A778" s="23"/>
      <c r="B778" s="23"/>
      <c r="C778" s="23"/>
      <c r="D778" s="23"/>
      <c r="E778" s="23"/>
      <c r="F778" s="23"/>
      <c r="G778" s="23"/>
      <c r="H778" s="23"/>
      <c r="I778" s="23"/>
      <c r="J778" s="23"/>
      <c r="K778" s="23"/>
      <c r="L778" s="23"/>
      <c r="M778" s="23"/>
      <c r="N778" s="23"/>
      <c r="O778" s="23"/>
      <c r="P778" s="23"/>
      <c r="Q778" s="23"/>
      <c r="R778" s="23"/>
      <c r="S778" s="23"/>
      <c r="T778" s="23"/>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row>
    <row r="779" spans="1:50" x14ac:dyDescent="0.35">
      <c r="A779" s="23"/>
      <c r="B779" s="23"/>
      <c r="C779" s="23"/>
      <c r="D779" s="23"/>
      <c r="E779" s="23"/>
      <c r="F779" s="23"/>
      <c r="G779" s="23"/>
      <c r="H779" s="23"/>
      <c r="I779" s="23"/>
      <c r="J779" s="23"/>
      <c r="K779" s="23"/>
      <c r="L779" s="23"/>
      <c r="M779" s="23"/>
      <c r="N779" s="23"/>
      <c r="O779" s="23"/>
      <c r="P779" s="23"/>
      <c r="Q779" s="23"/>
      <c r="R779" s="23"/>
      <c r="S779" s="23"/>
      <c r="T779" s="23"/>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row>
    <row r="780" spans="1:50" x14ac:dyDescent="0.35">
      <c r="A780" s="23"/>
      <c r="B780" s="23"/>
      <c r="C780" s="23"/>
      <c r="D780" s="23"/>
      <c r="E780" s="23"/>
      <c r="F780" s="23"/>
      <c r="G780" s="23"/>
      <c r="H780" s="23"/>
      <c r="I780" s="23"/>
      <c r="J780" s="23"/>
      <c r="K780" s="23"/>
      <c r="L780" s="23"/>
      <c r="M780" s="23"/>
      <c r="N780" s="23"/>
      <c r="O780" s="23"/>
      <c r="P780" s="23"/>
      <c r="Q780" s="23"/>
      <c r="R780" s="23"/>
      <c r="S780" s="23"/>
      <c r="T780" s="23"/>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row>
    <row r="781" spans="1:50" x14ac:dyDescent="0.35">
      <c r="A781" s="23"/>
      <c r="B781" s="23"/>
      <c r="C781" s="23"/>
      <c r="D781" s="23"/>
      <c r="E781" s="23"/>
      <c r="F781" s="23"/>
      <c r="G781" s="23"/>
      <c r="H781" s="23"/>
      <c r="I781" s="23"/>
      <c r="J781" s="23"/>
      <c r="K781" s="23"/>
      <c r="L781" s="23"/>
      <c r="M781" s="23"/>
      <c r="N781" s="23"/>
      <c r="O781" s="23"/>
      <c r="P781" s="23"/>
      <c r="Q781" s="23"/>
      <c r="R781" s="23"/>
      <c r="S781" s="23"/>
      <c r="T781" s="23"/>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row>
    <row r="782" spans="1:50" x14ac:dyDescent="0.35">
      <c r="A782" s="23"/>
      <c r="B782" s="23"/>
      <c r="C782" s="23"/>
      <c r="D782" s="23"/>
      <c r="E782" s="23"/>
      <c r="F782" s="23"/>
      <c r="G782" s="23"/>
      <c r="H782" s="23"/>
      <c r="I782" s="23"/>
      <c r="J782" s="23"/>
      <c r="K782" s="23"/>
      <c r="L782" s="23"/>
      <c r="M782" s="23"/>
      <c r="N782" s="23"/>
      <c r="O782" s="23"/>
      <c r="P782" s="23"/>
      <c r="Q782" s="23"/>
      <c r="R782" s="23"/>
      <c r="S782" s="23"/>
      <c r="T782" s="23"/>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row>
    <row r="783" spans="1:50" x14ac:dyDescent="0.35">
      <c r="A783" s="23"/>
      <c r="B783" s="23"/>
      <c r="C783" s="23"/>
      <c r="D783" s="23"/>
      <c r="E783" s="23"/>
      <c r="F783" s="23"/>
      <c r="G783" s="23"/>
      <c r="H783" s="23"/>
      <c r="I783" s="23"/>
      <c r="J783" s="23"/>
      <c r="K783" s="23"/>
      <c r="L783" s="23"/>
      <c r="M783" s="23"/>
      <c r="N783" s="23"/>
      <c r="O783" s="23"/>
      <c r="P783" s="23"/>
      <c r="Q783" s="23"/>
      <c r="R783" s="23"/>
      <c r="S783" s="23"/>
      <c r="T783" s="23"/>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row>
    <row r="784" spans="1:50" x14ac:dyDescent="0.35">
      <c r="A784" s="23"/>
      <c r="B784" s="23"/>
      <c r="C784" s="23"/>
      <c r="D784" s="23"/>
      <c r="E784" s="23"/>
      <c r="F784" s="23"/>
      <c r="G784" s="23"/>
      <c r="H784" s="23"/>
      <c r="I784" s="23"/>
      <c r="J784" s="23"/>
      <c r="K784" s="23"/>
      <c r="L784" s="23"/>
      <c r="M784" s="23"/>
      <c r="N784" s="23"/>
      <c r="O784" s="23"/>
      <c r="P784" s="23"/>
      <c r="Q784" s="23"/>
      <c r="R784" s="23"/>
      <c r="S784" s="23"/>
      <c r="T784" s="23"/>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row>
    <row r="785" spans="1:50" x14ac:dyDescent="0.35">
      <c r="A785" s="23"/>
      <c r="B785" s="23"/>
      <c r="C785" s="23"/>
      <c r="D785" s="23"/>
      <c r="E785" s="23"/>
      <c r="F785" s="23"/>
      <c r="G785" s="23"/>
      <c r="H785" s="23"/>
      <c r="I785" s="23"/>
      <c r="J785" s="23"/>
      <c r="K785" s="23"/>
      <c r="L785" s="23"/>
      <c r="M785" s="23"/>
      <c r="N785" s="23"/>
      <c r="O785" s="23"/>
      <c r="P785" s="23"/>
      <c r="Q785" s="23"/>
      <c r="R785" s="23"/>
      <c r="S785" s="23"/>
      <c r="T785" s="23"/>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row>
    <row r="786" spans="1:50" x14ac:dyDescent="0.35">
      <c r="A786" s="23"/>
      <c r="B786" s="23"/>
      <c r="C786" s="23"/>
      <c r="D786" s="23"/>
      <c r="E786" s="23"/>
      <c r="F786" s="23"/>
      <c r="G786" s="23"/>
      <c r="H786" s="23"/>
      <c r="I786" s="23"/>
      <c r="J786" s="23"/>
      <c r="K786" s="23"/>
      <c r="L786" s="23"/>
      <c r="M786" s="23"/>
      <c r="N786" s="23"/>
      <c r="O786" s="23"/>
      <c r="P786" s="23"/>
      <c r="Q786" s="23"/>
      <c r="R786" s="23"/>
      <c r="S786" s="23"/>
      <c r="T786" s="23"/>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row>
    <row r="787" spans="1:50" x14ac:dyDescent="0.35">
      <c r="A787" s="23"/>
      <c r="B787" s="23"/>
      <c r="C787" s="23"/>
      <c r="D787" s="23"/>
      <c r="E787" s="23"/>
      <c r="F787" s="23"/>
      <c r="G787" s="23"/>
      <c r="H787" s="23"/>
      <c r="I787" s="23"/>
      <c r="J787" s="23"/>
      <c r="K787" s="23"/>
      <c r="L787" s="23"/>
      <c r="M787" s="23"/>
      <c r="N787" s="23"/>
      <c r="O787" s="23"/>
      <c r="P787" s="23"/>
      <c r="Q787" s="23"/>
      <c r="R787" s="23"/>
      <c r="S787" s="23"/>
      <c r="T787" s="23"/>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row>
    <row r="788" spans="1:50" x14ac:dyDescent="0.35">
      <c r="A788" s="23"/>
      <c r="B788" s="23"/>
      <c r="C788" s="23"/>
      <c r="D788" s="23"/>
      <c r="E788" s="23"/>
      <c r="F788" s="23"/>
      <c r="G788" s="23"/>
      <c r="H788" s="23"/>
      <c r="I788" s="23"/>
      <c r="J788" s="23"/>
      <c r="K788" s="23"/>
      <c r="L788" s="23"/>
      <c r="M788" s="23"/>
      <c r="N788" s="23"/>
      <c r="O788" s="23"/>
      <c r="P788" s="23"/>
      <c r="Q788" s="23"/>
      <c r="R788" s="23"/>
      <c r="S788" s="23"/>
      <c r="T788" s="23"/>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row>
    <row r="789" spans="1:50" x14ac:dyDescent="0.35">
      <c r="A789" s="23"/>
      <c r="B789" s="23"/>
      <c r="C789" s="23"/>
      <c r="D789" s="23"/>
      <c r="E789" s="23"/>
      <c r="F789" s="23"/>
      <c r="G789" s="23"/>
      <c r="H789" s="23"/>
      <c r="I789" s="23"/>
      <c r="J789" s="23"/>
      <c r="K789" s="23"/>
      <c r="L789" s="23"/>
      <c r="M789" s="23"/>
      <c r="N789" s="23"/>
      <c r="O789" s="23"/>
      <c r="P789" s="23"/>
      <c r="Q789" s="23"/>
      <c r="R789" s="23"/>
      <c r="S789" s="23"/>
      <c r="T789" s="23"/>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row>
    <row r="790" spans="1:50" x14ac:dyDescent="0.35">
      <c r="A790" s="23"/>
      <c r="B790" s="23"/>
      <c r="C790" s="23"/>
      <c r="D790" s="23"/>
      <c r="E790" s="23"/>
      <c r="F790" s="23"/>
      <c r="G790" s="23"/>
      <c r="H790" s="23"/>
      <c r="I790" s="23"/>
      <c r="J790" s="23"/>
      <c r="K790" s="23"/>
      <c r="L790" s="23"/>
      <c r="M790" s="23"/>
      <c r="N790" s="23"/>
      <c r="O790" s="23"/>
      <c r="P790" s="23"/>
      <c r="Q790" s="23"/>
      <c r="R790" s="23"/>
      <c r="S790" s="23"/>
      <c r="T790" s="23"/>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row>
    <row r="791" spans="1:50" x14ac:dyDescent="0.35">
      <c r="A791" s="23"/>
      <c r="B791" s="23"/>
      <c r="C791" s="23"/>
      <c r="D791" s="23"/>
      <c r="E791" s="23"/>
      <c r="F791" s="23"/>
      <c r="G791" s="23"/>
      <c r="H791" s="23"/>
      <c r="I791" s="23"/>
      <c r="J791" s="23"/>
      <c r="K791" s="23"/>
      <c r="L791" s="23"/>
      <c r="M791" s="23"/>
      <c r="N791" s="23"/>
      <c r="O791" s="23"/>
      <c r="P791" s="23"/>
      <c r="Q791" s="23"/>
      <c r="R791" s="23"/>
      <c r="S791" s="23"/>
      <c r="T791" s="23"/>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row>
    <row r="792" spans="1:50" x14ac:dyDescent="0.35">
      <c r="A792" s="23"/>
      <c r="B792" s="23"/>
      <c r="C792" s="23"/>
      <c r="D792" s="23"/>
      <c r="E792" s="23"/>
      <c r="F792" s="23"/>
      <c r="G792" s="23"/>
      <c r="H792" s="23"/>
      <c r="I792" s="23"/>
      <c r="J792" s="23"/>
      <c r="K792" s="23"/>
      <c r="L792" s="23"/>
      <c r="M792" s="23"/>
      <c r="N792" s="23"/>
      <c r="O792" s="23"/>
      <c r="P792" s="23"/>
      <c r="Q792" s="23"/>
      <c r="R792" s="23"/>
      <c r="S792" s="23"/>
      <c r="T792" s="23"/>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row>
    <row r="793" spans="1:50" x14ac:dyDescent="0.35">
      <c r="A793" s="23"/>
      <c r="B793" s="23"/>
      <c r="C793" s="23"/>
      <c r="D793" s="23"/>
      <c r="E793" s="23"/>
      <c r="F793" s="23"/>
      <c r="G793" s="23"/>
      <c r="H793" s="23"/>
      <c r="I793" s="23"/>
      <c r="J793" s="23"/>
      <c r="K793" s="23"/>
      <c r="L793" s="23"/>
      <c r="M793" s="23"/>
      <c r="N793" s="23"/>
      <c r="O793" s="23"/>
      <c r="P793" s="23"/>
      <c r="Q793" s="23"/>
      <c r="R793" s="23"/>
      <c r="S793" s="23"/>
      <c r="T793" s="23"/>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row>
    <row r="794" spans="1:50" x14ac:dyDescent="0.35">
      <c r="A794" s="23"/>
      <c r="B794" s="23"/>
      <c r="C794" s="23"/>
      <c r="D794" s="23"/>
      <c r="E794" s="23"/>
      <c r="F794" s="23"/>
      <c r="G794" s="23"/>
      <c r="H794" s="23"/>
      <c r="I794" s="23"/>
      <c r="J794" s="23"/>
      <c r="K794" s="23"/>
      <c r="L794" s="23"/>
      <c r="M794" s="23"/>
      <c r="N794" s="23"/>
      <c r="O794" s="23"/>
      <c r="P794" s="23"/>
      <c r="Q794" s="23"/>
      <c r="R794" s="23"/>
      <c r="S794" s="23"/>
      <c r="T794" s="23"/>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row>
    <row r="795" spans="1:50" x14ac:dyDescent="0.35">
      <c r="A795" s="23"/>
      <c r="B795" s="23"/>
      <c r="C795" s="23"/>
      <c r="D795" s="23"/>
      <c r="E795" s="23"/>
      <c r="F795" s="23"/>
      <c r="G795" s="23"/>
      <c r="H795" s="23"/>
      <c r="I795" s="23"/>
      <c r="J795" s="23"/>
      <c r="K795" s="23"/>
      <c r="L795" s="23"/>
      <c r="M795" s="23"/>
      <c r="N795" s="23"/>
      <c r="O795" s="23"/>
      <c r="P795" s="23"/>
      <c r="Q795" s="23"/>
      <c r="R795" s="23"/>
      <c r="S795" s="23"/>
      <c r="T795" s="23"/>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row>
    <row r="796" spans="1:50" x14ac:dyDescent="0.35">
      <c r="A796" s="23"/>
      <c r="B796" s="23"/>
      <c r="C796" s="23"/>
      <c r="D796" s="23"/>
      <c r="E796" s="23"/>
      <c r="F796" s="23"/>
      <c r="G796" s="23"/>
      <c r="H796" s="23"/>
      <c r="I796" s="23"/>
      <c r="J796" s="23"/>
      <c r="K796" s="23"/>
      <c r="L796" s="23"/>
      <c r="M796" s="23"/>
      <c r="N796" s="23"/>
      <c r="O796" s="23"/>
      <c r="P796" s="23"/>
      <c r="Q796" s="23"/>
      <c r="R796" s="23"/>
      <c r="S796" s="23"/>
      <c r="T796" s="23"/>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row>
    <row r="797" spans="1:50" x14ac:dyDescent="0.35">
      <c r="A797" s="23"/>
      <c r="B797" s="23"/>
      <c r="C797" s="23"/>
      <c r="D797" s="23"/>
      <c r="E797" s="23"/>
      <c r="F797" s="23"/>
      <c r="G797" s="23"/>
      <c r="H797" s="23"/>
      <c r="I797" s="23"/>
      <c r="J797" s="23"/>
      <c r="K797" s="23"/>
      <c r="L797" s="23"/>
      <c r="M797" s="23"/>
      <c r="N797" s="23"/>
      <c r="O797" s="23"/>
      <c r="P797" s="23"/>
      <c r="Q797" s="23"/>
      <c r="R797" s="23"/>
      <c r="S797" s="23"/>
      <c r="T797" s="23"/>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row>
    <row r="798" spans="1:50" x14ac:dyDescent="0.35">
      <c r="A798" s="23"/>
      <c r="B798" s="23"/>
      <c r="C798" s="23"/>
      <c r="D798" s="23"/>
      <c r="E798" s="23"/>
      <c r="F798" s="23"/>
      <c r="G798" s="23"/>
      <c r="H798" s="23"/>
      <c r="I798" s="23"/>
      <c r="J798" s="23"/>
      <c r="K798" s="23"/>
      <c r="L798" s="23"/>
      <c r="M798" s="23"/>
      <c r="N798" s="23"/>
      <c r="O798" s="23"/>
      <c r="P798" s="23"/>
      <c r="Q798" s="23"/>
      <c r="R798" s="23"/>
      <c r="S798" s="23"/>
      <c r="T798" s="23"/>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row>
    <row r="799" spans="1:50" x14ac:dyDescent="0.35">
      <c r="A799" s="23"/>
      <c r="B799" s="23"/>
      <c r="C799" s="23"/>
      <c r="D799" s="23"/>
      <c r="E799" s="23"/>
      <c r="F799" s="23"/>
      <c r="G799" s="23"/>
      <c r="H799" s="23"/>
      <c r="I799" s="23"/>
      <c r="J799" s="23"/>
      <c r="K799" s="23"/>
      <c r="L799" s="23"/>
      <c r="M799" s="23"/>
      <c r="N799" s="23"/>
      <c r="O799" s="23"/>
      <c r="P799" s="23"/>
      <c r="Q799" s="23"/>
      <c r="R799" s="23"/>
      <c r="S799" s="23"/>
      <c r="T799" s="23"/>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row>
    <row r="800" spans="1:50" x14ac:dyDescent="0.35">
      <c r="A800" s="23"/>
      <c r="B800" s="23"/>
      <c r="C800" s="23"/>
      <c r="D800" s="23"/>
      <c r="E800" s="23"/>
      <c r="F800" s="23"/>
      <c r="G800" s="23"/>
      <c r="H800" s="23"/>
      <c r="I800" s="23"/>
      <c r="J800" s="23"/>
      <c r="K800" s="23"/>
      <c r="L800" s="23"/>
      <c r="M800" s="23"/>
      <c r="N800" s="23"/>
      <c r="O800" s="23"/>
      <c r="P800" s="23"/>
      <c r="Q800" s="23"/>
      <c r="R800" s="23"/>
      <c r="S800" s="23"/>
      <c r="T800" s="23"/>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row>
    <row r="801" spans="1:50" x14ac:dyDescent="0.35">
      <c r="A801" s="23"/>
      <c r="B801" s="23"/>
      <c r="C801" s="23"/>
      <c r="D801" s="23"/>
      <c r="E801" s="23"/>
      <c r="F801" s="23"/>
      <c r="G801" s="23"/>
      <c r="H801" s="23"/>
      <c r="I801" s="23"/>
      <c r="J801" s="23"/>
      <c r="K801" s="23"/>
      <c r="L801" s="23"/>
      <c r="M801" s="23"/>
      <c r="N801" s="23"/>
      <c r="O801" s="23"/>
      <c r="P801" s="23"/>
      <c r="Q801" s="23"/>
      <c r="R801" s="23"/>
      <c r="S801" s="23"/>
      <c r="T801" s="23"/>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row>
    <row r="802" spans="1:50" x14ac:dyDescent="0.35">
      <c r="A802" s="23"/>
      <c r="B802" s="23"/>
      <c r="C802" s="23"/>
      <c r="D802" s="23"/>
      <c r="E802" s="23"/>
      <c r="F802" s="23"/>
      <c r="G802" s="23"/>
      <c r="H802" s="23"/>
      <c r="I802" s="23"/>
      <c r="J802" s="23"/>
      <c r="K802" s="23"/>
      <c r="L802" s="23"/>
      <c r="M802" s="23"/>
      <c r="N802" s="23"/>
      <c r="O802" s="23"/>
      <c r="P802" s="23"/>
      <c r="Q802" s="23"/>
      <c r="R802" s="23"/>
      <c r="S802" s="23"/>
      <c r="T802" s="23"/>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row>
    <row r="803" spans="1:50" x14ac:dyDescent="0.35">
      <c r="A803" s="23"/>
      <c r="B803" s="23"/>
      <c r="C803" s="23"/>
      <c r="D803" s="23"/>
      <c r="E803" s="23"/>
      <c r="F803" s="23"/>
      <c r="G803" s="23"/>
      <c r="H803" s="23"/>
      <c r="I803" s="23"/>
      <c r="J803" s="23"/>
      <c r="K803" s="23"/>
      <c r="L803" s="23"/>
      <c r="M803" s="23"/>
      <c r="N803" s="23"/>
      <c r="O803" s="23"/>
      <c r="P803" s="23"/>
      <c r="Q803" s="23"/>
      <c r="R803" s="23"/>
      <c r="S803" s="23"/>
      <c r="T803" s="23"/>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row>
    <row r="804" spans="1:50" x14ac:dyDescent="0.35">
      <c r="A804" s="23"/>
      <c r="B804" s="23"/>
      <c r="C804" s="23"/>
      <c r="D804" s="23"/>
      <c r="E804" s="23"/>
      <c r="F804" s="23"/>
      <c r="G804" s="23"/>
      <c r="H804" s="23"/>
      <c r="I804" s="23"/>
      <c r="J804" s="23"/>
      <c r="K804" s="23"/>
      <c r="L804" s="23"/>
      <c r="M804" s="23"/>
      <c r="N804" s="23"/>
      <c r="O804" s="23"/>
      <c r="P804" s="23"/>
      <c r="Q804" s="23"/>
      <c r="R804" s="23"/>
      <c r="S804" s="23"/>
      <c r="T804" s="23"/>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row>
    <row r="805" spans="1:50" x14ac:dyDescent="0.35">
      <c r="A805" s="23"/>
      <c r="B805" s="23"/>
      <c r="C805" s="23"/>
      <c r="D805" s="23"/>
      <c r="E805" s="23"/>
      <c r="F805" s="23"/>
      <c r="G805" s="23"/>
      <c r="H805" s="23"/>
      <c r="I805" s="23"/>
      <c r="J805" s="23"/>
      <c r="K805" s="23"/>
      <c r="L805" s="23"/>
      <c r="M805" s="23"/>
      <c r="N805" s="23"/>
      <c r="O805" s="23"/>
      <c r="P805" s="23"/>
      <c r="Q805" s="23"/>
      <c r="R805" s="23"/>
      <c r="S805" s="23"/>
      <c r="T805" s="23"/>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row>
    <row r="806" spans="1:50" x14ac:dyDescent="0.35">
      <c r="A806" s="23"/>
      <c r="B806" s="23"/>
      <c r="C806" s="23"/>
      <c r="D806" s="23"/>
      <c r="E806" s="23"/>
      <c r="F806" s="23"/>
      <c r="G806" s="23"/>
      <c r="H806" s="23"/>
      <c r="I806" s="23"/>
      <c r="J806" s="23"/>
      <c r="K806" s="23"/>
      <c r="L806" s="23"/>
      <c r="M806" s="23"/>
      <c r="N806" s="23"/>
      <c r="O806" s="23"/>
      <c r="P806" s="23"/>
      <c r="Q806" s="23"/>
      <c r="R806" s="23"/>
      <c r="S806" s="23"/>
      <c r="T806" s="23"/>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row>
    <row r="807" spans="1:50" x14ac:dyDescent="0.35">
      <c r="A807" s="23"/>
      <c r="B807" s="23"/>
      <c r="C807" s="23"/>
      <c r="D807" s="23"/>
      <c r="E807" s="23"/>
      <c r="F807" s="23"/>
      <c r="G807" s="23"/>
      <c r="H807" s="23"/>
      <c r="I807" s="23"/>
      <c r="J807" s="23"/>
      <c r="K807" s="23"/>
      <c r="L807" s="23"/>
      <c r="M807" s="23"/>
      <c r="N807" s="23"/>
      <c r="O807" s="23"/>
      <c r="P807" s="23"/>
      <c r="Q807" s="23"/>
      <c r="R807" s="23"/>
      <c r="S807" s="23"/>
      <c r="T807" s="23"/>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row>
    <row r="808" spans="1:50" x14ac:dyDescent="0.35">
      <c r="A808" s="23"/>
      <c r="B808" s="23"/>
      <c r="C808" s="23"/>
      <c r="D808" s="23"/>
      <c r="E808" s="23"/>
      <c r="F808" s="23"/>
      <c r="G808" s="23"/>
      <c r="H808" s="23"/>
      <c r="I808" s="23"/>
      <c r="J808" s="23"/>
      <c r="K808" s="23"/>
      <c r="L808" s="23"/>
      <c r="M808" s="23"/>
      <c r="N808" s="23"/>
      <c r="O808" s="23"/>
      <c r="P808" s="23"/>
      <c r="Q808" s="23"/>
      <c r="R808" s="23"/>
      <c r="S808" s="23"/>
      <c r="T808" s="23"/>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row>
    <row r="809" spans="1:50" x14ac:dyDescent="0.35">
      <c r="A809" s="23"/>
      <c r="B809" s="23"/>
      <c r="C809" s="23"/>
      <c r="D809" s="23"/>
      <c r="E809" s="23"/>
      <c r="F809" s="23"/>
      <c r="G809" s="23"/>
      <c r="H809" s="23"/>
      <c r="I809" s="23"/>
      <c r="J809" s="23"/>
      <c r="K809" s="23"/>
      <c r="L809" s="23"/>
      <c r="M809" s="23"/>
      <c r="N809" s="23"/>
      <c r="O809" s="23"/>
      <c r="P809" s="23"/>
      <c r="Q809" s="23"/>
      <c r="R809" s="23"/>
      <c r="S809" s="23"/>
      <c r="T809" s="23"/>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row>
    <row r="810" spans="1:50" x14ac:dyDescent="0.35">
      <c r="A810" s="23"/>
      <c r="B810" s="23"/>
      <c r="C810" s="23"/>
      <c r="D810" s="23"/>
      <c r="E810" s="23"/>
      <c r="F810" s="23"/>
      <c r="G810" s="23"/>
      <c r="H810" s="23"/>
      <c r="I810" s="23"/>
      <c r="J810" s="23"/>
      <c r="K810" s="23"/>
      <c r="L810" s="23"/>
      <c r="M810" s="23"/>
      <c r="N810" s="23"/>
      <c r="O810" s="23"/>
      <c r="P810" s="23"/>
      <c r="Q810" s="23"/>
      <c r="R810" s="23"/>
      <c r="S810" s="23"/>
      <c r="T810" s="23"/>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row>
    <row r="811" spans="1:50" x14ac:dyDescent="0.35">
      <c r="A811" s="23"/>
      <c r="B811" s="23"/>
      <c r="C811" s="23"/>
      <c r="D811" s="23"/>
      <c r="E811" s="23"/>
      <c r="F811" s="23"/>
      <c r="G811" s="23"/>
      <c r="H811" s="23"/>
      <c r="I811" s="23"/>
      <c r="J811" s="23"/>
      <c r="K811" s="23"/>
      <c r="L811" s="23"/>
      <c r="M811" s="23"/>
      <c r="N811" s="23"/>
      <c r="O811" s="23"/>
      <c r="P811" s="23"/>
      <c r="Q811" s="23"/>
      <c r="R811" s="23"/>
      <c r="S811" s="23"/>
      <c r="T811" s="23"/>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row>
    <row r="812" spans="1:50" x14ac:dyDescent="0.35">
      <c r="A812" s="23"/>
      <c r="B812" s="23"/>
      <c r="C812" s="23"/>
      <c r="D812" s="23"/>
      <c r="E812" s="23"/>
      <c r="F812" s="23"/>
      <c r="G812" s="23"/>
      <c r="H812" s="23"/>
      <c r="I812" s="23"/>
      <c r="J812" s="23"/>
      <c r="K812" s="23"/>
      <c r="L812" s="23"/>
      <c r="M812" s="23"/>
      <c r="N812" s="23"/>
      <c r="O812" s="23"/>
      <c r="P812" s="23"/>
      <c r="Q812" s="23"/>
      <c r="R812" s="23"/>
      <c r="S812" s="23"/>
      <c r="T812" s="23"/>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row>
    <row r="813" spans="1:50" x14ac:dyDescent="0.35">
      <c r="A813" s="23"/>
      <c r="B813" s="23"/>
      <c r="C813" s="23"/>
      <c r="D813" s="23"/>
      <c r="E813" s="23"/>
      <c r="F813" s="23"/>
      <c r="G813" s="23"/>
      <c r="H813" s="23"/>
      <c r="I813" s="23"/>
      <c r="J813" s="23"/>
      <c r="K813" s="23"/>
      <c r="L813" s="23"/>
      <c r="M813" s="23"/>
      <c r="N813" s="23"/>
      <c r="O813" s="23"/>
      <c r="P813" s="23"/>
      <c r="Q813" s="23"/>
      <c r="R813" s="23"/>
      <c r="S813" s="23"/>
      <c r="T813" s="23"/>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row>
    <row r="814" spans="1:50" x14ac:dyDescent="0.35">
      <c r="A814" s="23"/>
      <c r="B814" s="23"/>
      <c r="C814" s="23"/>
      <c r="D814" s="23"/>
      <c r="E814" s="23"/>
      <c r="F814" s="23"/>
      <c r="G814" s="23"/>
      <c r="H814" s="23"/>
      <c r="I814" s="23"/>
      <c r="J814" s="23"/>
      <c r="K814" s="23"/>
      <c r="L814" s="23"/>
      <c r="M814" s="23"/>
      <c r="N814" s="23"/>
      <c r="O814" s="23"/>
      <c r="P814" s="23"/>
      <c r="Q814" s="23"/>
      <c r="R814" s="23"/>
      <c r="S814" s="23"/>
      <c r="T814" s="23"/>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row>
    <row r="815" spans="1:50" x14ac:dyDescent="0.35">
      <c r="A815" s="23"/>
      <c r="B815" s="23"/>
      <c r="C815" s="23"/>
      <c r="D815" s="23"/>
      <c r="E815" s="23"/>
      <c r="F815" s="23"/>
      <c r="G815" s="23"/>
      <c r="H815" s="23"/>
      <c r="I815" s="23"/>
      <c r="J815" s="23"/>
      <c r="K815" s="23"/>
      <c r="L815" s="23"/>
      <c r="M815" s="23"/>
      <c r="N815" s="23"/>
      <c r="O815" s="23"/>
      <c r="P815" s="23"/>
      <c r="Q815" s="23"/>
      <c r="R815" s="23"/>
      <c r="S815" s="23"/>
      <c r="T815" s="23"/>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row>
    <row r="816" spans="1:50" x14ac:dyDescent="0.35">
      <c r="A816" s="23"/>
      <c r="B816" s="23"/>
      <c r="C816" s="23"/>
      <c r="D816" s="23"/>
      <c r="E816" s="23"/>
      <c r="F816" s="23"/>
      <c r="G816" s="23"/>
      <c r="H816" s="23"/>
      <c r="I816" s="23"/>
      <c r="J816" s="23"/>
      <c r="K816" s="23"/>
      <c r="L816" s="23"/>
      <c r="M816" s="23"/>
      <c r="N816" s="23"/>
      <c r="O816" s="23"/>
      <c r="P816" s="23"/>
      <c r="Q816" s="23"/>
      <c r="R816" s="23"/>
      <c r="S816" s="23"/>
      <c r="T816" s="23"/>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row>
    <row r="817" spans="1:50" x14ac:dyDescent="0.35">
      <c r="A817" s="23"/>
      <c r="B817" s="23"/>
      <c r="C817" s="23"/>
      <c r="D817" s="23"/>
      <c r="E817" s="23"/>
      <c r="F817" s="23"/>
      <c r="G817" s="23"/>
      <c r="H817" s="23"/>
      <c r="I817" s="23"/>
      <c r="J817" s="23"/>
      <c r="K817" s="23"/>
      <c r="L817" s="23"/>
      <c r="M817" s="23"/>
      <c r="N817" s="23"/>
      <c r="O817" s="23"/>
      <c r="P817" s="23"/>
      <c r="Q817" s="23"/>
      <c r="R817" s="23"/>
      <c r="S817" s="23"/>
      <c r="T817" s="23"/>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row>
    <row r="818" spans="1:50" x14ac:dyDescent="0.35">
      <c r="A818" s="23"/>
      <c r="B818" s="23"/>
      <c r="C818" s="23"/>
      <c r="D818" s="23"/>
      <c r="E818" s="23"/>
      <c r="F818" s="23"/>
      <c r="G818" s="23"/>
      <c r="H818" s="23"/>
      <c r="I818" s="23"/>
      <c r="J818" s="23"/>
      <c r="K818" s="23"/>
      <c r="L818" s="23"/>
      <c r="M818" s="23"/>
      <c r="N818" s="23"/>
      <c r="O818" s="23"/>
      <c r="P818" s="23"/>
      <c r="Q818" s="23"/>
      <c r="R818" s="23"/>
      <c r="S818" s="23"/>
      <c r="T818" s="23"/>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row>
    <row r="819" spans="1:50" x14ac:dyDescent="0.35">
      <c r="A819" s="23"/>
      <c r="B819" s="23"/>
      <c r="C819" s="23"/>
      <c r="D819" s="23"/>
      <c r="E819" s="23"/>
      <c r="F819" s="23"/>
      <c r="G819" s="23"/>
      <c r="H819" s="23"/>
      <c r="I819" s="23"/>
      <c r="J819" s="23"/>
      <c r="K819" s="23"/>
      <c r="L819" s="23"/>
      <c r="M819" s="23"/>
      <c r="N819" s="23"/>
      <c r="O819" s="23"/>
      <c r="P819" s="23"/>
      <c r="Q819" s="23"/>
      <c r="R819" s="23"/>
      <c r="S819" s="23"/>
      <c r="T819" s="23"/>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row>
    <row r="820" spans="1:50" x14ac:dyDescent="0.35">
      <c r="A820" s="23"/>
      <c r="B820" s="23"/>
      <c r="C820" s="23"/>
      <c r="D820" s="23"/>
      <c r="E820" s="23"/>
      <c r="F820" s="23"/>
      <c r="G820" s="23"/>
      <c r="H820" s="23"/>
      <c r="I820" s="23"/>
      <c r="J820" s="23"/>
      <c r="K820" s="23"/>
      <c r="L820" s="23"/>
      <c r="M820" s="23"/>
      <c r="N820" s="23"/>
      <c r="O820" s="23"/>
      <c r="P820" s="23"/>
      <c r="Q820" s="23"/>
      <c r="R820" s="23"/>
      <c r="S820" s="23"/>
      <c r="T820" s="23"/>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row>
    <row r="821" spans="1:50" x14ac:dyDescent="0.35">
      <c r="A821" s="23"/>
      <c r="B821" s="23"/>
      <c r="C821" s="23"/>
      <c r="D821" s="23"/>
      <c r="E821" s="23"/>
      <c r="F821" s="23"/>
      <c r="G821" s="23"/>
      <c r="H821" s="23"/>
      <c r="I821" s="23"/>
      <c r="J821" s="23"/>
      <c r="K821" s="23"/>
      <c r="L821" s="23"/>
      <c r="M821" s="23"/>
      <c r="N821" s="23"/>
      <c r="O821" s="23"/>
      <c r="P821" s="23"/>
      <c r="Q821" s="23"/>
      <c r="R821" s="23"/>
      <c r="S821" s="23"/>
      <c r="T821" s="23"/>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row>
    <row r="822" spans="1:50" x14ac:dyDescent="0.35">
      <c r="A822" s="23"/>
      <c r="B822" s="23"/>
      <c r="C822" s="23"/>
      <c r="D822" s="23"/>
      <c r="E822" s="23"/>
      <c r="F822" s="23"/>
      <c r="G822" s="23"/>
      <c r="H822" s="23"/>
      <c r="I822" s="23"/>
      <c r="J822" s="23"/>
      <c r="K822" s="23"/>
      <c r="L822" s="23"/>
      <c r="M822" s="23"/>
      <c r="N822" s="23"/>
      <c r="O822" s="23"/>
      <c r="P822" s="23"/>
      <c r="Q822" s="23"/>
      <c r="R822" s="23"/>
      <c r="S822" s="23"/>
      <c r="T822" s="23"/>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row>
    <row r="823" spans="1:50" x14ac:dyDescent="0.35">
      <c r="A823" s="23"/>
      <c r="B823" s="23"/>
      <c r="C823" s="23"/>
      <c r="D823" s="23"/>
      <c r="E823" s="23"/>
      <c r="F823" s="23"/>
      <c r="G823" s="23"/>
      <c r="H823" s="23"/>
      <c r="I823" s="23"/>
      <c r="J823" s="23"/>
      <c r="K823" s="23"/>
      <c r="L823" s="23"/>
      <c r="M823" s="23"/>
      <c r="N823" s="23"/>
      <c r="O823" s="23"/>
      <c r="P823" s="23"/>
      <c r="Q823" s="23"/>
      <c r="R823" s="23"/>
      <c r="S823" s="23"/>
      <c r="T823" s="23"/>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row>
    <row r="824" spans="1:50" x14ac:dyDescent="0.35">
      <c r="A824" s="23"/>
      <c r="B824" s="23"/>
      <c r="C824" s="23"/>
      <c r="D824" s="23"/>
      <c r="E824" s="23"/>
      <c r="F824" s="23"/>
      <c r="G824" s="23"/>
      <c r="H824" s="23"/>
      <c r="I824" s="23"/>
      <c r="J824" s="23"/>
      <c r="K824" s="23"/>
      <c r="L824" s="23"/>
      <c r="M824" s="23"/>
      <c r="N824" s="23"/>
      <c r="O824" s="23"/>
      <c r="P824" s="23"/>
      <c r="Q824" s="23"/>
      <c r="R824" s="23"/>
      <c r="S824" s="23"/>
      <c r="T824" s="23"/>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row>
    <row r="825" spans="1:50" x14ac:dyDescent="0.35">
      <c r="A825" s="23"/>
      <c r="B825" s="23"/>
      <c r="C825" s="23"/>
      <c r="D825" s="23"/>
      <c r="E825" s="23"/>
      <c r="F825" s="23"/>
      <c r="G825" s="23"/>
      <c r="H825" s="23"/>
      <c r="I825" s="23"/>
      <c r="J825" s="23"/>
      <c r="K825" s="23"/>
      <c r="L825" s="23"/>
      <c r="M825" s="23"/>
      <c r="N825" s="23"/>
      <c r="O825" s="23"/>
      <c r="P825" s="23"/>
      <c r="Q825" s="23"/>
      <c r="R825" s="23"/>
      <c r="S825" s="23"/>
      <c r="T825" s="23"/>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row>
    <row r="826" spans="1:50" x14ac:dyDescent="0.35">
      <c r="A826" s="23"/>
      <c r="B826" s="23"/>
      <c r="C826" s="23"/>
      <c r="D826" s="23"/>
      <c r="E826" s="23"/>
      <c r="F826" s="23"/>
      <c r="G826" s="23"/>
      <c r="H826" s="23"/>
      <c r="I826" s="23"/>
      <c r="J826" s="23"/>
      <c r="K826" s="23"/>
      <c r="L826" s="23"/>
      <c r="M826" s="23"/>
      <c r="N826" s="23"/>
      <c r="O826" s="23"/>
      <c r="P826" s="23"/>
      <c r="Q826" s="23"/>
      <c r="R826" s="23"/>
      <c r="S826" s="23"/>
      <c r="T826" s="23"/>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row>
    <row r="827" spans="1:50" x14ac:dyDescent="0.35">
      <c r="A827" s="23"/>
      <c r="B827" s="23"/>
      <c r="C827" s="23"/>
      <c r="D827" s="23"/>
      <c r="E827" s="23"/>
      <c r="F827" s="23"/>
      <c r="G827" s="23"/>
      <c r="H827" s="23"/>
      <c r="I827" s="23"/>
      <c r="J827" s="23"/>
      <c r="K827" s="23"/>
      <c r="L827" s="23"/>
      <c r="M827" s="23"/>
      <c r="N827" s="23"/>
      <c r="O827" s="23"/>
      <c r="P827" s="23"/>
      <c r="Q827" s="23"/>
      <c r="R827" s="23"/>
      <c r="S827" s="23"/>
      <c r="T827" s="23"/>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row>
    <row r="828" spans="1:50" x14ac:dyDescent="0.35">
      <c r="A828" s="23"/>
      <c r="B828" s="23"/>
      <c r="C828" s="23"/>
      <c r="D828" s="23"/>
      <c r="E828" s="23"/>
      <c r="F828" s="23"/>
      <c r="G828" s="23"/>
      <c r="H828" s="23"/>
      <c r="I828" s="23"/>
      <c r="J828" s="23"/>
      <c r="K828" s="23"/>
      <c r="L828" s="23"/>
      <c r="M828" s="23"/>
      <c r="N828" s="23"/>
      <c r="O828" s="23"/>
      <c r="P828" s="23"/>
      <c r="Q828" s="23"/>
      <c r="R828" s="23"/>
      <c r="S828" s="23"/>
      <c r="T828" s="23"/>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row>
    <row r="829" spans="1:50" x14ac:dyDescent="0.35">
      <c r="A829" s="23"/>
      <c r="B829" s="23"/>
      <c r="C829" s="23"/>
      <c r="D829" s="23"/>
      <c r="E829" s="23"/>
      <c r="F829" s="23"/>
      <c r="G829" s="23"/>
      <c r="H829" s="23"/>
      <c r="I829" s="23"/>
      <c r="J829" s="23"/>
      <c r="K829" s="23"/>
      <c r="L829" s="23"/>
      <c r="M829" s="23"/>
      <c r="N829" s="23"/>
      <c r="O829" s="23"/>
      <c r="P829" s="23"/>
      <c r="Q829" s="23"/>
      <c r="R829" s="23"/>
      <c r="S829" s="23"/>
      <c r="T829" s="23"/>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row>
    <row r="830" spans="1:50" x14ac:dyDescent="0.35">
      <c r="A830" s="23"/>
      <c r="B830" s="23"/>
      <c r="C830" s="23"/>
      <c r="D830" s="23"/>
      <c r="E830" s="23"/>
      <c r="F830" s="23"/>
      <c r="G830" s="23"/>
      <c r="H830" s="23"/>
      <c r="I830" s="23"/>
      <c r="J830" s="23"/>
      <c r="K830" s="23"/>
      <c r="L830" s="23"/>
      <c r="M830" s="23"/>
      <c r="N830" s="23"/>
      <c r="O830" s="23"/>
      <c r="P830" s="23"/>
      <c r="Q830" s="23"/>
      <c r="R830" s="23"/>
      <c r="S830" s="23"/>
      <c r="T830" s="23"/>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row>
    <row r="831" spans="1:50" x14ac:dyDescent="0.35">
      <c r="A831" s="23"/>
      <c r="B831" s="23"/>
      <c r="C831" s="23"/>
      <c r="D831" s="23"/>
      <c r="E831" s="23"/>
      <c r="F831" s="23"/>
      <c r="G831" s="23"/>
      <c r="H831" s="23"/>
      <c r="I831" s="23"/>
      <c r="J831" s="23"/>
      <c r="K831" s="23"/>
      <c r="L831" s="23"/>
      <c r="M831" s="23"/>
      <c r="N831" s="23"/>
      <c r="O831" s="23"/>
      <c r="P831" s="23"/>
      <c r="Q831" s="23"/>
      <c r="R831" s="23"/>
      <c r="S831" s="23"/>
      <c r="T831" s="23"/>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row>
    <row r="832" spans="1:50" x14ac:dyDescent="0.35">
      <c r="A832" s="23"/>
      <c r="B832" s="23"/>
      <c r="C832" s="23"/>
      <c r="D832" s="23"/>
      <c r="E832" s="23"/>
      <c r="F832" s="23"/>
      <c r="G832" s="23"/>
      <c r="H832" s="23"/>
      <c r="I832" s="23"/>
      <c r="J832" s="23"/>
      <c r="K832" s="23"/>
      <c r="L832" s="23"/>
      <c r="M832" s="23"/>
      <c r="N832" s="23"/>
      <c r="O832" s="23"/>
      <c r="P832" s="23"/>
      <c r="Q832" s="23"/>
      <c r="R832" s="23"/>
      <c r="S832" s="23"/>
      <c r="T832" s="23"/>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row>
    <row r="833" spans="1:50" x14ac:dyDescent="0.35">
      <c r="A833" s="23"/>
      <c r="B833" s="23"/>
      <c r="C833" s="23"/>
      <c r="D833" s="23"/>
      <c r="E833" s="23"/>
      <c r="F833" s="23"/>
      <c r="G833" s="23"/>
      <c r="H833" s="23"/>
      <c r="I833" s="23"/>
      <c r="J833" s="23"/>
      <c r="K833" s="23"/>
      <c r="L833" s="23"/>
      <c r="M833" s="23"/>
      <c r="N833" s="23"/>
      <c r="O833" s="23"/>
      <c r="P833" s="23"/>
      <c r="Q833" s="23"/>
      <c r="R833" s="23"/>
      <c r="S833" s="23"/>
      <c r="T833" s="23"/>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row>
    <row r="834" spans="1:50" x14ac:dyDescent="0.35">
      <c r="A834" s="23"/>
      <c r="B834" s="23"/>
      <c r="C834" s="23"/>
      <c r="D834" s="23"/>
      <c r="E834" s="23"/>
      <c r="F834" s="23"/>
      <c r="G834" s="23"/>
      <c r="H834" s="23"/>
      <c r="I834" s="23"/>
      <c r="J834" s="23"/>
      <c r="K834" s="23"/>
      <c r="L834" s="23"/>
      <c r="M834" s="23"/>
      <c r="N834" s="23"/>
      <c r="O834" s="23"/>
      <c r="P834" s="23"/>
      <c r="Q834" s="23"/>
      <c r="R834" s="23"/>
      <c r="S834" s="23"/>
      <c r="T834" s="23"/>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row>
    <row r="835" spans="1:50" x14ac:dyDescent="0.35">
      <c r="A835" s="23"/>
      <c r="B835" s="23"/>
      <c r="C835" s="23"/>
      <c r="D835" s="23"/>
      <c r="E835" s="23"/>
      <c r="F835" s="23"/>
      <c r="G835" s="23"/>
      <c r="H835" s="23"/>
      <c r="I835" s="23"/>
      <c r="J835" s="23"/>
      <c r="K835" s="23"/>
      <c r="L835" s="23"/>
      <c r="M835" s="23"/>
      <c r="N835" s="23"/>
      <c r="O835" s="23"/>
      <c r="P835" s="23"/>
      <c r="Q835" s="23"/>
      <c r="R835" s="23"/>
      <c r="S835" s="23"/>
      <c r="T835" s="23"/>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row>
    <row r="836" spans="1:50" x14ac:dyDescent="0.35">
      <c r="A836" s="23"/>
      <c r="B836" s="23"/>
      <c r="C836" s="23"/>
      <c r="D836" s="23"/>
      <c r="E836" s="23"/>
      <c r="F836" s="23"/>
      <c r="G836" s="23"/>
      <c r="H836" s="23"/>
      <c r="I836" s="23"/>
      <c r="J836" s="23"/>
      <c r="K836" s="23"/>
      <c r="L836" s="23"/>
      <c r="M836" s="23"/>
      <c r="N836" s="23"/>
      <c r="O836" s="23"/>
      <c r="P836" s="23"/>
      <c r="Q836" s="23"/>
      <c r="R836" s="23"/>
      <c r="S836" s="23"/>
      <c r="T836" s="23"/>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row>
    <row r="837" spans="1:50" x14ac:dyDescent="0.35">
      <c r="A837" s="23"/>
      <c r="B837" s="23"/>
      <c r="C837" s="23"/>
      <c r="D837" s="23"/>
      <c r="E837" s="23"/>
      <c r="F837" s="23"/>
      <c r="G837" s="23"/>
      <c r="H837" s="23"/>
      <c r="I837" s="23"/>
      <c r="J837" s="23"/>
      <c r="K837" s="23"/>
      <c r="L837" s="23"/>
      <c r="M837" s="23"/>
      <c r="N837" s="23"/>
      <c r="O837" s="23"/>
      <c r="P837" s="23"/>
      <c r="Q837" s="23"/>
      <c r="R837" s="23"/>
      <c r="S837" s="23"/>
      <c r="T837" s="23"/>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row>
    <row r="838" spans="1:50" x14ac:dyDescent="0.35">
      <c r="A838" s="23"/>
      <c r="B838" s="23"/>
      <c r="C838" s="23"/>
      <c r="D838" s="23"/>
      <c r="E838" s="23"/>
      <c r="F838" s="23"/>
      <c r="G838" s="23"/>
      <c r="H838" s="23"/>
      <c r="I838" s="23"/>
      <c r="J838" s="23"/>
      <c r="K838" s="23"/>
      <c r="L838" s="23"/>
      <c r="M838" s="23"/>
      <c r="N838" s="23"/>
      <c r="O838" s="23"/>
      <c r="P838" s="23"/>
      <c r="Q838" s="23"/>
      <c r="R838" s="23"/>
      <c r="S838" s="23"/>
      <c r="T838" s="23"/>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row>
    <row r="839" spans="1:50" x14ac:dyDescent="0.35">
      <c r="A839" s="23"/>
      <c r="B839" s="23"/>
      <c r="C839" s="23"/>
      <c r="D839" s="23"/>
      <c r="E839" s="23"/>
      <c r="F839" s="23"/>
      <c r="G839" s="23"/>
      <c r="H839" s="23"/>
      <c r="I839" s="23"/>
      <c r="J839" s="23"/>
      <c r="K839" s="23"/>
      <c r="L839" s="23"/>
      <c r="M839" s="23"/>
      <c r="N839" s="23"/>
      <c r="O839" s="23"/>
      <c r="P839" s="23"/>
      <c r="Q839" s="23"/>
      <c r="R839" s="23"/>
      <c r="S839" s="23"/>
      <c r="T839" s="23"/>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row>
    <row r="840" spans="1:50" x14ac:dyDescent="0.35">
      <c r="A840" s="23"/>
      <c r="B840" s="23"/>
      <c r="C840" s="23"/>
      <c r="D840" s="23"/>
      <c r="E840" s="23"/>
      <c r="F840" s="23"/>
      <c r="G840" s="23"/>
      <c r="H840" s="23"/>
      <c r="I840" s="23"/>
      <c r="J840" s="23"/>
      <c r="K840" s="23"/>
      <c r="L840" s="23"/>
      <c r="M840" s="23"/>
      <c r="N840" s="23"/>
      <c r="O840" s="23"/>
      <c r="P840" s="23"/>
      <c r="Q840" s="23"/>
      <c r="R840" s="23"/>
      <c r="S840" s="23"/>
      <c r="T840" s="23"/>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row>
    <row r="841" spans="1:50" x14ac:dyDescent="0.35">
      <c r="A841" s="23"/>
      <c r="B841" s="23"/>
      <c r="C841" s="23"/>
      <c r="D841" s="23"/>
      <c r="E841" s="23"/>
      <c r="F841" s="23"/>
      <c r="G841" s="23"/>
      <c r="H841" s="23"/>
      <c r="I841" s="23"/>
      <c r="J841" s="23"/>
      <c r="K841" s="23"/>
      <c r="L841" s="23"/>
      <c r="M841" s="23"/>
      <c r="N841" s="23"/>
      <c r="O841" s="23"/>
      <c r="P841" s="23"/>
      <c r="Q841" s="23"/>
      <c r="R841" s="23"/>
      <c r="S841" s="23"/>
      <c r="T841" s="23"/>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row>
    <row r="842" spans="1:50" x14ac:dyDescent="0.35">
      <c r="A842" s="23"/>
      <c r="B842" s="23"/>
      <c r="C842" s="23"/>
      <c r="D842" s="23"/>
      <c r="E842" s="23"/>
      <c r="F842" s="23"/>
      <c r="G842" s="23"/>
      <c r="H842" s="23"/>
      <c r="I842" s="23"/>
      <c r="J842" s="23"/>
      <c r="K842" s="23"/>
      <c r="L842" s="23"/>
      <c r="M842" s="23"/>
      <c r="N842" s="23"/>
      <c r="O842" s="23"/>
      <c r="P842" s="23"/>
      <c r="Q842" s="23"/>
      <c r="R842" s="23"/>
      <c r="S842" s="23"/>
      <c r="T842" s="23"/>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row>
    <row r="843" spans="1:50" x14ac:dyDescent="0.35">
      <c r="A843" s="23"/>
      <c r="B843" s="23"/>
      <c r="C843" s="23"/>
      <c r="D843" s="23"/>
      <c r="E843" s="23"/>
      <c r="F843" s="23"/>
      <c r="G843" s="23"/>
      <c r="H843" s="23"/>
      <c r="I843" s="23"/>
      <c r="J843" s="23"/>
      <c r="K843" s="23"/>
      <c r="L843" s="23"/>
      <c r="M843" s="23"/>
      <c r="N843" s="23"/>
      <c r="O843" s="23"/>
      <c r="P843" s="23"/>
      <c r="Q843" s="23"/>
      <c r="R843" s="23"/>
      <c r="S843" s="23"/>
      <c r="T843" s="23"/>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row>
    <row r="844" spans="1:50" x14ac:dyDescent="0.35">
      <c r="A844" s="23"/>
      <c r="B844" s="23"/>
      <c r="C844" s="23"/>
      <c r="D844" s="23"/>
      <c r="E844" s="23"/>
      <c r="F844" s="23"/>
      <c r="G844" s="23"/>
      <c r="H844" s="23"/>
      <c r="I844" s="23"/>
      <c r="J844" s="23"/>
      <c r="K844" s="23"/>
      <c r="L844" s="23"/>
      <c r="M844" s="23"/>
      <c r="N844" s="23"/>
      <c r="O844" s="23"/>
      <c r="P844" s="23"/>
      <c r="Q844" s="23"/>
      <c r="R844" s="23"/>
      <c r="S844" s="23"/>
      <c r="T844" s="23"/>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row>
    <row r="845" spans="1:50" x14ac:dyDescent="0.35">
      <c r="A845" s="23"/>
      <c r="B845" s="23"/>
      <c r="C845" s="23"/>
      <c r="D845" s="23"/>
      <c r="E845" s="23"/>
      <c r="F845" s="23"/>
      <c r="G845" s="23"/>
      <c r="H845" s="23"/>
      <c r="I845" s="23"/>
      <c r="J845" s="23"/>
      <c r="K845" s="23"/>
      <c r="L845" s="23"/>
      <c r="M845" s="23"/>
      <c r="N845" s="23"/>
      <c r="O845" s="23"/>
      <c r="P845" s="23"/>
      <c r="Q845" s="23"/>
      <c r="R845" s="23"/>
      <c r="S845" s="23"/>
      <c r="T845" s="23"/>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row>
    <row r="846" spans="1:50" x14ac:dyDescent="0.35">
      <c r="A846" s="23"/>
      <c r="B846" s="23"/>
      <c r="C846" s="23"/>
      <c r="D846" s="23"/>
      <c r="E846" s="23"/>
      <c r="F846" s="23"/>
      <c r="G846" s="23"/>
      <c r="H846" s="23"/>
      <c r="I846" s="23"/>
      <c r="J846" s="23"/>
      <c r="K846" s="23"/>
      <c r="L846" s="23"/>
      <c r="M846" s="23"/>
      <c r="N846" s="23"/>
      <c r="O846" s="23"/>
      <c r="P846" s="23"/>
      <c r="Q846" s="23"/>
      <c r="R846" s="23"/>
      <c r="S846" s="23"/>
      <c r="T846" s="23"/>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row>
    <row r="847" spans="1:50" x14ac:dyDescent="0.35">
      <c r="A847" s="23"/>
      <c r="B847" s="23"/>
      <c r="C847" s="23"/>
      <c r="D847" s="23"/>
      <c r="E847" s="23"/>
      <c r="F847" s="23"/>
      <c r="G847" s="23"/>
      <c r="H847" s="23"/>
      <c r="I847" s="23"/>
      <c r="J847" s="23"/>
      <c r="K847" s="23"/>
      <c r="L847" s="23"/>
      <c r="M847" s="23"/>
      <c r="N847" s="23"/>
      <c r="O847" s="23"/>
      <c r="P847" s="23"/>
      <c r="Q847" s="23"/>
      <c r="R847" s="23"/>
      <c r="S847" s="23"/>
      <c r="T847" s="23"/>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row>
    <row r="848" spans="1:50" x14ac:dyDescent="0.35">
      <c r="A848" s="23"/>
      <c r="B848" s="23"/>
      <c r="C848" s="23"/>
      <c r="D848" s="23"/>
      <c r="E848" s="23"/>
      <c r="F848" s="23"/>
      <c r="G848" s="23"/>
      <c r="H848" s="23"/>
      <c r="I848" s="23"/>
      <c r="J848" s="23"/>
      <c r="K848" s="23"/>
      <c r="L848" s="23"/>
      <c r="M848" s="23"/>
      <c r="N848" s="23"/>
      <c r="O848" s="23"/>
      <c r="P848" s="23"/>
      <c r="Q848" s="23"/>
      <c r="R848" s="23"/>
      <c r="S848" s="23"/>
      <c r="T848" s="23"/>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row>
    <row r="849" spans="1:50" x14ac:dyDescent="0.35">
      <c r="A849" s="23"/>
      <c r="B849" s="23"/>
      <c r="C849" s="23"/>
      <c r="D849" s="23"/>
      <c r="E849" s="23"/>
      <c r="F849" s="23"/>
      <c r="G849" s="23"/>
      <c r="H849" s="23"/>
      <c r="I849" s="23"/>
      <c r="J849" s="23"/>
      <c r="K849" s="23"/>
      <c r="L849" s="23"/>
      <c r="M849" s="23"/>
      <c r="N849" s="23"/>
      <c r="O849" s="23"/>
      <c r="P849" s="23"/>
      <c r="Q849" s="23"/>
      <c r="R849" s="23"/>
      <c r="S849" s="23"/>
      <c r="T849" s="23"/>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row>
    <row r="850" spans="1:50" x14ac:dyDescent="0.35">
      <c r="A850" s="23"/>
      <c r="B850" s="23"/>
      <c r="C850" s="23"/>
      <c r="D850" s="23"/>
      <c r="E850" s="23"/>
      <c r="F850" s="23"/>
      <c r="G850" s="23"/>
      <c r="H850" s="23"/>
      <c r="I850" s="23"/>
      <c r="J850" s="23"/>
      <c r="K850" s="23"/>
      <c r="L850" s="23"/>
      <c r="M850" s="23"/>
      <c r="N850" s="23"/>
      <c r="O850" s="23"/>
      <c r="P850" s="23"/>
      <c r="Q850" s="23"/>
      <c r="R850" s="23"/>
      <c r="S850" s="23"/>
      <c r="T850" s="23"/>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row>
    <row r="851" spans="1:50" x14ac:dyDescent="0.35">
      <c r="A851" s="23"/>
      <c r="B851" s="23"/>
      <c r="C851" s="23"/>
      <c r="D851" s="23"/>
      <c r="E851" s="23"/>
      <c r="F851" s="23"/>
      <c r="G851" s="23"/>
      <c r="H851" s="23"/>
      <c r="I851" s="23"/>
      <c r="J851" s="23"/>
      <c r="K851" s="23"/>
      <c r="L851" s="23"/>
      <c r="M851" s="23"/>
      <c r="N851" s="23"/>
      <c r="O851" s="23"/>
      <c r="P851" s="23"/>
      <c r="Q851" s="23"/>
      <c r="R851" s="23"/>
      <c r="S851" s="23"/>
      <c r="T851" s="23"/>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row>
    <row r="852" spans="1:50" x14ac:dyDescent="0.35">
      <c r="A852" s="23"/>
      <c r="B852" s="23"/>
      <c r="C852" s="23"/>
      <c r="D852" s="23"/>
      <c r="E852" s="23"/>
      <c r="F852" s="23"/>
      <c r="G852" s="23"/>
      <c r="H852" s="23"/>
      <c r="I852" s="23"/>
      <c r="J852" s="23"/>
      <c r="K852" s="23"/>
      <c r="L852" s="23"/>
      <c r="M852" s="23"/>
      <c r="N852" s="23"/>
      <c r="O852" s="23"/>
      <c r="P852" s="23"/>
      <c r="Q852" s="23"/>
      <c r="R852" s="23"/>
      <c r="S852" s="23"/>
      <c r="T852" s="23"/>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row>
    <row r="853" spans="1:50" x14ac:dyDescent="0.35">
      <c r="A853" s="23"/>
      <c r="B853" s="23"/>
      <c r="C853" s="23"/>
      <c r="D853" s="23"/>
      <c r="E853" s="23"/>
      <c r="F853" s="23"/>
      <c r="G853" s="23"/>
      <c r="H853" s="23"/>
      <c r="I853" s="23"/>
      <c r="J853" s="23"/>
      <c r="K853" s="23"/>
      <c r="L853" s="23"/>
      <c r="M853" s="23"/>
      <c r="N853" s="23"/>
      <c r="O853" s="23"/>
      <c r="P853" s="23"/>
      <c r="Q853" s="23"/>
      <c r="R853" s="23"/>
      <c r="S853" s="23"/>
      <c r="T853" s="23"/>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row>
    <row r="854" spans="1:50" x14ac:dyDescent="0.35">
      <c r="A854" s="23"/>
      <c r="B854" s="23"/>
      <c r="C854" s="23"/>
      <c r="D854" s="23"/>
      <c r="E854" s="23"/>
      <c r="F854" s="23"/>
      <c r="G854" s="23"/>
      <c r="H854" s="23"/>
      <c r="I854" s="23"/>
      <c r="J854" s="23"/>
      <c r="K854" s="23"/>
      <c r="L854" s="23"/>
      <c r="M854" s="23"/>
      <c r="N854" s="23"/>
      <c r="O854" s="23"/>
      <c r="P854" s="23"/>
      <c r="Q854" s="23"/>
      <c r="R854" s="23"/>
      <c r="S854" s="23"/>
      <c r="T854" s="23"/>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row>
    <row r="855" spans="1:50" x14ac:dyDescent="0.35">
      <c r="A855" s="23"/>
      <c r="B855" s="23"/>
      <c r="C855" s="23"/>
      <c r="D855" s="23"/>
      <c r="E855" s="23"/>
      <c r="F855" s="23"/>
      <c r="G855" s="23"/>
      <c r="H855" s="23"/>
      <c r="I855" s="23"/>
      <c r="J855" s="23"/>
      <c r="K855" s="23"/>
      <c r="L855" s="23"/>
      <c r="M855" s="23"/>
      <c r="N855" s="23"/>
      <c r="O855" s="23"/>
      <c r="P855" s="23"/>
      <c r="Q855" s="23"/>
      <c r="R855" s="23"/>
      <c r="S855" s="23"/>
      <c r="T855" s="23"/>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row>
    <row r="856" spans="1:50" x14ac:dyDescent="0.35">
      <c r="A856" s="23"/>
      <c r="B856" s="23"/>
      <c r="C856" s="23"/>
      <c r="D856" s="23"/>
      <c r="E856" s="23"/>
      <c r="F856" s="23"/>
      <c r="G856" s="23"/>
      <c r="H856" s="23"/>
      <c r="I856" s="23"/>
      <c r="J856" s="23"/>
      <c r="K856" s="23"/>
      <c r="L856" s="23"/>
      <c r="M856" s="23"/>
      <c r="N856" s="23"/>
      <c r="O856" s="23"/>
      <c r="P856" s="23"/>
      <c r="Q856" s="23"/>
      <c r="R856" s="23"/>
      <c r="S856" s="23"/>
      <c r="T856" s="23"/>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row>
    <row r="857" spans="1:50" x14ac:dyDescent="0.35">
      <c r="A857" s="23"/>
      <c r="B857" s="23"/>
      <c r="C857" s="23"/>
      <c r="D857" s="23"/>
      <c r="E857" s="23"/>
      <c r="F857" s="23"/>
      <c r="G857" s="23"/>
      <c r="H857" s="23"/>
      <c r="I857" s="23"/>
      <c r="J857" s="23"/>
      <c r="K857" s="23"/>
      <c r="L857" s="23"/>
      <c r="M857" s="23"/>
      <c r="N857" s="23"/>
      <c r="O857" s="23"/>
      <c r="P857" s="23"/>
      <c r="Q857" s="23"/>
      <c r="R857" s="23"/>
      <c r="S857" s="23"/>
      <c r="T857" s="23"/>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row>
    <row r="858" spans="1:50" x14ac:dyDescent="0.35">
      <c r="A858" s="23"/>
      <c r="B858" s="23"/>
      <c r="C858" s="23"/>
      <c r="D858" s="23"/>
      <c r="E858" s="23"/>
      <c r="F858" s="23"/>
      <c r="G858" s="23"/>
      <c r="H858" s="23"/>
      <c r="I858" s="23"/>
      <c r="J858" s="23"/>
      <c r="K858" s="23"/>
      <c r="L858" s="23"/>
      <c r="M858" s="23"/>
      <c r="N858" s="23"/>
      <c r="O858" s="23"/>
      <c r="P858" s="23"/>
      <c r="Q858" s="23"/>
      <c r="R858" s="23"/>
      <c r="S858" s="23"/>
      <c r="T858" s="23"/>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row>
    <row r="859" spans="1:50" x14ac:dyDescent="0.35">
      <c r="A859" s="23"/>
      <c r="B859" s="23"/>
      <c r="C859" s="23"/>
      <c r="D859" s="23"/>
      <c r="E859" s="23"/>
      <c r="F859" s="23"/>
      <c r="G859" s="23"/>
      <c r="H859" s="23"/>
      <c r="I859" s="23"/>
      <c r="J859" s="23"/>
      <c r="K859" s="23"/>
      <c r="L859" s="23"/>
      <c r="M859" s="23"/>
      <c r="N859" s="23"/>
      <c r="O859" s="23"/>
      <c r="P859" s="23"/>
      <c r="Q859" s="23"/>
      <c r="R859" s="23"/>
      <c r="S859" s="23"/>
      <c r="T859" s="23"/>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row>
    <row r="860" spans="1:50" x14ac:dyDescent="0.35">
      <c r="A860" s="23"/>
      <c r="B860" s="23"/>
      <c r="C860" s="23"/>
      <c r="D860" s="23"/>
      <c r="E860" s="23"/>
      <c r="F860" s="23"/>
      <c r="G860" s="23"/>
      <c r="H860" s="23"/>
      <c r="I860" s="23"/>
      <c r="J860" s="23"/>
      <c r="K860" s="23"/>
      <c r="L860" s="23"/>
      <c r="M860" s="23"/>
      <c r="N860" s="23"/>
      <c r="O860" s="23"/>
      <c r="P860" s="23"/>
      <c r="Q860" s="23"/>
      <c r="R860" s="23"/>
      <c r="S860" s="23"/>
      <c r="T860" s="23"/>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row>
    <row r="861" spans="1:50" x14ac:dyDescent="0.35">
      <c r="A861" s="23"/>
      <c r="B861" s="23"/>
      <c r="C861" s="23"/>
      <c r="D861" s="23"/>
      <c r="E861" s="23"/>
      <c r="F861" s="23"/>
      <c r="G861" s="23"/>
      <c r="H861" s="23"/>
      <c r="I861" s="23"/>
      <c r="J861" s="23"/>
      <c r="K861" s="23"/>
      <c r="L861" s="23"/>
      <c r="M861" s="23"/>
      <c r="N861" s="23"/>
      <c r="O861" s="23"/>
      <c r="P861" s="23"/>
      <c r="Q861" s="23"/>
      <c r="R861" s="23"/>
      <c r="S861" s="23"/>
      <c r="T861" s="23"/>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row>
    <row r="862" spans="1:50" x14ac:dyDescent="0.35">
      <c r="A862" s="23"/>
      <c r="B862" s="23"/>
      <c r="C862" s="23"/>
      <c r="D862" s="23"/>
      <c r="E862" s="23"/>
      <c r="F862" s="23"/>
      <c r="G862" s="23"/>
      <c r="H862" s="23"/>
      <c r="I862" s="23"/>
      <c r="J862" s="23"/>
      <c r="K862" s="23"/>
      <c r="L862" s="23"/>
      <c r="M862" s="23"/>
      <c r="N862" s="23"/>
      <c r="O862" s="23"/>
      <c r="P862" s="23"/>
      <c r="Q862" s="23"/>
      <c r="R862" s="23"/>
      <c r="S862" s="23"/>
      <c r="T862" s="23"/>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row>
    <row r="863" spans="1:50" x14ac:dyDescent="0.35">
      <c r="A863" s="23"/>
      <c r="B863" s="23"/>
      <c r="C863" s="23"/>
      <c r="D863" s="23"/>
      <c r="E863" s="23"/>
      <c r="F863" s="23"/>
      <c r="G863" s="23"/>
      <c r="H863" s="23"/>
      <c r="I863" s="23"/>
      <c r="J863" s="23"/>
      <c r="K863" s="23"/>
      <c r="L863" s="23"/>
      <c r="M863" s="23"/>
      <c r="N863" s="23"/>
      <c r="O863" s="23"/>
      <c r="P863" s="23"/>
      <c r="Q863" s="23"/>
      <c r="R863" s="23"/>
      <c r="S863" s="23"/>
      <c r="T863" s="23"/>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row>
    <row r="864" spans="1:50" x14ac:dyDescent="0.35">
      <c r="A864" s="23"/>
      <c r="B864" s="23"/>
      <c r="C864" s="23"/>
      <c r="D864" s="23"/>
      <c r="E864" s="23"/>
      <c r="F864" s="23"/>
      <c r="G864" s="23"/>
      <c r="H864" s="23"/>
      <c r="I864" s="23"/>
      <c r="J864" s="23"/>
      <c r="K864" s="23"/>
      <c r="L864" s="23"/>
      <c r="M864" s="23"/>
      <c r="N864" s="23"/>
      <c r="O864" s="23"/>
      <c r="P864" s="23"/>
      <c r="Q864" s="23"/>
      <c r="R864" s="23"/>
      <c r="S864" s="23"/>
      <c r="T864" s="23"/>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row>
    <row r="865" spans="1:50" x14ac:dyDescent="0.35">
      <c r="A865" s="23"/>
      <c r="B865" s="23"/>
      <c r="C865" s="23"/>
      <c r="D865" s="23"/>
      <c r="E865" s="23"/>
      <c r="F865" s="23"/>
      <c r="G865" s="23"/>
      <c r="H865" s="23"/>
      <c r="I865" s="23"/>
      <c r="J865" s="23"/>
      <c r="K865" s="23"/>
      <c r="L865" s="23"/>
      <c r="M865" s="23"/>
      <c r="N865" s="23"/>
      <c r="O865" s="23"/>
      <c r="P865" s="23"/>
      <c r="Q865" s="23"/>
      <c r="R865" s="23"/>
      <c r="S865" s="23"/>
      <c r="T865" s="23"/>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row>
    <row r="866" spans="1:50" x14ac:dyDescent="0.35">
      <c r="A866" s="23"/>
      <c r="B866" s="23"/>
      <c r="C866" s="23"/>
      <c r="D866" s="23"/>
      <c r="E866" s="23"/>
      <c r="F866" s="23"/>
      <c r="G866" s="23"/>
      <c r="H866" s="23"/>
      <c r="I866" s="23"/>
      <c r="J866" s="23"/>
      <c r="K866" s="23"/>
      <c r="L866" s="23"/>
      <c r="M866" s="23"/>
      <c r="N866" s="23"/>
      <c r="O866" s="23"/>
      <c r="P866" s="23"/>
      <c r="Q866" s="23"/>
      <c r="R866" s="23"/>
      <c r="S866" s="23"/>
      <c r="T866" s="23"/>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row>
    <row r="867" spans="1:50" x14ac:dyDescent="0.35">
      <c r="A867" s="23"/>
      <c r="B867" s="23"/>
      <c r="C867" s="23"/>
      <c r="D867" s="23"/>
      <c r="E867" s="23"/>
      <c r="F867" s="23"/>
      <c r="G867" s="23"/>
      <c r="H867" s="23"/>
      <c r="I867" s="23"/>
      <c r="J867" s="23"/>
      <c r="K867" s="23"/>
      <c r="L867" s="23"/>
      <c r="M867" s="23"/>
      <c r="N867" s="23"/>
      <c r="O867" s="23"/>
      <c r="P867" s="23"/>
      <c r="Q867" s="23"/>
      <c r="R867" s="23"/>
      <c r="S867" s="23"/>
      <c r="T867" s="23"/>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row>
    <row r="868" spans="1:50" x14ac:dyDescent="0.35">
      <c r="A868" s="23"/>
      <c r="B868" s="23"/>
      <c r="C868" s="23"/>
      <c r="D868" s="23"/>
      <c r="E868" s="23"/>
      <c r="F868" s="23"/>
      <c r="G868" s="23"/>
      <c r="H868" s="23"/>
      <c r="I868" s="23"/>
      <c r="J868" s="23"/>
      <c r="K868" s="23"/>
      <c r="L868" s="23"/>
      <c r="M868" s="23"/>
      <c r="N868" s="23"/>
      <c r="O868" s="23"/>
      <c r="P868" s="23"/>
      <c r="Q868" s="23"/>
      <c r="R868" s="23"/>
      <c r="S868" s="23"/>
      <c r="T868" s="23"/>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row>
    <row r="869" spans="1:50" x14ac:dyDescent="0.35">
      <c r="A869" s="23"/>
      <c r="B869" s="23"/>
      <c r="C869" s="23"/>
      <c r="D869" s="23"/>
      <c r="E869" s="23"/>
      <c r="F869" s="23"/>
      <c r="G869" s="23"/>
      <c r="H869" s="23"/>
      <c r="I869" s="23"/>
      <c r="J869" s="23"/>
      <c r="K869" s="23"/>
      <c r="L869" s="23"/>
      <c r="M869" s="23"/>
      <c r="N869" s="23"/>
      <c r="O869" s="23"/>
      <c r="P869" s="23"/>
      <c r="Q869" s="23"/>
      <c r="R869" s="23"/>
      <c r="S869" s="23"/>
      <c r="T869" s="23"/>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row>
    <row r="870" spans="1:50" x14ac:dyDescent="0.35">
      <c r="A870" s="23"/>
      <c r="B870" s="23"/>
      <c r="C870" s="23"/>
      <c r="D870" s="23"/>
      <c r="E870" s="23"/>
      <c r="F870" s="23"/>
      <c r="G870" s="23"/>
      <c r="H870" s="23"/>
      <c r="I870" s="23"/>
      <c r="J870" s="23"/>
      <c r="K870" s="23"/>
      <c r="L870" s="23"/>
      <c r="M870" s="23"/>
      <c r="N870" s="23"/>
      <c r="O870" s="23"/>
      <c r="P870" s="23"/>
      <c r="Q870" s="23"/>
      <c r="R870" s="23"/>
      <c r="S870" s="23"/>
      <c r="T870" s="23"/>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row>
    <row r="871" spans="1:50" x14ac:dyDescent="0.35">
      <c r="A871" s="23"/>
      <c r="B871" s="23"/>
      <c r="C871" s="23"/>
      <c r="D871" s="23"/>
      <c r="E871" s="23"/>
      <c r="F871" s="23"/>
      <c r="G871" s="23"/>
      <c r="H871" s="23"/>
      <c r="I871" s="23"/>
      <c r="J871" s="23"/>
      <c r="K871" s="23"/>
      <c r="L871" s="23"/>
      <c r="M871" s="23"/>
      <c r="N871" s="23"/>
      <c r="O871" s="23"/>
      <c r="P871" s="23"/>
      <c r="Q871" s="23"/>
      <c r="R871" s="23"/>
      <c r="S871" s="23"/>
      <c r="T871" s="23"/>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row>
    <row r="872" spans="1:50" x14ac:dyDescent="0.35">
      <c r="A872" s="23"/>
      <c r="B872" s="23"/>
      <c r="C872" s="23"/>
      <c r="D872" s="23"/>
      <c r="E872" s="23"/>
      <c r="F872" s="23"/>
      <c r="G872" s="23"/>
      <c r="H872" s="23"/>
      <c r="I872" s="23"/>
      <c r="J872" s="23"/>
      <c r="K872" s="23"/>
      <c r="L872" s="23"/>
      <c r="M872" s="23"/>
      <c r="N872" s="23"/>
      <c r="O872" s="23"/>
      <c r="P872" s="23"/>
      <c r="Q872" s="23"/>
      <c r="R872" s="23"/>
      <c r="S872" s="23"/>
      <c r="T872" s="23"/>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row>
    <row r="873" spans="1:50" x14ac:dyDescent="0.35">
      <c r="A873" s="23"/>
      <c r="B873" s="23"/>
      <c r="C873" s="23"/>
      <c r="D873" s="23"/>
      <c r="E873" s="23"/>
      <c r="F873" s="23"/>
      <c r="G873" s="23"/>
      <c r="H873" s="23"/>
      <c r="I873" s="23"/>
      <c r="J873" s="23"/>
      <c r="K873" s="23"/>
      <c r="L873" s="23"/>
      <c r="M873" s="23"/>
      <c r="N873" s="23"/>
      <c r="O873" s="23"/>
      <c r="P873" s="23"/>
      <c r="Q873" s="23"/>
      <c r="R873" s="23"/>
      <c r="S873" s="23"/>
      <c r="T873" s="23"/>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row>
    <row r="874" spans="1:50" x14ac:dyDescent="0.35">
      <c r="A874" s="23"/>
      <c r="B874" s="23"/>
      <c r="C874" s="23"/>
      <c r="D874" s="23"/>
      <c r="E874" s="23"/>
      <c r="F874" s="23"/>
      <c r="G874" s="23"/>
      <c r="H874" s="23"/>
      <c r="I874" s="23"/>
      <c r="J874" s="23"/>
      <c r="K874" s="23"/>
      <c r="L874" s="23"/>
      <c r="M874" s="23"/>
      <c r="N874" s="23"/>
      <c r="O874" s="23"/>
      <c r="P874" s="23"/>
      <c r="Q874" s="23"/>
      <c r="R874" s="23"/>
      <c r="S874" s="23"/>
      <c r="T874" s="23"/>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row>
    <row r="875" spans="1:50" x14ac:dyDescent="0.35">
      <c r="A875" s="23"/>
      <c r="B875" s="23"/>
      <c r="C875" s="23"/>
      <c r="D875" s="23"/>
      <c r="E875" s="23"/>
      <c r="F875" s="23"/>
      <c r="G875" s="23"/>
      <c r="H875" s="23"/>
      <c r="I875" s="23"/>
      <c r="J875" s="23"/>
      <c r="K875" s="23"/>
      <c r="L875" s="23"/>
      <c r="M875" s="23"/>
      <c r="N875" s="23"/>
      <c r="O875" s="23"/>
      <c r="P875" s="23"/>
      <c r="Q875" s="23"/>
      <c r="R875" s="23"/>
      <c r="S875" s="23"/>
      <c r="T875" s="23"/>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row>
    <row r="876" spans="1:50" x14ac:dyDescent="0.35">
      <c r="A876" s="23"/>
      <c r="B876" s="23"/>
      <c r="C876" s="23"/>
      <c r="D876" s="23"/>
      <c r="E876" s="23"/>
      <c r="F876" s="23"/>
      <c r="G876" s="23"/>
      <c r="H876" s="23"/>
      <c r="I876" s="23"/>
      <c r="J876" s="23"/>
      <c r="K876" s="23"/>
      <c r="L876" s="23"/>
      <c r="M876" s="23"/>
      <c r="N876" s="23"/>
      <c r="O876" s="23"/>
      <c r="P876" s="23"/>
      <c r="Q876" s="23"/>
      <c r="R876" s="23"/>
      <c r="S876" s="23"/>
      <c r="T876" s="23"/>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row>
    <row r="877" spans="1:50" x14ac:dyDescent="0.35">
      <c r="A877" s="23"/>
      <c r="B877" s="23"/>
      <c r="C877" s="23"/>
      <c r="D877" s="23"/>
      <c r="E877" s="23"/>
      <c r="F877" s="23"/>
      <c r="G877" s="23"/>
      <c r="H877" s="23"/>
      <c r="I877" s="23"/>
      <c r="J877" s="23"/>
      <c r="K877" s="23"/>
      <c r="L877" s="23"/>
      <c r="M877" s="23"/>
      <c r="N877" s="23"/>
      <c r="O877" s="23"/>
      <c r="P877" s="23"/>
      <c r="Q877" s="23"/>
      <c r="R877" s="23"/>
      <c r="S877" s="23"/>
      <c r="T877" s="23"/>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row>
    <row r="878" spans="1:50" x14ac:dyDescent="0.35">
      <c r="A878" s="23"/>
      <c r="B878" s="23"/>
      <c r="C878" s="23"/>
      <c r="D878" s="23"/>
      <c r="E878" s="23"/>
      <c r="F878" s="23"/>
      <c r="G878" s="23"/>
      <c r="H878" s="23"/>
      <c r="I878" s="23"/>
      <c r="J878" s="23"/>
      <c r="K878" s="23"/>
      <c r="L878" s="23"/>
      <c r="M878" s="23"/>
      <c r="N878" s="23"/>
      <c r="O878" s="23"/>
      <c r="P878" s="23"/>
      <c r="Q878" s="23"/>
      <c r="R878" s="23"/>
      <c r="S878" s="23"/>
      <c r="T878" s="23"/>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row>
    <row r="879" spans="1:50" x14ac:dyDescent="0.35">
      <c r="A879" s="23"/>
      <c r="B879" s="23"/>
      <c r="C879" s="23"/>
      <c r="D879" s="23"/>
      <c r="E879" s="23"/>
      <c r="F879" s="23"/>
      <c r="G879" s="23"/>
      <c r="H879" s="23"/>
      <c r="I879" s="23"/>
      <c r="J879" s="23"/>
      <c r="K879" s="23"/>
      <c r="L879" s="23"/>
      <c r="M879" s="23"/>
      <c r="N879" s="23"/>
      <c r="O879" s="23"/>
      <c r="P879" s="23"/>
      <c r="Q879" s="23"/>
      <c r="R879" s="23"/>
      <c r="S879" s="23"/>
      <c r="T879" s="23"/>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row>
    <row r="880" spans="1:50" x14ac:dyDescent="0.35">
      <c r="A880" s="23"/>
      <c r="B880" s="23"/>
      <c r="C880" s="23"/>
      <c r="D880" s="23"/>
      <c r="E880" s="23"/>
      <c r="F880" s="23"/>
      <c r="G880" s="23"/>
      <c r="H880" s="23"/>
      <c r="I880" s="23"/>
      <c r="J880" s="23"/>
      <c r="K880" s="23"/>
      <c r="L880" s="23"/>
      <c r="M880" s="23"/>
      <c r="N880" s="23"/>
      <c r="O880" s="23"/>
      <c r="P880" s="23"/>
      <c r="Q880" s="23"/>
      <c r="R880" s="23"/>
      <c r="S880" s="23"/>
      <c r="T880" s="23"/>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row>
    <row r="881" spans="1:50" x14ac:dyDescent="0.35">
      <c r="A881" s="23"/>
      <c r="B881" s="23"/>
      <c r="C881" s="23"/>
      <c r="D881" s="23"/>
      <c r="E881" s="23"/>
      <c r="F881" s="23"/>
      <c r="G881" s="23"/>
      <c r="H881" s="23"/>
      <c r="I881" s="23"/>
      <c r="J881" s="23"/>
      <c r="K881" s="23"/>
      <c r="L881" s="23"/>
      <c r="M881" s="23"/>
      <c r="N881" s="23"/>
      <c r="O881" s="23"/>
      <c r="P881" s="23"/>
      <c r="Q881" s="23"/>
      <c r="R881" s="23"/>
      <c r="S881" s="23"/>
      <c r="T881" s="23"/>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row>
    <row r="882" spans="1:50" x14ac:dyDescent="0.35">
      <c r="A882" s="23"/>
      <c r="B882" s="23"/>
      <c r="C882" s="23"/>
      <c r="D882" s="23"/>
      <c r="E882" s="23"/>
      <c r="F882" s="23"/>
      <c r="G882" s="23"/>
      <c r="H882" s="23"/>
      <c r="I882" s="23"/>
      <c r="J882" s="23"/>
      <c r="K882" s="23"/>
      <c r="L882" s="23"/>
      <c r="M882" s="23"/>
      <c r="N882" s="23"/>
      <c r="O882" s="23"/>
      <c r="P882" s="23"/>
      <c r="Q882" s="23"/>
      <c r="R882" s="23"/>
      <c r="S882" s="23"/>
      <c r="T882" s="23"/>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row>
    <row r="883" spans="1:50" x14ac:dyDescent="0.35">
      <c r="A883" s="23"/>
      <c r="B883" s="23"/>
      <c r="C883" s="23"/>
      <c r="D883" s="23"/>
      <c r="E883" s="23"/>
      <c r="F883" s="23"/>
      <c r="G883" s="23"/>
      <c r="H883" s="23"/>
      <c r="I883" s="23"/>
      <c r="J883" s="23"/>
      <c r="K883" s="23"/>
      <c r="L883" s="23"/>
      <c r="M883" s="23"/>
      <c r="N883" s="23"/>
      <c r="O883" s="23"/>
      <c r="P883" s="23"/>
      <c r="Q883" s="23"/>
      <c r="R883" s="23"/>
      <c r="S883" s="23"/>
      <c r="T883" s="23"/>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row>
    <row r="884" spans="1:50" x14ac:dyDescent="0.35">
      <c r="A884" s="23"/>
      <c r="B884" s="23"/>
      <c r="C884" s="23"/>
      <c r="D884" s="23"/>
      <c r="E884" s="23"/>
      <c r="F884" s="23"/>
      <c r="G884" s="23"/>
      <c r="H884" s="23"/>
      <c r="I884" s="23"/>
      <c r="J884" s="23"/>
      <c r="K884" s="23"/>
      <c r="L884" s="23"/>
      <c r="M884" s="23"/>
      <c r="N884" s="23"/>
      <c r="O884" s="23"/>
      <c r="P884" s="23"/>
      <c r="Q884" s="23"/>
      <c r="R884" s="23"/>
      <c r="S884" s="23"/>
      <c r="T884" s="23"/>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row>
    <row r="885" spans="1:50" x14ac:dyDescent="0.35">
      <c r="A885" s="23"/>
      <c r="B885" s="23"/>
      <c r="C885" s="23"/>
      <c r="D885" s="23"/>
      <c r="E885" s="23"/>
      <c r="F885" s="23"/>
      <c r="G885" s="23"/>
      <c r="H885" s="23"/>
      <c r="I885" s="23"/>
      <c r="J885" s="23"/>
      <c r="K885" s="23"/>
      <c r="L885" s="23"/>
      <c r="M885" s="23"/>
      <c r="N885" s="23"/>
      <c r="O885" s="23"/>
      <c r="P885" s="23"/>
      <c r="Q885" s="23"/>
      <c r="R885" s="23"/>
      <c r="S885" s="23"/>
      <c r="T885" s="23"/>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row>
    <row r="886" spans="1:50" x14ac:dyDescent="0.35">
      <c r="A886" s="23"/>
      <c r="B886" s="23"/>
      <c r="C886" s="23"/>
      <c r="D886" s="23"/>
      <c r="E886" s="23"/>
      <c r="F886" s="23"/>
      <c r="G886" s="23"/>
      <c r="H886" s="23"/>
      <c r="I886" s="23"/>
      <c r="J886" s="23"/>
      <c r="K886" s="23"/>
      <c r="L886" s="23"/>
      <c r="M886" s="23"/>
      <c r="N886" s="23"/>
      <c r="O886" s="23"/>
      <c r="P886" s="23"/>
      <c r="Q886" s="23"/>
      <c r="R886" s="23"/>
      <c r="S886" s="23"/>
      <c r="T886" s="23"/>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row>
    <row r="887" spans="1:50" x14ac:dyDescent="0.35">
      <c r="A887" s="23"/>
      <c r="B887" s="23"/>
      <c r="C887" s="23"/>
      <c r="D887" s="23"/>
      <c r="E887" s="23"/>
      <c r="F887" s="23"/>
      <c r="G887" s="23"/>
      <c r="H887" s="23"/>
      <c r="I887" s="23"/>
      <c r="J887" s="23"/>
      <c r="K887" s="23"/>
      <c r="L887" s="23"/>
      <c r="M887" s="23"/>
      <c r="N887" s="23"/>
      <c r="O887" s="23"/>
      <c r="P887" s="23"/>
      <c r="Q887" s="23"/>
      <c r="R887" s="23"/>
      <c r="S887" s="23"/>
      <c r="T887" s="23"/>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row>
    <row r="888" spans="1:50" x14ac:dyDescent="0.35">
      <c r="A888" s="23"/>
      <c r="B888" s="23"/>
      <c r="C888" s="23"/>
      <c r="D888" s="23"/>
      <c r="E888" s="23"/>
      <c r="F888" s="23"/>
      <c r="G888" s="23"/>
      <c r="H888" s="23"/>
      <c r="I888" s="23"/>
      <c r="J888" s="23"/>
      <c r="K888" s="23"/>
      <c r="L888" s="23"/>
      <c r="M888" s="23"/>
      <c r="N888" s="23"/>
      <c r="O888" s="23"/>
      <c r="P888" s="23"/>
      <c r="Q888" s="23"/>
      <c r="R888" s="23"/>
      <c r="S888" s="23"/>
      <c r="T888" s="23"/>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row>
    <row r="889" spans="1:50" x14ac:dyDescent="0.35">
      <c r="A889" s="23"/>
      <c r="B889" s="23"/>
      <c r="C889" s="23"/>
      <c r="D889" s="23"/>
      <c r="E889" s="23"/>
      <c r="F889" s="23"/>
      <c r="G889" s="23"/>
      <c r="H889" s="23"/>
      <c r="I889" s="23"/>
      <c r="J889" s="23"/>
      <c r="K889" s="23"/>
      <c r="L889" s="23"/>
      <c r="M889" s="23"/>
      <c r="N889" s="23"/>
      <c r="O889" s="23"/>
      <c r="P889" s="23"/>
      <c r="Q889" s="23"/>
      <c r="R889" s="23"/>
      <c r="S889" s="23"/>
      <c r="T889" s="23"/>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row>
    <row r="890" spans="1:50" x14ac:dyDescent="0.35">
      <c r="A890" s="23"/>
      <c r="B890" s="23"/>
      <c r="C890" s="23"/>
      <c r="D890" s="23"/>
      <c r="E890" s="23"/>
      <c r="F890" s="23"/>
      <c r="G890" s="23"/>
      <c r="H890" s="23"/>
      <c r="I890" s="23"/>
      <c r="J890" s="23"/>
      <c r="K890" s="23"/>
      <c r="L890" s="23"/>
      <c r="M890" s="23"/>
      <c r="N890" s="23"/>
      <c r="O890" s="23"/>
      <c r="P890" s="23"/>
      <c r="Q890" s="23"/>
      <c r="R890" s="23"/>
      <c r="S890" s="23"/>
      <c r="T890" s="23"/>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row>
    <row r="891" spans="1:50" x14ac:dyDescent="0.35">
      <c r="A891" s="23"/>
      <c r="B891" s="23"/>
      <c r="C891" s="23"/>
      <c r="D891" s="23"/>
      <c r="E891" s="23"/>
      <c r="F891" s="23"/>
      <c r="G891" s="23"/>
      <c r="H891" s="23"/>
      <c r="I891" s="23"/>
      <c r="J891" s="23"/>
      <c r="K891" s="23"/>
      <c r="L891" s="23"/>
      <c r="M891" s="23"/>
      <c r="N891" s="23"/>
      <c r="O891" s="23"/>
      <c r="P891" s="23"/>
      <c r="Q891" s="23"/>
      <c r="R891" s="23"/>
      <c r="S891" s="23"/>
      <c r="T891" s="23"/>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row>
    <row r="892" spans="1:50" x14ac:dyDescent="0.35">
      <c r="A892" s="23"/>
      <c r="B892" s="23"/>
      <c r="C892" s="23"/>
      <c r="D892" s="23"/>
      <c r="E892" s="23"/>
      <c r="F892" s="23"/>
      <c r="G892" s="23"/>
      <c r="H892" s="23"/>
      <c r="I892" s="23"/>
      <c r="J892" s="23"/>
      <c r="K892" s="23"/>
      <c r="L892" s="23"/>
      <c r="M892" s="23"/>
      <c r="N892" s="23"/>
      <c r="O892" s="23"/>
      <c r="P892" s="23"/>
      <c r="Q892" s="23"/>
      <c r="R892" s="23"/>
      <c r="S892" s="23"/>
      <c r="T892" s="23"/>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row>
    <row r="893" spans="1:50" x14ac:dyDescent="0.35">
      <c r="A893" s="23"/>
      <c r="B893" s="23"/>
      <c r="C893" s="23"/>
      <c r="D893" s="23"/>
      <c r="E893" s="23"/>
      <c r="F893" s="23"/>
      <c r="G893" s="23"/>
      <c r="H893" s="23"/>
      <c r="I893" s="23"/>
      <c r="J893" s="23"/>
      <c r="K893" s="23"/>
      <c r="L893" s="23"/>
      <c r="M893" s="23"/>
      <c r="N893" s="23"/>
      <c r="O893" s="23"/>
      <c r="P893" s="23"/>
      <c r="Q893" s="23"/>
      <c r="R893" s="23"/>
      <c r="S893" s="23"/>
      <c r="T893" s="23"/>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row>
    <row r="894" spans="1:50" x14ac:dyDescent="0.35">
      <c r="A894" s="23"/>
      <c r="B894" s="23"/>
      <c r="C894" s="23"/>
      <c r="D894" s="23"/>
      <c r="E894" s="23"/>
      <c r="F894" s="23"/>
      <c r="G894" s="23"/>
      <c r="H894" s="23"/>
      <c r="I894" s="23"/>
      <c r="J894" s="23"/>
      <c r="K894" s="23"/>
      <c r="L894" s="23"/>
      <c r="M894" s="23"/>
      <c r="N894" s="23"/>
      <c r="O894" s="23"/>
      <c r="P894" s="23"/>
      <c r="Q894" s="23"/>
      <c r="R894" s="23"/>
      <c r="S894" s="23"/>
      <c r="T894" s="23"/>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row>
    <row r="895" spans="1:50" x14ac:dyDescent="0.35">
      <c r="A895" s="23"/>
      <c r="B895" s="23"/>
      <c r="C895" s="23"/>
      <c r="D895" s="23"/>
      <c r="E895" s="23"/>
      <c r="F895" s="23"/>
      <c r="G895" s="23"/>
      <c r="H895" s="23"/>
      <c r="I895" s="23"/>
      <c r="J895" s="23"/>
      <c r="K895" s="23"/>
      <c r="L895" s="23"/>
      <c r="M895" s="23"/>
      <c r="N895" s="23"/>
      <c r="O895" s="23"/>
      <c r="P895" s="23"/>
      <c r="Q895" s="23"/>
      <c r="R895" s="23"/>
      <c r="S895" s="23"/>
      <c r="T895" s="23"/>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row>
    <row r="896" spans="1:50" x14ac:dyDescent="0.35">
      <c r="A896" s="23"/>
      <c r="B896" s="23"/>
      <c r="C896" s="23"/>
      <c r="D896" s="23"/>
      <c r="E896" s="23"/>
      <c r="F896" s="23"/>
      <c r="G896" s="23"/>
      <c r="H896" s="23"/>
      <c r="I896" s="23"/>
      <c r="J896" s="23"/>
      <c r="K896" s="23"/>
      <c r="L896" s="23"/>
      <c r="M896" s="23"/>
      <c r="N896" s="23"/>
      <c r="O896" s="23"/>
      <c r="P896" s="23"/>
      <c r="Q896" s="23"/>
      <c r="R896" s="23"/>
      <c r="S896" s="23"/>
      <c r="T896" s="23"/>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row>
    <row r="897" spans="1:50" x14ac:dyDescent="0.35">
      <c r="A897" s="23"/>
      <c r="B897" s="23"/>
      <c r="C897" s="23"/>
      <c r="D897" s="23"/>
      <c r="E897" s="23"/>
      <c r="F897" s="23"/>
      <c r="G897" s="23"/>
      <c r="H897" s="23"/>
      <c r="I897" s="23"/>
      <c r="J897" s="23"/>
      <c r="K897" s="23"/>
      <c r="L897" s="23"/>
      <c r="M897" s="23"/>
      <c r="N897" s="23"/>
      <c r="O897" s="23"/>
      <c r="P897" s="23"/>
      <c r="Q897" s="23"/>
      <c r="R897" s="23"/>
      <c r="S897" s="23"/>
      <c r="T897" s="23"/>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row>
    <row r="898" spans="1:50" x14ac:dyDescent="0.35">
      <c r="A898" s="23"/>
      <c r="B898" s="23"/>
      <c r="C898" s="23"/>
      <c r="D898" s="23"/>
      <c r="E898" s="23"/>
      <c r="F898" s="23"/>
      <c r="G898" s="23"/>
      <c r="H898" s="23"/>
      <c r="I898" s="23"/>
      <c r="J898" s="23"/>
      <c r="K898" s="23"/>
      <c r="L898" s="23"/>
      <c r="M898" s="23"/>
      <c r="N898" s="23"/>
      <c r="O898" s="23"/>
      <c r="P898" s="23"/>
      <c r="Q898" s="23"/>
      <c r="R898" s="23"/>
      <c r="S898" s="23"/>
      <c r="T898" s="23"/>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row>
    <row r="899" spans="1:50" x14ac:dyDescent="0.35">
      <c r="A899" s="23"/>
      <c r="B899" s="23"/>
      <c r="C899" s="23"/>
      <c r="D899" s="23"/>
      <c r="E899" s="23"/>
      <c r="F899" s="23"/>
      <c r="G899" s="23"/>
      <c r="H899" s="23"/>
      <c r="I899" s="23"/>
      <c r="J899" s="23"/>
      <c r="K899" s="23"/>
      <c r="L899" s="23"/>
      <c r="M899" s="23"/>
      <c r="N899" s="23"/>
      <c r="O899" s="23"/>
      <c r="P899" s="23"/>
      <c r="Q899" s="23"/>
      <c r="R899" s="23"/>
      <c r="S899" s="23"/>
      <c r="T899" s="23"/>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row>
    <row r="900" spans="1:50" x14ac:dyDescent="0.35">
      <c r="A900" s="23"/>
      <c r="B900" s="23"/>
      <c r="C900" s="23"/>
      <c r="D900" s="23"/>
      <c r="E900" s="23"/>
      <c r="F900" s="23"/>
      <c r="G900" s="23"/>
      <c r="H900" s="23"/>
      <c r="I900" s="23"/>
      <c r="J900" s="23"/>
      <c r="K900" s="23"/>
      <c r="L900" s="23"/>
      <c r="M900" s="23"/>
      <c r="N900" s="23"/>
      <c r="O900" s="23"/>
      <c r="P900" s="23"/>
      <c r="Q900" s="23"/>
      <c r="R900" s="23"/>
      <c r="S900" s="23"/>
      <c r="T900" s="23"/>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row>
    <row r="901" spans="1:50" x14ac:dyDescent="0.35">
      <c r="A901" s="23"/>
      <c r="B901" s="23"/>
      <c r="C901" s="23"/>
      <c r="D901" s="23"/>
      <c r="E901" s="23"/>
      <c r="F901" s="23"/>
      <c r="G901" s="23"/>
      <c r="H901" s="23"/>
      <c r="I901" s="23"/>
      <c r="J901" s="23"/>
      <c r="K901" s="23"/>
      <c r="L901" s="23"/>
      <c r="M901" s="23"/>
      <c r="N901" s="23"/>
      <c r="O901" s="23"/>
      <c r="P901" s="23"/>
      <c r="Q901" s="23"/>
      <c r="R901" s="23"/>
      <c r="S901" s="23"/>
      <c r="T901" s="23"/>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row>
    <row r="902" spans="1:50" x14ac:dyDescent="0.35">
      <c r="A902" s="23"/>
      <c r="B902" s="23"/>
      <c r="C902" s="23"/>
      <c r="D902" s="23"/>
      <c r="E902" s="23"/>
      <c r="F902" s="23"/>
      <c r="G902" s="23"/>
      <c r="H902" s="23"/>
      <c r="I902" s="23"/>
      <c r="J902" s="23"/>
      <c r="K902" s="23"/>
      <c r="L902" s="23"/>
      <c r="M902" s="23"/>
      <c r="N902" s="23"/>
      <c r="O902" s="23"/>
      <c r="P902" s="23"/>
      <c r="Q902" s="23"/>
      <c r="R902" s="23"/>
      <c r="S902" s="23"/>
      <c r="T902" s="23"/>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row>
    <row r="903" spans="1:50" x14ac:dyDescent="0.35">
      <c r="A903" s="23"/>
      <c r="B903" s="23"/>
      <c r="C903" s="23"/>
      <c r="D903" s="23"/>
      <c r="E903" s="23"/>
      <c r="F903" s="23"/>
      <c r="G903" s="23"/>
      <c r="H903" s="23"/>
      <c r="I903" s="23"/>
      <c r="J903" s="23"/>
      <c r="K903" s="23"/>
      <c r="L903" s="23"/>
      <c r="M903" s="23"/>
      <c r="N903" s="23"/>
      <c r="O903" s="23"/>
      <c r="P903" s="23"/>
      <c r="Q903" s="23"/>
      <c r="R903" s="23"/>
      <c r="S903" s="23"/>
      <c r="T903" s="23"/>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row>
    <row r="904" spans="1:50" x14ac:dyDescent="0.35">
      <c r="A904" s="23"/>
      <c r="B904" s="23"/>
      <c r="C904" s="23"/>
      <c r="D904" s="23"/>
      <c r="E904" s="23"/>
      <c r="F904" s="23"/>
      <c r="G904" s="23"/>
      <c r="H904" s="23"/>
      <c r="I904" s="23"/>
      <c r="J904" s="23"/>
      <c r="K904" s="23"/>
      <c r="L904" s="23"/>
      <c r="M904" s="23"/>
      <c r="N904" s="23"/>
      <c r="O904" s="23"/>
      <c r="P904" s="23"/>
      <c r="Q904" s="23"/>
      <c r="R904" s="23"/>
      <c r="S904" s="23"/>
      <c r="T904" s="23"/>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row>
    <row r="905" spans="1:50" x14ac:dyDescent="0.35">
      <c r="A905" s="23"/>
      <c r="B905" s="23"/>
      <c r="C905" s="23"/>
      <c r="D905" s="23"/>
      <c r="E905" s="23"/>
      <c r="F905" s="23"/>
      <c r="G905" s="23"/>
      <c r="H905" s="23"/>
      <c r="I905" s="23"/>
      <c r="J905" s="23"/>
      <c r="K905" s="23"/>
      <c r="L905" s="23"/>
      <c r="M905" s="23"/>
      <c r="N905" s="23"/>
      <c r="O905" s="23"/>
      <c r="P905" s="23"/>
      <c r="Q905" s="23"/>
      <c r="R905" s="23"/>
      <c r="S905" s="23"/>
      <c r="T905" s="23"/>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row>
    <row r="906" spans="1:50" x14ac:dyDescent="0.35">
      <c r="A906" s="23"/>
      <c r="B906" s="23"/>
      <c r="C906" s="23"/>
      <c r="D906" s="23"/>
      <c r="E906" s="23"/>
      <c r="F906" s="23"/>
      <c r="G906" s="23"/>
      <c r="H906" s="23"/>
      <c r="I906" s="23"/>
      <c r="J906" s="23"/>
      <c r="K906" s="23"/>
      <c r="L906" s="23"/>
      <c r="M906" s="23"/>
      <c r="N906" s="23"/>
      <c r="O906" s="23"/>
      <c r="P906" s="23"/>
      <c r="Q906" s="23"/>
      <c r="R906" s="23"/>
      <c r="S906" s="23"/>
      <c r="T906" s="23"/>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row>
    <row r="907" spans="1:50" x14ac:dyDescent="0.35">
      <c r="A907" s="23"/>
      <c r="B907" s="23"/>
      <c r="C907" s="23"/>
      <c r="D907" s="23"/>
      <c r="E907" s="23"/>
      <c r="F907" s="23"/>
      <c r="G907" s="23"/>
      <c r="H907" s="23"/>
      <c r="I907" s="23"/>
      <c r="J907" s="23"/>
      <c r="K907" s="23"/>
      <c r="L907" s="23"/>
      <c r="M907" s="23"/>
      <c r="N907" s="23"/>
      <c r="O907" s="23"/>
      <c r="P907" s="23"/>
      <c r="Q907" s="23"/>
      <c r="R907" s="23"/>
      <c r="S907" s="23"/>
      <c r="T907" s="23"/>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row>
    <row r="908" spans="1:50" x14ac:dyDescent="0.35">
      <c r="A908" s="23"/>
      <c r="B908" s="23"/>
      <c r="C908" s="23"/>
      <c r="D908" s="23"/>
      <c r="E908" s="23"/>
      <c r="F908" s="23"/>
      <c r="G908" s="23"/>
      <c r="H908" s="23"/>
      <c r="I908" s="23"/>
      <c r="J908" s="23"/>
      <c r="K908" s="23"/>
      <c r="L908" s="23"/>
      <c r="M908" s="23"/>
      <c r="N908" s="23"/>
      <c r="O908" s="23"/>
      <c r="P908" s="23"/>
      <c r="Q908" s="23"/>
      <c r="R908" s="23"/>
      <c r="S908" s="23"/>
      <c r="T908" s="23"/>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row>
    <row r="909" spans="1:50" x14ac:dyDescent="0.35">
      <c r="A909" s="23"/>
      <c r="B909" s="23"/>
      <c r="C909" s="23"/>
      <c r="D909" s="23"/>
      <c r="E909" s="23"/>
      <c r="F909" s="23"/>
      <c r="G909" s="23"/>
      <c r="H909" s="23"/>
      <c r="I909" s="23"/>
      <c r="J909" s="23"/>
      <c r="K909" s="23"/>
      <c r="L909" s="23"/>
      <c r="M909" s="23"/>
      <c r="N909" s="23"/>
      <c r="O909" s="23"/>
      <c r="P909" s="23"/>
      <c r="Q909" s="23"/>
      <c r="R909" s="23"/>
      <c r="S909" s="23"/>
      <c r="T909" s="23"/>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row>
    <row r="910" spans="1:50" x14ac:dyDescent="0.35">
      <c r="A910" s="23"/>
      <c r="B910" s="23"/>
      <c r="C910" s="23"/>
      <c r="D910" s="23"/>
      <c r="E910" s="23"/>
      <c r="F910" s="23"/>
      <c r="G910" s="23"/>
      <c r="H910" s="23"/>
      <c r="I910" s="23"/>
      <c r="J910" s="23"/>
      <c r="K910" s="23"/>
      <c r="L910" s="23"/>
      <c r="M910" s="23"/>
      <c r="N910" s="23"/>
      <c r="O910" s="23"/>
      <c r="P910" s="23"/>
      <c r="Q910" s="23"/>
      <c r="R910" s="23"/>
      <c r="S910" s="23"/>
      <c r="T910" s="23"/>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row>
    <row r="911" spans="1:50" x14ac:dyDescent="0.35">
      <c r="A911" s="23"/>
      <c r="B911" s="23"/>
      <c r="C911" s="23"/>
      <c r="D911" s="23"/>
      <c r="E911" s="23"/>
      <c r="F911" s="23"/>
      <c r="G911" s="23"/>
      <c r="H911" s="23"/>
      <c r="I911" s="23"/>
      <c r="J911" s="23"/>
      <c r="K911" s="23"/>
      <c r="L911" s="23"/>
      <c r="M911" s="23"/>
      <c r="N911" s="23"/>
      <c r="O911" s="23"/>
      <c r="P911" s="23"/>
      <c r="Q911" s="23"/>
      <c r="R911" s="23"/>
      <c r="S911" s="23"/>
      <c r="T911" s="23"/>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row>
    <row r="912" spans="1:50" x14ac:dyDescent="0.35">
      <c r="A912" s="23"/>
      <c r="B912" s="23"/>
      <c r="C912" s="23"/>
      <c r="D912" s="23"/>
      <c r="E912" s="23"/>
      <c r="F912" s="23"/>
      <c r="G912" s="23"/>
      <c r="H912" s="23"/>
      <c r="I912" s="23"/>
      <c r="J912" s="23"/>
      <c r="K912" s="23"/>
      <c r="L912" s="23"/>
      <c r="M912" s="23"/>
      <c r="N912" s="23"/>
      <c r="O912" s="23"/>
      <c r="P912" s="23"/>
      <c r="Q912" s="23"/>
      <c r="R912" s="23"/>
      <c r="S912" s="23"/>
      <c r="T912" s="23"/>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row>
    <row r="913" spans="1:50" x14ac:dyDescent="0.35">
      <c r="A913" s="23"/>
      <c r="B913" s="23"/>
      <c r="C913" s="23"/>
      <c r="D913" s="23"/>
      <c r="E913" s="23"/>
      <c r="F913" s="23"/>
      <c r="G913" s="23"/>
      <c r="H913" s="23"/>
      <c r="I913" s="23"/>
      <c r="J913" s="23"/>
      <c r="K913" s="23"/>
      <c r="L913" s="23"/>
      <c r="M913" s="23"/>
      <c r="N913" s="23"/>
      <c r="O913" s="23"/>
      <c r="P913" s="23"/>
      <c r="Q913" s="23"/>
      <c r="R913" s="23"/>
      <c r="S913" s="23"/>
      <c r="T913" s="23"/>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row>
    <row r="914" spans="1:50" x14ac:dyDescent="0.35">
      <c r="A914" s="23"/>
      <c r="B914" s="23"/>
      <c r="C914" s="23"/>
      <c r="D914" s="23"/>
      <c r="E914" s="23"/>
      <c r="F914" s="23"/>
      <c r="G914" s="23"/>
      <c r="H914" s="23"/>
      <c r="I914" s="23"/>
      <c r="J914" s="23"/>
      <c r="K914" s="23"/>
      <c r="L914" s="23"/>
      <c r="M914" s="23"/>
      <c r="N914" s="23"/>
      <c r="O914" s="23"/>
      <c r="P914" s="23"/>
      <c r="Q914" s="23"/>
      <c r="R914" s="23"/>
      <c r="S914" s="23"/>
      <c r="T914" s="23"/>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row>
    <row r="915" spans="1:50" x14ac:dyDescent="0.35">
      <c r="A915" s="23"/>
      <c r="B915" s="23"/>
      <c r="C915" s="23"/>
      <c r="D915" s="23"/>
      <c r="E915" s="23"/>
      <c r="F915" s="23"/>
      <c r="G915" s="23"/>
      <c r="H915" s="23"/>
      <c r="I915" s="23"/>
      <c r="J915" s="23"/>
      <c r="K915" s="23"/>
      <c r="L915" s="23"/>
      <c r="M915" s="23"/>
      <c r="N915" s="23"/>
      <c r="O915" s="23"/>
      <c r="P915" s="23"/>
      <c r="Q915" s="23"/>
      <c r="R915" s="23"/>
      <c r="S915" s="23"/>
      <c r="T915" s="23"/>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row>
    <row r="916" spans="1:50" x14ac:dyDescent="0.35">
      <c r="A916" s="23"/>
      <c r="B916" s="23"/>
      <c r="C916" s="23"/>
      <c r="D916" s="23"/>
      <c r="E916" s="23"/>
      <c r="F916" s="23"/>
      <c r="G916" s="23"/>
      <c r="H916" s="23"/>
      <c r="I916" s="23"/>
      <c r="J916" s="23"/>
      <c r="K916" s="23"/>
      <c r="L916" s="23"/>
      <c r="M916" s="23"/>
      <c r="N916" s="23"/>
      <c r="O916" s="23"/>
      <c r="P916" s="23"/>
      <c r="Q916" s="23"/>
      <c r="R916" s="23"/>
      <c r="S916" s="23"/>
      <c r="T916" s="23"/>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row>
    <row r="917" spans="1:50" x14ac:dyDescent="0.35">
      <c r="A917" s="23"/>
      <c r="B917" s="23"/>
      <c r="C917" s="23"/>
      <c r="D917" s="23"/>
      <c r="E917" s="23"/>
      <c r="F917" s="23"/>
      <c r="G917" s="23"/>
      <c r="H917" s="23"/>
      <c r="I917" s="23"/>
      <c r="J917" s="23"/>
      <c r="K917" s="23"/>
      <c r="L917" s="23"/>
      <c r="M917" s="23"/>
      <c r="N917" s="23"/>
      <c r="O917" s="23"/>
      <c r="P917" s="23"/>
      <c r="Q917" s="23"/>
      <c r="R917" s="23"/>
      <c r="S917" s="23"/>
      <c r="T917" s="23"/>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row>
    <row r="918" spans="1:50" x14ac:dyDescent="0.35">
      <c r="A918" s="23"/>
      <c r="B918" s="23"/>
      <c r="C918" s="23"/>
      <c r="D918" s="23"/>
      <c r="E918" s="23"/>
      <c r="F918" s="23"/>
      <c r="G918" s="23"/>
      <c r="H918" s="23"/>
      <c r="I918" s="23"/>
      <c r="J918" s="23"/>
      <c r="K918" s="23"/>
      <c r="L918" s="23"/>
      <c r="M918" s="23"/>
      <c r="N918" s="23"/>
      <c r="O918" s="23"/>
      <c r="P918" s="23"/>
      <c r="Q918" s="23"/>
      <c r="R918" s="23"/>
      <c r="S918" s="23"/>
      <c r="T918" s="23"/>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row>
    <row r="919" spans="1:50" x14ac:dyDescent="0.35">
      <c r="A919" s="23"/>
      <c r="B919" s="23"/>
      <c r="C919" s="23"/>
      <c r="D919" s="23"/>
      <c r="E919" s="23"/>
      <c r="F919" s="23"/>
      <c r="G919" s="23"/>
      <c r="H919" s="23"/>
      <c r="I919" s="23"/>
      <c r="J919" s="23"/>
      <c r="K919" s="23"/>
      <c r="L919" s="23"/>
      <c r="M919" s="23"/>
      <c r="N919" s="23"/>
      <c r="O919" s="23"/>
      <c r="P919" s="23"/>
      <c r="Q919" s="23"/>
      <c r="R919" s="23"/>
      <c r="S919" s="23"/>
      <c r="T919" s="23"/>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row>
    <row r="920" spans="1:50" x14ac:dyDescent="0.35">
      <c r="A920" s="23"/>
      <c r="B920" s="23"/>
      <c r="C920" s="23"/>
      <c r="D920" s="23"/>
      <c r="E920" s="23"/>
      <c r="F920" s="23"/>
      <c r="G920" s="23"/>
      <c r="H920" s="23"/>
      <c r="I920" s="23"/>
      <c r="J920" s="23"/>
      <c r="K920" s="23"/>
      <c r="L920" s="23"/>
      <c r="M920" s="23"/>
      <c r="N920" s="23"/>
      <c r="O920" s="23"/>
      <c r="P920" s="23"/>
      <c r="Q920" s="23"/>
      <c r="R920" s="23"/>
      <c r="S920" s="23"/>
      <c r="T920" s="23"/>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row>
    <row r="921" spans="1:50" x14ac:dyDescent="0.35">
      <c r="A921" s="23"/>
      <c r="B921" s="23"/>
      <c r="C921" s="23"/>
      <c r="D921" s="23"/>
      <c r="E921" s="23"/>
      <c r="F921" s="23"/>
      <c r="G921" s="23"/>
      <c r="H921" s="23"/>
      <c r="I921" s="23"/>
      <c r="J921" s="23"/>
      <c r="K921" s="23"/>
      <c r="L921" s="23"/>
      <c r="M921" s="23"/>
      <c r="N921" s="23"/>
      <c r="O921" s="23"/>
      <c r="P921" s="23"/>
      <c r="Q921" s="23"/>
      <c r="R921" s="23"/>
      <c r="S921" s="23"/>
      <c r="T921" s="23"/>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row>
    <row r="922" spans="1:50" x14ac:dyDescent="0.35">
      <c r="A922" s="23"/>
      <c r="B922" s="23"/>
      <c r="C922" s="23"/>
      <c r="D922" s="23"/>
      <c r="E922" s="23"/>
      <c r="F922" s="23"/>
      <c r="G922" s="23"/>
      <c r="H922" s="23"/>
      <c r="I922" s="23"/>
      <c r="J922" s="23"/>
      <c r="K922" s="23"/>
      <c r="L922" s="23"/>
      <c r="M922" s="23"/>
      <c r="N922" s="23"/>
      <c r="O922" s="23"/>
      <c r="P922" s="23"/>
      <c r="Q922" s="23"/>
      <c r="R922" s="23"/>
      <c r="S922" s="23"/>
      <c r="T922" s="23"/>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row>
    <row r="923" spans="1:50" x14ac:dyDescent="0.35">
      <c r="A923" s="23"/>
      <c r="B923" s="23"/>
      <c r="C923" s="23"/>
      <c r="D923" s="23"/>
      <c r="E923" s="23"/>
      <c r="F923" s="23"/>
      <c r="G923" s="23"/>
      <c r="H923" s="23"/>
      <c r="I923" s="23"/>
      <c r="J923" s="23"/>
      <c r="K923" s="23"/>
      <c r="L923" s="23"/>
      <c r="M923" s="23"/>
      <c r="N923" s="23"/>
      <c r="O923" s="23"/>
      <c r="P923" s="23"/>
      <c r="Q923" s="23"/>
      <c r="R923" s="23"/>
      <c r="S923" s="23"/>
      <c r="T923" s="23"/>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row>
    <row r="924" spans="1:50" x14ac:dyDescent="0.35">
      <c r="A924" s="23"/>
      <c r="B924" s="23"/>
      <c r="C924" s="23"/>
      <c r="D924" s="23"/>
      <c r="E924" s="23"/>
      <c r="F924" s="23"/>
      <c r="G924" s="23"/>
      <c r="H924" s="23"/>
      <c r="I924" s="23"/>
      <c r="J924" s="23"/>
      <c r="K924" s="23"/>
      <c r="L924" s="23"/>
      <c r="M924" s="23"/>
      <c r="N924" s="23"/>
      <c r="O924" s="23"/>
      <c r="P924" s="23"/>
      <c r="Q924" s="23"/>
      <c r="R924" s="23"/>
      <c r="S924" s="23"/>
      <c r="T924" s="23"/>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row>
    <row r="925" spans="1:50" x14ac:dyDescent="0.35">
      <c r="A925" s="23"/>
      <c r="B925" s="23"/>
      <c r="C925" s="23"/>
      <c r="D925" s="23"/>
      <c r="E925" s="23"/>
      <c r="F925" s="23"/>
      <c r="G925" s="23"/>
      <c r="H925" s="23"/>
      <c r="I925" s="23"/>
      <c r="J925" s="23"/>
      <c r="K925" s="23"/>
      <c r="L925" s="23"/>
      <c r="M925" s="23"/>
      <c r="N925" s="23"/>
      <c r="O925" s="23"/>
      <c r="P925" s="23"/>
      <c r="Q925" s="23"/>
      <c r="R925" s="23"/>
      <c r="S925" s="23"/>
      <c r="T925" s="23"/>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row>
    <row r="926" spans="1:50" x14ac:dyDescent="0.35">
      <c r="A926" s="23"/>
      <c r="B926" s="23"/>
      <c r="C926" s="23"/>
      <c r="D926" s="23"/>
      <c r="E926" s="23"/>
      <c r="F926" s="23"/>
      <c r="G926" s="23"/>
      <c r="H926" s="23"/>
      <c r="I926" s="23"/>
      <c r="J926" s="23"/>
      <c r="K926" s="23"/>
      <c r="L926" s="23"/>
      <c r="M926" s="23"/>
      <c r="N926" s="23"/>
      <c r="O926" s="23"/>
      <c r="P926" s="23"/>
      <c r="Q926" s="23"/>
      <c r="R926" s="23"/>
      <c r="S926" s="23"/>
      <c r="T926" s="23"/>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row>
    <row r="927" spans="1:50" x14ac:dyDescent="0.35">
      <c r="A927" s="23"/>
      <c r="B927" s="23"/>
      <c r="C927" s="23"/>
      <c r="D927" s="23"/>
      <c r="E927" s="23"/>
      <c r="F927" s="23"/>
      <c r="G927" s="23"/>
      <c r="H927" s="23"/>
      <c r="I927" s="23"/>
      <c r="J927" s="23"/>
      <c r="K927" s="23"/>
      <c r="L927" s="23"/>
      <c r="M927" s="23"/>
      <c r="N927" s="23"/>
      <c r="O927" s="23"/>
      <c r="P927" s="23"/>
      <c r="Q927" s="23"/>
      <c r="R927" s="23"/>
      <c r="S927" s="23"/>
      <c r="T927" s="23"/>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row>
    <row r="928" spans="1:50" x14ac:dyDescent="0.35">
      <c r="A928" s="23"/>
      <c r="B928" s="23"/>
      <c r="C928" s="23"/>
      <c r="D928" s="23"/>
      <c r="E928" s="23"/>
      <c r="F928" s="23"/>
      <c r="G928" s="23"/>
      <c r="H928" s="23"/>
      <c r="I928" s="23"/>
      <c r="J928" s="23"/>
      <c r="K928" s="23"/>
      <c r="L928" s="23"/>
      <c r="M928" s="23"/>
      <c r="N928" s="23"/>
      <c r="O928" s="23"/>
      <c r="P928" s="23"/>
      <c r="Q928" s="23"/>
      <c r="R928" s="23"/>
      <c r="S928" s="23"/>
      <c r="T928" s="23"/>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row>
    <row r="929" spans="1:50" x14ac:dyDescent="0.35">
      <c r="A929" s="23"/>
      <c r="B929" s="23"/>
      <c r="C929" s="23"/>
      <c r="D929" s="23"/>
      <c r="E929" s="23"/>
      <c r="F929" s="23"/>
      <c r="G929" s="23"/>
      <c r="H929" s="23"/>
      <c r="I929" s="23"/>
      <c r="J929" s="23"/>
      <c r="K929" s="23"/>
      <c r="L929" s="23"/>
      <c r="M929" s="23"/>
      <c r="N929" s="23"/>
      <c r="O929" s="23"/>
      <c r="P929" s="23"/>
      <c r="Q929" s="23"/>
      <c r="R929" s="23"/>
      <c r="S929" s="23"/>
      <c r="T929" s="23"/>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row>
    <row r="930" spans="1:50" x14ac:dyDescent="0.35">
      <c r="A930" s="23"/>
      <c r="B930" s="23"/>
      <c r="C930" s="23"/>
      <c r="D930" s="23"/>
      <c r="E930" s="23"/>
      <c r="F930" s="23"/>
      <c r="G930" s="23"/>
      <c r="H930" s="23"/>
      <c r="I930" s="23"/>
      <c r="J930" s="23"/>
      <c r="K930" s="23"/>
      <c r="L930" s="23"/>
      <c r="M930" s="23"/>
      <c r="N930" s="23"/>
      <c r="O930" s="23"/>
      <c r="P930" s="23"/>
      <c r="Q930" s="23"/>
      <c r="R930" s="23"/>
      <c r="S930" s="23"/>
      <c r="T930" s="23"/>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row>
    <row r="931" spans="1:50" x14ac:dyDescent="0.35">
      <c r="A931" s="23"/>
      <c r="B931" s="23"/>
      <c r="C931" s="23"/>
      <c r="D931" s="23"/>
      <c r="E931" s="23"/>
      <c r="F931" s="23"/>
      <c r="G931" s="23"/>
      <c r="H931" s="23"/>
      <c r="I931" s="23"/>
      <c r="J931" s="23"/>
      <c r="K931" s="23"/>
      <c r="L931" s="23"/>
      <c r="M931" s="23"/>
      <c r="N931" s="23"/>
      <c r="O931" s="23"/>
      <c r="P931" s="23"/>
      <c r="Q931" s="23"/>
      <c r="R931" s="23"/>
      <c r="S931" s="23"/>
      <c r="T931" s="23"/>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row>
    <row r="932" spans="1:50" x14ac:dyDescent="0.35">
      <c r="A932" s="23"/>
      <c r="B932" s="23"/>
      <c r="C932" s="23"/>
      <c r="D932" s="23"/>
      <c r="E932" s="23"/>
      <c r="F932" s="23"/>
      <c r="G932" s="23"/>
      <c r="H932" s="23"/>
      <c r="I932" s="23"/>
      <c r="J932" s="23"/>
      <c r="K932" s="23"/>
      <c r="L932" s="23"/>
      <c r="M932" s="23"/>
      <c r="N932" s="23"/>
      <c r="O932" s="23"/>
      <c r="P932" s="23"/>
      <c r="Q932" s="23"/>
      <c r="R932" s="23"/>
      <c r="S932" s="23"/>
      <c r="T932" s="23"/>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row>
    <row r="933" spans="1:50" x14ac:dyDescent="0.35">
      <c r="A933" s="23"/>
      <c r="B933" s="23"/>
      <c r="C933" s="23"/>
      <c r="D933" s="23"/>
      <c r="E933" s="23"/>
      <c r="F933" s="23"/>
      <c r="G933" s="23"/>
      <c r="H933" s="23"/>
      <c r="I933" s="23"/>
      <c r="J933" s="23"/>
      <c r="K933" s="23"/>
      <c r="L933" s="23"/>
      <c r="M933" s="23"/>
      <c r="N933" s="23"/>
      <c r="O933" s="23"/>
      <c r="P933" s="23"/>
      <c r="Q933" s="23"/>
      <c r="R933" s="23"/>
      <c r="S933" s="23"/>
      <c r="T933" s="23"/>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row>
    <row r="934" spans="1:50" x14ac:dyDescent="0.35">
      <c r="A934" s="23"/>
      <c r="B934" s="23"/>
      <c r="C934" s="23"/>
      <c r="D934" s="23"/>
      <c r="E934" s="23"/>
      <c r="F934" s="23"/>
      <c r="G934" s="23"/>
      <c r="H934" s="23"/>
      <c r="I934" s="23"/>
      <c r="J934" s="23"/>
      <c r="K934" s="23"/>
      <c r="L934" s="23"/>
      <c r="M934" s="23"/>
      <c r="N934" s="23"/>
      <c r="O934" s="23"/>
      <c r="P934" s="23"/>
      <c r="Q934" s="23"/>
      <c r="R934" s="23"/>
      <c r="S934" s="23"/>
      <c r="T934" s="23"/>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row>
    <row r="935" spans="1:50" x14ac:dyDescent="0.35">
      <c r="A935" s="23"/>
      <c r="B935" s="23"/>
      <c r="C935" s="23"/>
      <c r="D935" s="23"/>
      <c r="E935" s="23"/>
      <c r="F935" s="23"/>
      <c r="G935" s="23"/>
      <c r="H935" s="23"/>
      <c r="I935" s="23"/>
      <c r="J935" s="23"/>
      <c r="K935" s="23"/>
      <c r="L935" s="23"/>
      <c r="M935" s="23"/>
      <c r="N935" s="23"/>
      <c r="O935" s="23"/>
      <c r="P935" s="23"/>
      <c r="Q935" s="23"/>
      <c r="R935" s="23"/>
      <c r="S935" s="23"/>
      <c r="T935" s="23"/>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row>
    <row r="936" spans="1:50" x14ac:dyDescent="0.35">
      <c r="A936" s="23"/>
      <c r="B936" s="23"/>
      <c r="C936" s="23"/>
      <c r="D936" s="23"/>
      <c r="E936" s="23"/>
      <c r="F936" s="23"/>
      <c r="G936" s="23"/>
      <c r="H936" s="23"/>
      <c r="I936" s="23"/>
      <c r="J936" s="23"/>
      <c r="K936" s="23"/>
      <c r="L936" s="23"/>
      <c r="M936" s="23"/>
      <c r="N936" s="23"/>
      <c r="O936" s="23"/>
      <c r="P936" s="23"/>
      <c r="Q936" s="23"/>
      <c r="R936" s="23"/>
      <c r="S936" s="23"/>
      <c r="T936" s="23"/>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row>
    <row r="937" spans="1:50" x14ac:dyDescent="0.35">
      <c r="A937" s="23"/>
      <c r="B937" s="23"/>
      <c r="C937" s="23"/>
      <c r="D937" s="23"/>
      <c r="E937" s="23"/>
      <c r="F937" s="23"/>
      <c r="G937" s="23"/>
      <c r="H937" s="23"/>
      <c r="I937" s="23"/>
      <c r="J937" s="23"/>
      <c r="K937" s="23"/>
      <c r="L937" s="23"/>
      <c r="M937" s="23"/>
      <c r="N937" s="23"/>
      <c r="O937" s="23"/>
      <c r="P937" s="23"/>
      <c r="Q937" s="23"/>
      <c r="R937" s="23"/>
      <c r="S937" s="23"/>
      <c r="T937" s="23"/>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row>
    <row r="938" spans="1:50" x14ac:dyDescent="0.35">
      <c r="A938" s="23"/>
      <c r="B938" s="23"/>
      <c r="C938" s="23"/>
      <c r="D938" s="23"/>
      <c r="E938" s="23"/>
      <c r="F938" s="23"/>
      <c r="G938" s="23"/>
      <c r="H938" s="23"/>
      <c r="I938" s="23"/>
      <c r="J938" s="23"/>
      <c r="K938" s="23"/>
      <c r="L938" s="23"/>
      <c r="M938" s="23"/>
      <c r="N938" s="23"/>
      <c r="O938" s="23"/>
      <c r="P938" s="23"/>
      <c r="Q938" s="23"/>
      <c r="R938" s="23"/>
      <c r="S938" s="23"/>
      <c r="T938" s="23"/>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row>
    <row r="939" spans="1:50" x14ac:dyDescent="0.35">
      <c r="A939" s="23"/>
      <c r="B939" s="23"/>
      <c r="C939" s="23"/>
      <c r="D939" s="23"/>
      <c r="E939" s="23"/>
      <c r="F939" s="23"/>
      <c r="G939" s="23"/>
      <c r="H939" s="23"/>
      <c r="I939" s="23"/>
      <c r="J939" s="23"/>
      <c r="K939" s="23"/>
      <c r="L939" s="23"/>
      <c r="M939" s="23"/>
      <c r="N939" s="23"/>
      <c r="O939" s="23"/>
      <c r="P939" s="23"/>
      <c r="Q939" s="23"/>
      <c r="R939" s="23"/>
      <c r="S939" s="23"/>
      <c r="T939" s="23"/>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row>
    <row r="940" spans="1:50" x14ac:dyDescent="0.35">
      <c r="A940" s="23"/>
      <c r="B940" s="23"/>
      <c r="C940" s="23"/>
      <c r="D940" s="23"/>
      <c r="E940" s="23"/>
      <c r="F940" s="23"/>
      <c r="G940" s="23"/>
      <c r="H940" s="23"/>
      <c r="I940" s="23"/>
      <c r="J940" s="23"/>
      <c r="K940" s="23"/>
      <c r="L940" s="23"/>
      <c r="M940" s="23"/>
      <c r="N940" s="23"/>
      <c r="O940" s="23"/>
      <c r="P940" s="23"/>
      <c r="Q940" s="23"/>
      <c r="R940" s="23"/>
      <c r="S940" s="23"/>
      <c r="T940" s="23"/>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row>
    <row r="941" spans="1:50" x14ac:dyDescent="0.35">
      <c r="A941" s="23"/>
      <c r="B941" s="23"/>
      <c r="C941" s="23"/>
      <c r="D941" s="23"/>
      <c r="E941" s="23"/>
      <c r="F941" s="23"/>
      <c r="G941" s="23"/>
      <c r="H941" s="23"/>
      <c r="I941" s="23"/>
      <c r="J941" s="23"/>
      <c r="K941" s="23"/>
      <c r="L941" s="23"/>
      <c r="M941" s="23"/>
      <c r="N941" s="23"/>
      <c r="O941" s="23"/>
      <c r="P941" s="23"/>
      <c r="Q941" s="23"/>
      <c r="R941" s="23"/>
      <c r="S941" s="23"/>
      <c r="T941" s="23"/>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row>
    <row r="942" spans="1:50" x14ac:dyDescent="0.35">
      <c r="A942" s="23"/>
      <c r="B942" s="23"/>
      <c r="C942" s="23"/>
      <c r="D942" s="23"/>
      <c r="E942" s="23"/>
      <c r="F942" s="23"/>
      <c r="G942" s="23"/>
      <c r="H942" s="23"/>
      <c r="I942" s="23"/>
      <c r="J942" s="23"/>
      <c r="K942" s="23"/>
      <c r="L942" s="23"/>
      <c r="M942" s="23"/>
      <c r="N942" s="23"/>
      <c r="O942" s="23"/>
      <c r="P942" s="23"/>
      <c r="Q942" s="23"/>
      <c r="R942" s="23"/>
      <c r="S942" s="23"/>
      <c r="T942" s="23"/>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row>
    <row r="943" spans="1:50" x14ac:dyDescent="0.35">
      <c r="A943" s="23"/>
      <c r="B943" s="23"/>
      <c r="C943" s="23"/>
      <c r="D943" s="23"/>
      <c r="E943" s="23"/>
      <c r="F943" s="23"/>
      <c r="G943" s="23"/>
      <c r="H943" s="23"/>
      <c r="I943" s="23"/>
      <c r="J943" s="23"/>
      <c r="K943" s="23"/>
      <c r="L943" s="23"/>
      <c r="M943" s="23"/>
      <c r="N943" s="23"/>
      <c r="O943" s="23"/>
      <c r="P943" s="23"/>
      <c r="Q943" s="23"/>
      <c r="R943" s="23"/>
      <c r="S943" s="23"/>
      <c r="T943" s="23"/>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row>
    <row r="944" spans="1:50" x14ac:dyDescent="0.35">
      <c r="A944" s="23"/>
      <c r="B944" s="23"/>
      <c r="C944" s="23"/>
      <c r="D944" s="23"/>
      <c r="E944" s="23"/>
      <c r="F944" s="23"/>
      <c r="G944" s="23"/>
      <c r="H944" s="23"/>
      <c r="I944" s="23"/>
      <c r="J944" s="23"/>
      <c r="K944" s="23"/>
      <c r="L944" s="23"/>
      <c r="M944" s="23"/>
      <c r="N944" s="23"/>
      <c r="O944" s="23"/>
      <c r="P944" s="23"/>
      <c r="Q944" s="23"/>
      <c r="R944" s="23"/>
      <c r="S944" s="23"/>
      <c r="T944" s="23"/>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row>
    <row r="945" spans="1:50" x14ac:dyDescent="0.35">
      <c r="A945" s="23"/>
      <c r="B945" s="23"/>
      <c r="C945" s="23"/>
      <c r="D945" s="23"/>
      <c r="E945" s="23"/>
      <c r="F945" s="23"/>
      <c r="G945" s="23"/>
      <c r="H945" s="23"/>
      <c r="I945" s="23"/>
      <c r="J945" s="23"/>
      <c r="K945" s="23"/>
      <c r="L945" s="23"/>
      <c r="M945" s="23"/>
      <c r="N945" s="23"/>
      <c r="O945" s="23"/>
      <c r="P945" s="23"/>
      <c r="Q945" s="23"/>
      <c r="R945" s="23"/>
      <c r="S945" s="23"/>
      <c r="T945" s="23"/>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row>
    <row r="946" spans="1:50" x14ac:dyDescent="0.35">
      <c r="A946" s="23"/>
      <c r="B946" s="23"/>
      <c r="C946" s="23"/>
      <c r="D946" s="23"/>
      <c r="E946" s="23"/>
      <c r="F946" s="23"/>
      <c r="G946" s="23"/>
      <c r="H946" s="23"/>
      <c r="I946" s="23"/>
      <c r="J946" s="23"/>
      <c r="K946" s="23"/>
      <c r="L946" s="23"/>
      <c r="M946" s="23"/>
      <c r="N946" s="23"/>
      <c r="O946" s="23"/>
      <c r="P946" s="23"/>
      <c r="Q946" s="23"/>
      <c r="R946" s="23"/>
      <c r="S946" s="23"/>
      <c r="T946" s="23"/>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row>
    <row r="947" spans="1:50" x14ac:dyDescent="0.35">
      <c r="A947" s="23"/>
      <c r="B947" s="23"/>
      <c r="C947" s="23"/>
      <c r="D947" s="23"/>
      <c r="E947" s="23"/>
      <c r="F947" s="23"/>
      <c r="G947" s="23"/>
      <c r="H947" s="23"/>
      <c r="I947" s="23"/>
      <c r="J947" s="23"/>
      <c r="K947" s="23"/>
      <c r="L947" s="23"/>
      <c r="M947" s="23"/>
      <c r="N947" s="23"/>
      <c r="O947" s="23"/>
      <c r="P947" s="23"/>
      <c r="Q947" s="23"/>
      <c r="R947" s="23"/>
      <c r="S947" s="23"/>
      <c r="T947" s="23"/>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row>
    <row r="948" spans="1:50" x14ac:dyDescent="0.35">
      <c r="A948" s="23"/>
      <c r="B948" s="23"/>
      <c r="C948" s="23"/>
      <c r="D948" s="23"/>
      <c r="E948" s="23"/>
      <c r="F948" s="23"/>
      <c r="G948" s="23"/>
      <c r="H948" s="23"/>
      <c r="I948" s="23"/>
      <c r="J948" s="23"/>
      <c r="K948" s="23"/>
      <c r="L948" s="23"/>
      <c r="M948" s="23"/>
      <c r="N948" s="23"/>
      <c r="O948" s="23"/>
      <c r="P948" s="23"/>
      <c r="Q948" s="23"/>
      <c r="R948" s="23"/>
      <c r="S948" s="23"/>
      <c r="T948" s="23"/>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row>
    <row r="949" spans="1:50" x14ac:dyDescent="0.35">
      <c r="A949" s="23"/>
      <c r="B949" s="23"/>
      <c r="C949" s="23"/>
      <c r="D949" s="23"/>
      <c r="E949" s="23"/>
      <c r="F949" s="23"/>
      <c r="G949" s="23"/>
      <c r="H949" s="23"/>
      <c r="I949" s="23"/>
      <c r="J949" s="23"/>
      <c r="K949" s="23"/>
      <c r="L949" s="23"/>
      <c r="M949" s="23"/>
      <c r="N949" s="23"/>
      <c r="O949" s="23"/>
      <c r="P949" s="23"/>
      <c r="Q949" s="23"/>
      <c r="R949" s="23"/>
      <c r="S949" s="23"/>
      <c r="T949" s="23"/>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row>
    <row r="950" spans="1:50" x14ac:dyDescent="0.35">
      <c r="A950" s="23"/>
      <c r="B950" s="23"/>
      <c r="C950" s="23"/>
      <c r="D950" s="23"/>
      <c r="E950" s="23"/>
      <c r="F950" s="23"/>
      <c r="G950" s="23"/>
      <c r="H950" s="23"/>
      <c r="I950" s="23"/>
      <c r="J950" s="23"/>
      <c r="K950" s="23"/>
      <c r="L950" s="23"/>
      <c r="M950" s="23"/>
      <c r="N950" s="23"/>
      <c r="O950" s="23"/>
      <c r="P950" s="23"/>
      <c r="Q950" s="23"/>
      <c r="R950" s="23"/>
      <c r="S950" s="23"/>
      <c r="T950" s="23"/>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row>
    <row r="951" spans="1:50" x14ac:dyDescent="0.35">
      <c r="A951" s="23"/>
      <c r="B951" s="23"/>
      <c r="C951" s="23"/>
      <c r="D951" s="23"/>
      <c r="E951" s="23"/>
      <c r="F951" s="23"/>
      <c r="G951" s="23"/>
      <c r="H951" s="23"/>
      <c r="I951" s="23"/>
      <c r="J951" s="23"/>
      <c r="K951" s="23"/>
      <c r="L951" s="23"/>
      <c r="M951" s="23"/>
      <c r="N951" s="23"/>
      <c r="O951" s="23"/>
      <c r="P951" s="23"/>
      <c r="Q951" s="23"/>
      <c r="R951" s="23"/>
      <c r="S951" s="23"/>
      <c r="T951" s="23"/>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row>
    <row r="952" spans="1:50" x14ac:dyDescent="0.35">
      <c r="A952" s="23"/>
      <c r="B952" s="23"/>
      <c r="C952" s="23"/>
      <c r="D952" s="23"/>
      <c r="E952" s="23"/>
      <c r="F952" s="23"/>
      <c r="G952" s="23"/>
      <c r="H952" s="23"/>
      <c r="I952" s="23"/>
      <c r="J952" s="23"/>
      <c r="K952" s="23"/>
      <c r="L952" s="23"/>
      <c r="M952" s="23"/>
      <c r="N952" s="23"/>
      <c r="O952" s="23"/>
      <c r="P952" s="23"/>
      <c r="Q952" s="23"/>
      <c r="R952" s="23"/>
      <c r="S952" s="23"/>
      <c r="T952" s="23"/>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row>
    <row r="953" spans="1:50" x14ac:dyDescent="0.35">
      <c r="A953" s="23"/>
      <c r="B953" s="23"/>
      <c r="C953" s="23"/>
      <c r="D953" s="23"/>
      <c r="E953" s="23"/>
      <c r="F953" s="23"/>
      <c r="G953" s="23"/>
      <c r="H953" s="23"/>
      <c r="I953" s="23"/>
      <c r="J953" s="23"/>
      <c r="K953" s="23"/>
      <c r="L953" s="23"/>
      <c r="M953" s="23"/>
      <c r="N953" s="23"/>
      <c r="O953" s="23"/>
      <c r="P953" s="23"/>
      <c r="Q953" s="23"/>
      <c r="R953" s="23"/>
      <c r="S953" s="23"/>
      <c r="T953" s="23"/>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row>
    <row r="954" spans="1:50" x14ac:dyDescent="0.35">
      <c r="A954" s="23"/>
      <c r="B954" s="23"/>
      <c r="C954" s="23"/>
      <c r="D954" s="23"/>
      <c r="E954" s="23"/>
      <c r="F954" s="23"/>
      <c r="G954" s="23"/>
      <c r="H954" s="23"/>
      <c r="I954" s="23"/>
      <c r="J954" s="23"/>
      <c r="K954" s="23"/>
      <c r="L954" s="23"/>
      <c r="M954" s="23"/>
      <c r="N954" s="23"/>
      <c r="O954" s="23"/>
      <c r="P954" s="23"/>
      <c r="Q954" s="23"/>
      <c r="R954" s="23"/>
      <c r="S954" s="23"/>
      <c r="T954" s="23"/>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row>
    <row r="955" spans="1:50" x14ac:dyDescent="0.35">
      <c r="A955" s="23"/>
      <c r="B955" s="23"/>
      <c r="C955" s="23"/>
      <c r="D955" s="23"/>
      <c r="E955" s="23"/>
      <c r="F955" s="23"/>
      <c r="G955" s="23"/>
      <c r="H955" s="23"/>
      <c r="I955" s="23"/>
      <c r="J955" s="23"/>
      <c r="K955" s="23"/>
      <c r="L955" s="23"/>
      <c r="M955" s="23"/>
      <c r="N955" s="23"/>
      <c r="O955" s="23"/>
      <c r="P955" s="23"/>
      <c r="Q955" s="23"/>
      <c r="R955" s="23"/>
      <c r="S955" s="23"/>
      <c r="T955" s="23"/>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row>
    <row r="956" spans="1:50" x14ac:dyDescent="0.35">
      <c r="A956" s="23"/>
      <c r="B956" s="23"/>
      <c r="C956" s="23"/>
      <c r="D956" s="23"/>
      <c r="E956" s="23"/>
      <c r="F956" s="23"/>
      <c r="G956" s="23"/>
      <c r="H956" s="23"/>
      <c r="I956" s="23"/>
      <c r="J956" s="23"/>
      <c r="K956" s="23"/>
      <c r="L956" s="23"/>
      <c r="M956" s="23"/>
      <c r="N956" s="23"/>
      <c r="O956" s="23"/>
      <c r="P956" s="23"/>
      <c r="Q956" s="23"/>
      <c r="R956" s="23"/>
      <c r="S956" s="23"/>
      <c r="T956" s="23"/>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row>
    <row r="957" spans="1:50" x14ac:dyDescent="0.35">
      <c r="A957" s="23"/>
      <c r="B957" s="23"/>
      <c r="C957" s="23"/>
      <c r="D957" s="23"/>
      <c r="E957" s="23"/>
      <c r="F957" s="23"/>
      <c r="G957" s="23"/>
      <c r="H957" s="23"/>
      <c r="I957" s="23"/>
      <c r="J957" s="23"/>
      <c r="K957" s="23"/>
      <c r="L957" s="23"/>
      <c r="M957" s="23"/>
      <c r="N957" s="23"/>
      <c r="O957" s="23"/>
      <c r="P957" s="23"/>
      <c r="Q957" s="23"/>
      <c r="R957" s="23"/>
      <c r="S957" s="23"/>
      <c r="T957" s="23"/>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row>
    <row r="958" spans="1:50" x14ac:dyDescent="0.35">
      <c r="A958" s="23"/>
      <c r="B958" s="23"/>
      <c r="C958" s="23"/>
      <c r="D958" s="23"/>
      <c r="E958" s="23"/>
      <c r="F958" s="23"/>
      <c r="G958" s="23"/>
      <c r="H958" s="23"/>
      <c r="I958" s="23"/>
      <c r="J958" s="23"/>
      <c r="K958" s="23"/>
      <c r="L958" s="23"/>
      <c r="M958" s="23"/>
      <c r="N958" s="23"/>
      <c r="O958" s="23"/>
      <c r="P958" s="23"/>
      <c r="Q958" s="23"/>
      <c r="R958" s="23"/>
      <c r="S958" s="23"/>
      <c r="T958" s="23"/>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row>
    <row r="959" spans="1:50" x14ac:dyDescent="0.35">
      <c r="A959" s="23"/>
      <c r="B959" s="23"/>
      <c r="C959" s="23"/>
      <c r="D959" s="23"/>
      <c r="E959" s="23"/>
      <c r="F959" s="23"/>
      <c r="G959" s="23"/>
      <c r="H959" s="23"/>
      <c r="I959" s="23"/>
      <c r="J959" s="23"/>
      <c r="K959" s="23"/>
      <c r="L959" s="23"/>
      <c r="M959" s="23"/>
      <c r="N959" s="23"/>
      <c r="O959" s="23"/>
      <c r="P959" s="23"/>
      <c r="Q959" s="23"/>
      <c r="R959" s="23"/>
      <c r="S959" s="23"/>
      <c r="T959" s="23"/>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row>
    <row r="960" spans="1:50" x14ac:dyDescent="0.35">
      <c r="A960" s="23"/>
      <c r="B960" s="23"/>
      <c r="C960" s="23"/>
      <c r="D960" s="23"/>
      <c r="E960" s="23"/>
      <c r="F960" s="23"/>
      <c r="G960" s="23"/>
      <c r="H960" s="23"/>
      <c r="I960" s="23"/>
      <c r="J960" s="23"/>
      <c r="K960" s="23"/>
      <c r="L960" s="23"/>
      <c r="M960" s="23"/>
      <c r="N960" s="23"/>
      <c r="O960" s="23"/>
      <c r="P960" s="23"/>
      <c r="Q960" s="23"/>
      <c r="R960" s="23"/>
      <c r="S960" s="23"/>
      <c r="T960" s="23"/>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row>
    <row r="961" spans="1:50" x14ac:dyDescent="0.35">
      <c r="A961" s="23"/>
      <c r="B961" s="23"/>
      <c r="C961" s="23"/>
      <c r="D961" s="23"/>
      <c r="E961" s="23"/>
      <c r="F961" s="23"/>
      <c r="G961" s="23"/>
      <c r="H961" s="23"/>
      <c r="I961" s="23"/>
      <c r="J961" s="23"/>
      <c r="K961" s="23"/>
      <c r="L961" s="23"/>
      <c r="M961" s="23"/>
      <c r="N961" s="23"/>
      <c r="O961" s="23"/>
      <c r="P961" s="23"/>
      <c r="Q961" s="23"/>
      <c r="R961" s="23"/>
      <c r="S961" s="23"/>
      <c r="T961" s="23"/>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row>
    <row r="962" spans="1:50" x14ac:dyDescent="0.35">
      <c r="A962" s="23"/>
      <c r="B962" s="23"/>
      <c r="C962" s="23"/>
      <c r="D962" s="23"/>
      <c r="E962" s="23"/>
      <c r="F962" s="23"/>
      <c r="G962" s="23"/>
      <c r="H962" s="23"/>
      <c r="I962" s="23"/>
      <c r="J962" s="23"/>
      <c r="K962" s="23"/>
      <c r="L962" s="23"/>
      <c r="M962" s="23"/>
      <c r="N962" s="23"/>
      <c r="O962" s="23"/>
      <c r="P962" s="23"/>
      <c r="Q962" s="23"/>
      <c r="R962" s="23"/>
      <c r="S962" s="23"/>
      <c r="T962" s="23"/>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row>
    <row r="963" spans="1:50" x14ac:dyDescent="0.35">
      <c r="A963" s="23"/>
      <c r="B963" s="23"/>
      <c r="C963" s="23"/>
      <c r="D963" s="23"/>
      <c r="E963" s="23"/>
      <c r="F963" s="23"/>
      <c r="G963" s="23"/>
      <c r="H963" s="23"/>
      <c r="I963" s="23"/>
      <c r="J963" s="23"/>
      <c r="K963" s="23"/>
      <c r="L963" s="23"/>
      <c r="M963" s="23"/>
      <c r="N963" s="23"/>
      <c r="O963" s="23"/>
      <c r="P963" s="23"/>
      <c r="Q963" s="23"/>
      <c r="R963" s="23"/>
      <c r="S963" s="23"/>
      <c r="T963" s="23"/>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row>
    <row r="964" spans="1:50" x14ac:dyDescent="0.35">
      <c r="A964" s="23"/>
      <c r="B964" s="23"/>
      <c r="C964" s="23"/>
      <c r="D964" s="23"/>
      <c r="E964" s="23"/>
      <c r="F964" s="23"/>
      <c r="G964" s="23"/>
      <c r="H964" s="23"/>
      <c r="I964" s="23"/>
      <c r="J964" s="23"/>
      <c r="K964" s="23"/>
      <c r="L964" s="23"/>
      <c r="M964" s="23"/>
      <c r="N964" s="23"/>
      <c r="O964" s="23"/>
      <c r="P964" s="23"/>
      <c r="Q964" s="23"/>
      <c r="R964" s="23"/>
      <c r="S964" s="23"/>
      <c r="T964" s="23"/>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row>
    <row r="965" spans="1:50" x14ac:dyDescent="0.35">
      <c r="A965" s="23"/>
      <c r="B965" s="23"/>
      <c r="C965" s="23"/>
      <c r="D965" s="23"/>
      <c r="E965" s="23"/>
      <c r="F965" s="23"/>
      <c r="G965" s="23"/>
      <c r="H965" s="23"/>
      <c r="I965" s="23"/>
      <c r="J965" s="23"/>
      <c r="K965" s="23"/>
      <c r="L965" s="23"/>
      <c r="M965" s="23"/>
      <c r="N965" s="23"/>
      <c r="O965" s="23"/>
      <c r="P965" s="23"/>
      <c r="Q965" s="23"/>
      <c r="R965" s="23"/>
      <c r="S965" s="23"/>
      <c r="T965" s="23"/>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row>
    <row r="966" spans="1:50" x14ac:dyDescent="0.35">
      <c r="A966" s="23"/>
      <c r="B966" s="23"/>
      <c r="C966" s="23"/>
      <c r="D966" s="23"/>
      <c r="E966" s="23"/>
      <c r="F966" s="23"/>
      <c r="G966" s="23"/>
      <c r="H966" s="23"/>
      <c r="I966" s="23"/>
      <c r="J966" s="23"/>
      <c r="K966" s="23"/>
      <c r="L966" s="23"/>
      <c r="M966" s="23"/>
      <c r="N966" s="23"/>
      <c r="O966" s="23"/>
      <c r="P966" s="23"/>
      <c r="Q966" s="23"/>
      <c r="R966" s="23"/>
      <c r="S966" s="23"/>
      <c r="T966" s="23"/>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row>
    <row r="967" spans="1:50" x14ac:dyDescent="0.35">
      <c r="A967" s="23"/>
      <c r="B967" s="23"/>
      <c r="C967" s="23"/>
      <c r="D967" s="23"/>
      <c r="E967" s="23"/>
      <c r="F967" s="23"/>
      <c r="G967" s="23"/>
      <c r="H967" s="23"/>
      <c r="I967" s="23"/>
      <c r="J967" s="23"/>
      <c r="K967" s="23"/>
      <c r="L967" s="23"/>
      <c r="M967" s="23"/>
      <c r="N967" s="23"/>
      <c r="O967" s="23"/>
      <c r="P967" s="23"/>
      <c r="Q967" s="23"/>
      <c r="R967" s="23"/>
      <c r="S967" s="23"/>
      <c r="T967" s="23"/>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row>
    <row r="968" spans="1:50" x14ac:dyDescent="0.35">
      <c r="A968" s="23"/>
      <c r="B968" s="23"/>
      <c r="C968" s="23"/>
      <c r="D968" s="23"/>
      <c r="E968" s="23"/>
      <c r="F968" s="23"/>
      <c r="G968" s="23"/>
      <c r="H968" s="23"/>
      <c r="I968" s="23"/>
      <c r="J968" s="23"/>
      <c r="K968" s="23"/>
      <c r="L968" s="23"/>
      <c r="M968" s="23"/>
      <c r="N968" s="23"/>
      <c r="O968" s="23"/>
      <c r="P968" s="23"/>
      <c r="Q968" s="23"/>
      <c r="R968" s="23"/>
      <c r="S968" s="23"/>
      <c r="T968" s="23"/>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row>
    <row r="969" spans="1:50" x14ac:dyDescent="0.35">
      <c r="A969" s="23"/>
      <c r="B969" s="23"/>
      <c r="C969" s="23"/>
      <c r="D969" s="23"/>
      <c r="E969" s="23"/>
      <c r="F969" s="23"/>
      <c r="G969" s="23"/>
      <c r="H969" s="23"/>
      <c r="I969" s="23"/>
      <c r="J969" s="23"/>
      <c r="K969" s="23"/>
      <c r="L969" s="23"/>
      <c r="M969" s="23"/>
      <c r="N969" s="23"/>
      <c r="O969" s="23"/>
      <c r="P969" s="23"/>
      <c r="Q969" s="23"/>
      <c r="R969" s="23"/>
      <c r="S969" s="23"/>
      <c r="T969" s="23"/>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row>
    <row r="970" spans="1:50" x14ac:dyDescent="0.35">
      <c r="A970" s="23"/>
      <c r="B970" s="23"/>
      <c r="C970" s="23"/>
      <c r="D970" s="23"/>
      <c r="E970" s="23"/>
      <c r="F970" s="23"/>
      <c r="G970" s="23"/>
      <c r="H970" s="23"/>
      <c r="I970" s="23"/>
      <c r="J970" s="23"/>
      <c r="K970" s="23"/>
      <c r="L970" s="23"/>
      <c r="M970" s="23"/>
      <c r="N970" s="23"/>
      <c r="O970" s="23"/>
      <c r="P970" s="23"/>
      <c r="Q970" s="23"/>
      <c r="R970" s="23"/>
      <c r="S970" s="23"/>
      <c r="T970" s="23"/>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row>
    <row r="971" spans="1:50" x14ac:dyDescent="0.35">
      <c r="A971" s="23"/>
      <c r="B971" s="23"/>
      <c r="C971" s="23"/>
      <c r="D971" s="23"/>
      <c r="E971" s="23"/>
      <c r="F971" s="23"/>
      <c r="G971" s="23"/>
      <c r="H971" s="23"/>
      <c r="I971" s="23"/>
      <c r="J971" s="23"/>
      <c r="K971" s="23"/>
      <c r="L971" s="23"/>
      <c r="M971" s="23"/>
      <c r="N971" s="23"/>
      <c r="O971" s="23"/>
      <c r="P971" s="23"/>
      <c r="Q971" s="23"/>
      <c r="R971" s="23"/>
      <c r="S971" s="23"/>
      <c r="T971" s="23"/>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row>
    <row r="972" spans="1:50" x14ac:dyDescent="0.35">
      <c r="A972" s="23"/>
      <c r="B972" s="23"/>
      <c r="C972" s="23"/>
      <c r="D972" s="23"/>
      <c r="E972" s="23"/>
      <c r="F972" s="23"/>
      <c r="G972" s="23"/>
      <c r="H972" s="23"/>
      <c r="I972" s="23"/>
      <c r="J972" s="23"/>
      <c r="K972" s="23"/>
      <c r="L972" s="23"/>
      <c r="M972" s="23"/>
      <c r="N972" s="23"/>
      <c r="O972" s="23"/>
      <c r="P972" s="23"/>
      <c r="Q972" s="23"/>
      <c r="R972" s="23"/>
      <c r="S972" s="23"/>
      <c r="T972" s="23"/>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row>
    <row r="973" spans="1:50" x14ac:dyDescent="0.35">
      <c r="A973" s="23"/>
      <c r="B973" s="23"/>
      <c r="C973" s="23"/>
      <c r="D973" s="23"/>
      <c r="E973" s="23"/>
      <c r="F973" s="23"/>
      <c r="G973" s="23"/>
      <c r="H973" s="23"/>
      <c r="I973" s="23"/>
      <c r="J973" s="23"/>
      <c r="K973" s="23"/>
      <c r="L973" s="23"/>
      <c r="M973" s="23"/>
      <c r="N973" s="23"/>
      <c r="O973" s="23"/>
      <c r="P973" s="23"/>
      <c r="Q973" s="23"/>
      <c r="R973" s="23"/>
      <c r="S973" s="23"/>
      <c r="T973" s="23"/>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row>
    <row r="974" spans="1:50" x14ac:dyDescent="0.35">
      <c r="A974" s="23"/>
      <c r="B974" s="23"/>
      <c r="C974" s="23"/>
      <c r="D974" s="23"/>
      <c r="E974" s="23"/>
      <c r="F974" s="23"/>
      <c r="G974" s="23"/>
      <c r="H974" s="23"/>
      <c r="I974" s="23"/>
      <c r="J974" s="23"/>
      <c r="K974" s="23"/>
      <c r="L974" s="23"/>
      <c r="M974" s="23"/>
      <c r="N974" s="23"/>
      <c r="O974" s="23"/>
      <c r="P974" s="23"/>
      <c r="Q974" s="23"/>
      <c r="R974" s="23"/>
      <c r="S974" s="23"/>
      <c r="T974" s="23"/>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row>
    <row r="975" spans="1:50" x14ac:dyDescent="0.35">
      <c r="A975" s="23"/>
      <c r="B975" s="23"/>
      <c r="C975" s="23"/>
      <c r="D975" s="23"/>
      <c r="E975" s="23"/>
      <c r="F975" s="23"/>
      <c r="G975" s="23"/>
      <c r="H975" s="23"/>
      <c r="I975" s="23"/>
      <c r="J975" s="23"/>
      <c r="K975" s="23"/>
      <c r="L975" s="23"/>
      <c r="M975" s="23"/>
      <c r="N975" s="23"/>
      <c r="O975" s="23"/>
      <c r="P975" s="23"/>
      <c r="Q975" s="23"/>
      <c r="R975" s="23"/>
      <c r="S975" s="23"/>
      <c r="T975" s="23"/>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row>
    <row r="976" spans="1:50" x14ac:dyDescent="0.35">
      <c r="A976" s="23"/>
      <c r="B976" s="23"/>
      <c r="C976" s="23"/>
      <c r="D976" s="23"/>
      <c r="E976" s="23"/>
      <c r="F976" s="23"/>
      <c r="G976" s="23"/>
      <c r="H976" s="23"/>
      <c r="I976" s="23"/>
      <c r="J976" s="23"/>
      <c r="K976" s="23"/>
      <c r="L976" s="23"/>
      <c r="M976" s="23"/>
      <c r="N976" s="23"/>
      <c r="O976" s="23"/>
      <c r="P976" s="23"/>
      <c r="Q976" s="23"/>
      <c r="R976" s="23"/>
      <c r="S976" s="23"/>
      <c r="T976" s="23"/>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row>
    <row r="977" spans="1:50" x14ac:dyDescent="0.35">
      <c r="A977" s="23"/>
      <c r="B977" s="23"/>
      <c r="C977" s="23"/>
      <c r="D977" s="23"/>
      <c r="E977" s="23"/>
      <c r="F977" s="23"/>
      <c r="G977" s="23"/>
      <c r="H977" s="23"/>
      <c r="I977" s="23"/>
      <c r="J977" s="23"/>
      <c r="K977" s="23"/>
      <c r="L977" s="23"/>
      <c r="M977" s="23"/>
      <c r="N977" s="23"/>
      <c r="O977" s="23"/>
      <c r="P977" s="23"/>
      <c r="Q977" s="23"/>
      <c r="R977" s="23"/>
      <c r="S977" s="23"/>
      <c r="T977" s="23"/>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row>
    <row r="978" spans="1:50" x14ac:dyDescent="0.35">
      <c r="A978" s="23"/>
      <c r="B978" s="23"/>
      <c r="C978" s="23"/>
      <c r="D978" s="23"/>
      <c r="E978" s="23"/>
      <c r="F978" s="23"/>
      <c r="G978" s="23"/>
      <c r="H978" s="23"/>
      <c r="I978" s="23"/>
      <c r="J978" s="23"/>
      <c r="K978" s="23"/>
      <c r="L978" s="23"/>
      <c r="M978" s="23"/>
      <c r="N978" s="23"/>
      <c r="O978" s="23"/>
      <c r="P978" s="23"/>
      <c r="Q978" s="23"/>
      <c r="R978" s="23"/>
      <c r="S978" s="23"/>
      <c r="T978" s="23"/>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row>
    <row r="979" spans="1:50" x14ac:dyDescent="0.35">
      <c r="A979" s="23"/>
      <c r="B979" s="23"/>
      <c r="C979" s="23"/>
      <c r="D979" s="23"/>
      <c r="E979" s="23"/>
      <c r="F979" s="23"/>
      <c r="G979" s="23"/>
      <c r="H979" s="23"/>
      <c r="I979" s="23"/>
      <c r="J979" s="23"/>
      <c r="K979" s="23"/>
      <c r="L979" s="23"/>
      <c r="M979" s="23"/>
      <c r="N979" s="23"/>
      <c r="O979" s="23"/>
      <c r="P979" s="23"/>
      <c r="Q979" s="23"/>
      <c r="R979" s="23"/>
      <c r="S979" s="23"/>
      <c r="T979" s="23"/>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row>
    <row r="980" spans="1:50" x14ac:dyDescent="0.35">
      <c r="A980" s="23"/>
      <c r="B980" s="23"/>
      <c r="C980" s="23"/>
      <c r="D980" s="23"/>
      <c r="E980" s="23"/>
      <c r="F980" s="23"/>
      <c r="G980" s="23"/>
      <c r="H980" s="23"/>
      <c r="I980" s="23"/>
      <c r="J980" s="23"/>
      <c r="K980" s="23"/>
      <c r="L980" s="23"/>
      <c r="M980" s="23"/>
      <c r="N980" s="23"/>
      <c r="O980" s="23"/>
      <c r="P980" s="23"/>
      <c r="Q980" s="23"/>
      <c r="R980" s="23"/>
      <c r="S980" s="23"/>
      <c r="T980" s="23"/>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row>
    <row r="981" spans="1:50" x14ac:dyDescent="0.35">
      <c r="A981" s="23"/>
      <c r="B981" s="23"/>
      <c r="C981" s="23"/>
      <c r="D981" s="23"/>
      <c r="E981" s="23"/>
      <c r="F981" s="23"/>
      <c r="G981" s="23"/>
      <c r="H981" s="23"/>
      <c r="I981" s="23"/>
      <c r="J981" s="23"/>
      <c r="K981" s="23"/>
      <c r="L981" s="23"/>
      <c r="M981" s="23"/>
      <c r="N981" s="23"/>
      <c r="O981" s="23"/>
      <c r="P981" s="23"/>
      <c r="Q981" s="23"/>
      <c r="R981" s="23"/>
      <c r="S981" s="23"/>
      <c r="T981" s="23"/>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row>
    <row r="982" spans="1:50" x14ac:dyDescent="0.35">
      <c r="A982" s="23"/>
      <c r="B982" s="23"/>
      <c r="C982" s="23"/>
      <c r="D982" s="23"/>
      <c r="E982" s="23"/>
      <c r="F982" s="23"/>
      <c r="G982" s="23"/>
      <c r="H982" s="23"/>
      <c r="I982" s="23"/>
      <c r="J982" s="23"/>
      <c r="K982" s="23"/>
      <c r="L982" s="23"/>
      <c r="M982" s="23"/>
      <c r="N982" s="23"/>
      <c r="O982" s="23"/>
      <c r="P982" s="23"/>
      <c r="Q982" s="23"/>
      <c r="R982" s="23"/>
      <c r="S982" s="23"/>
      <c r="T982" s="23"/>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row>
    <row r="983" spans="1:50" x14ac:dyDescent="0.35">
      <c r="A983" s="23"/>
      <c r="B983" s="23"/>
      <c r="C983" s="23"/>
      <c r="D983" s="23"/>
      <c r="E983" s="23"/>
      <c r="F983" s="23"/>
      <c r="G983" s="23"/>
      <c r="H983" s="23"/>
      <c r="I983" s="23"/>
      <c r="J983" s="23"/>
      <c r="K983" s="23"/>
      <c r="L983" s="23"/>
      <c r="M983" s="23"/>
      <c r="N983" s="23"/>
      <c r="O983" s="23"/>
      <c r="P983" s="23"/>
      <c r="Q983" s="23"/>
      <c r="R983" s="23"/>
      <c r="S983" s="23"/>
      <c r="T983" s="23"/>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row>
    <row r="984" spans="1:50" x14ac:dyDescent="0.35">
      <c r="A984" s="23"/>
      <c r="B984" s="23"/>
      <c r="C984" s="23"/>
      <c r="D984" s="23"/>
      <c r="E984" s="23"/>
      <c r="F984" s="23"/>
      <c r="G984" s="23"/>
      <c r="H984" s="23"/>
      <c r="I984" s="23"/>
      <c r="J984" s="23"/>
      <c r="K984" s="23"/>
      <c r="L984" s="23"/>
      <c r="M984" s="23"/>
      <c r="N984" s="23"/>
      <c r="O984" s="23"/>
      <c r="P984" s="23"/>
      <c r="Q984" s="23"/>
      <c r="R984" s="23"/>
      <c r="S984" s="23"/>
      <c r="T984" s="23"/>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row>
    <row r="985" spans="1:50" x14ac:dyDescent="0.35">
      <c r="A985" s="23"/>
      <c r="B985" s="23"/>
      <c r="C985" s="23"/>
      <c r="D985" s="23"/>
      <c r="E985" s="23"/>
      <c r="F985" s="23"/>
      <c r="G985" s="23"/>
      <c r="H985" s="23"/>
      <c r="I985" s="23"/>
      <c r="J985" s="23"/>
      <c r="K985" s="23"/>
      <c r="L985" s="23"/>
      <c r="M985" s="23"/>
      <c r="N985" s="23"/>
      <c r="O985" s="23"/>
      <c r="P985" s="23"/>
      <c r="Q985" s="23"/>
      <c r="R985" s="23"/>
      <c r="S985" s="23"/>
      <c r="T985" s="23"/>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row>
    <row r="986" spans="1:50" x14ac:dyDescent="0.35">
      <c r="A986" s="23"/>
      <c r="B986" s="23"/>
      <c r="C986" s="23"/>
      <c r="D986" s="23"/>
      <c r="E986" s="23"/>
      <c r="F986" s="23"/>
      <c r="G986" s="23"/>
      <c r="H986" s="23"/>
      <c r="I986" s="23"/>
      <c r="J986" s="23"/>
      <c r="K986" s="23"/>
      <c r="L986" s="23"/>
      <c r="M986" s="23"/>
      <c r="N986" s="23"/>
      <c r="O986" s="23"/>
      <c r="P986" s="23"/>
      <c r="Q986" s="23"/>
      <c r="R986" s="23"/>
      <c r="S986" s="23"/>
      <c r="T986" s="23"/>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row>
    <row r="987" spans="1:50" x14ac:dyDescent="0.35">
      <c r="A987" s="23"/>
      <c r="B987" s="23"/>
      <c r="C987" s="23"/>
      <c r="D987" s="23"/>
      <c r="E987" s="23"/>
      <c r="F987" s="23"/>
      <c r="G987" s="23"/>
      <c r="H987" s="23"/>
      <c r="I987" s="23"/>
      <c r="J987" s="23"/>
      <c r="K987" s="23"/>
      <c r="L987" s="23"/>
      <c r="M987" s="23"/>
      <c r="N987" s="23"/>
      <c r="O987" s="23"/>
      <c r="P987" s="23"/>
      <c r="Q987" s="23"/>
      <c r="R987" s="23"/>
      <c r="S987" s="23"/>
      <c r="T987" s="23"/>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row>
    <row r="988" spans="1:50" x14ac:dyDescent="0.35">
      <c r="A988" s="23"/>
      <c r="B988" s="23"/>
      <c r="C988" s="23"/>
      <c r="D988" s="23"/>
      <c r="E988" s="23"/>
      <c r="F988" s="23"/>
      <c r="G988" s="23"/>
      <c r="H988" s="23"/>
      <c r="I988" s="23"/>
      <c r="J988" s="23"/>
      <c r="K988" s="23"/>
      <c r="L988" s="23"/>
      <c r="M988" s="23"/>
      <c r="N988" s="23"/>
      <c r="O988" s="23"/>
      <c r="P988" s="23"/>
      <c r="Q988" s="23"/>
      <c r="R988" s="23"/>
      <c r="S988" s="23"/>
      <c r="T988" s="23"/>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row>
    <row r="989" spans="1:50" x14ac:dyDescent="0.35">
      <c r="A989" s="23"/>
      <c r="B989" s="23"/>
      <c r="C989" s="23"/>
      <c r="D989" s="23"/>
      <c r="E989" s="23"/>
      <c r="F989" s="23"/>
      <c r="G989" s="23"/>
      <c r="H989" s="23"/>
      <c r="I989" s="23"/>
      <c r="J989" s="23"/>
      <c r="K989" s="23"/>
      <c r="L989" s="23"/>
      <c r="M989" s="23"/>
      <c r="N989" s="23"/>
      <c r="O989" s="23"/>
      <c r="P989" s="23"/>
      <c r="Q989" s="23"/>
      <c r="R989" s="23"/>
      <c r="S989" s="23"/>
      <c r="T989" s="23"/>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row>
    <row r="990" spans="1:50" x14ac:dyDescent="0.35">
      <c r="A990" s="23"/>
      <c r="B990" s="23"/>
      <c r="C990" s="23"/>
      <c r="D990" s="23"/>
      <c r="E990" s="23"/>
      <c r="F990" s="23"/>
      <c r="G990" s="23"/>
      <c r="H990" s="23"/>
      <c r="I990" s="23"/>
      <c r="J990" s="23"/>
      <c r="K990" s="23"/>
      <c r="L990" s="23"/>
      <c r="M990" s="23"/>
      <c r="N990" s="23"/>
      <c r="O990" s="23"/>
      <c r="P990" s="23"/>
      <c r="Q990" s="23"/>
      <c r="R990" s="23"/>
      <c r="S990" s="23"/>
      <c r="T990" s="23"/>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row>
    <row r="991" spans="1:50" x14ac:dyDescent="0.35">
      <c r="A991" s="23"/>
      <c r="B991" s="23"/>
      <c r="C991" s="23"/>
      <c r="D991" s="23"/>
      <c r="E991" s="23"/>
      <c r="F991" s="23"/>
      <c r="G991" s="23"/>
      <c r="H991" s="23"/>
      <c r="I991" s="23"/>
      <c r="J991" s="23"/>
      <c r="K991" s="23"/>
      <c r="L991" s="23"/>
      <c r="M991" s="23"/>
      <c r="N991" s="23"/>
      <c r="O991" s="23"/>
      <c r="P991" s="23"/>
      <c r="Q991" s="23"/>
      <c r="R991" s="23"/>
      <c r="S991" s="23"/>
      <c r="T991" s="23"/>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row>
    <row r="992" spans="1:50" x14ac:dyDescent="0.35">
      <c r="A992" s="23"/>
      <c r="B992" s="23"/>
      <c r="C992" s="23"/>
      <c r="D992" s="23"/>
      <c r="E992" s="23"/>
      <c r="F992" s="23"/>
      <c r="G992" s="23"/>
      <c r="H992" s="23"/>
      <c r="I992" s="23"/>
      <c r="J992" s="23"/>
      <c r="K992" s="23"/>
      <c r="L992" s="23"/>
      <c r="M992" s="23"/>
      <c r="N992" s="23"/>
      <c r="O992" s="23"/>
      <c r="P992" s="23"/>
      <c r="Q992" s="23"/>
      <c r="R992" s="23"/>
      <c r="S992" s="23"/>
      <c r="T992" s="23"/>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row>
    <row r="993" spans="1:50" x14ac:dyDescent="0.35">
      <c r="A993" s="23"/>
      <c r="B993" s="23"/>
      <c r="C993" s="23"/>
      <c r="D993" s="23"/>
      <c r="E993" s="23"/>
      <c r="F993" s="23"/>
      <c r="G993" s="23"/>
      <c r="H993" s="23"/>
      <c r="I993" s="23"/>
      <c r="J993" s="23"/>
      <c r="K993" s="23"/>
      <c r="L993" s="23"/>
      <c r="M993" s="23"/>
      <c r="N993" s="23"/>
      <c r="O993" s="23"/>
      <c r="P993" s="23"/>
      <c r="Q993" s="23"/>
      <c r="R993" s="23"/>
      <c r="S993" s="23"/>
      <c r="T993" s="23"/>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row>
    <row r="994" spans="1:50" x14ac:dyDescent="0.35">
      <c r="A994" s="23"/>
      <c r="B994" s="23"/>
      <c r="C994" s="23"/>
      <c r="D994" s="23"/>
      <c r="E994" s="23"/>
      <c r="F994" s="23"/>
      <c r="G994" s="23"/>
      <c r="H994" s="23"/>
      <c r="I994" s="23"/>
      <c r="J994" s="23"/>
      <c r="K994" s="23"/>
      <c r="L994" s="23"/>
      <c r="M994" s="23"/>
      <c r="N994" s="23"/>
      <c r="O994" s="23"/>
      <c r="P994" s="23"/>
      <c r="Q994" s="23"/>
      <c r="R994" s="23"/>
      <c r="S994" s="23"/>
      <c r="T994" s="23"/>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row>
    <row r="995" spans="1:50" x14ac:dyDescent="0.35">
      <c r="A995" s="23"/>
      <c r="B995" s="23"/>
      <c r="C995" s="23"/>
      <c r="D995" s="23"/>
      <c r="E995" s="23"/>
      <c r="F995" s="23"/>
      <c r="G995" s="23"/>
      <c r="H995" s="23"/>
      <c r="I995" s="23"/>
      <c r="J995" s="23"/>
      <c r="K995" s="23"/>
      <c r="L995" s="23"/>
      <c r="M995" s="23"/>
      <c r="N995" s="23"/>
      <c r="O995" s="23"/>
      <c r="P995" s="23"/>
      <c r="Q995" s="23"/>
      <c r="R995" s="23"/>
      <c r="S995" s="23"/>
      <c r="T995" s="23"/>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row>
    <row r="996" spans="1:50" x14ac:dyDescent="0.35">
      <c r="A996" s="23"/>
      <c r="B996" s="23"/>
      <c r="C996" s="23"/>
      <c r="D996" s="23"/>
      <c r="E996" s="23"/>
      <c r="F996" s="23"/>
      <c r="G996" s="23"/>
      <c r="H996" s="23"/>
      <c r="I996" s="23"/>
      <c r="J996" s="23"/>
      <c r="K996" s="23"/>
      <c r="L996" s="23"/>
      <c r="M996" s="23"/>
      <c r="N996" s="23"/>
      <c r="O996" s="23"/>
      <c r="P996" s="23"/>
      <c r="Q996" s="23"/>
      <c r="R996" s="23"/>
      <c r="S996" s="23"/>
      <c r="T996" s="23"/>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row>
    <row r="997" spans="1:50" x14ac:dyDescent="0.35">
      <c r="A997" s="23"/>
      <c r="B997" s="23"/>
      <c r="C997" s="23"/>
      <c r="D997" s="23"/>
      <c r="E997" s="23"/>
      <c r="F997" s="23"/>
      <c r="G997" s="23"/>
      <c r="H997" s="23"/>
      <c r="I997" s="23"/>
      <c r="J997" s="23"/>
      <c r="K997" s="23"/>
      <c r="L997" s="23"/>
      <c r="M997" s="23"/>
      <c r="N997" s="23"/>
      <c r="O997" s="23"/>
      <c r="P997" s="23"/>
      <c r="Q997" s="23"/>
      <c r="R997" s="23"/>
      <c r="S997" s="23"/>
      <c r="T997" s="23"/>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row>
    <row r="998" spans="1:50" x14ac:dyDescent="0.35">
      <c r="A998" s="23"/>
      <c r="B998" s="23"/>
      <c r="C998" s="23"/>
      <c r="D998" s="23"/>
      <c r="E998" s="23"/>
      <c r="F998" s="23"/>
      <c r="G998" s="23"/>
      <c r="H998" s="23"/>
      <c r="I998" s="23"/>
      <c r="J998" s="23"/>
      <c r="K998" s="23"/>
      <c r="L998" s="23"/>
      <c r="M998" s="23"/>
      <c r="N998" s="23"/>
      <c r="O998" s="23"/>
      <c r="P998" s="23"/>
      <c r="Q998" s="23"/>
      <c r="R998" s="23"/>
      <c r="S998" s="23"/>
      <c r="T998" s="23"/>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row>
    <row r="999" spans="1:50" x14ac:dyDescent="0.35">
      <c r="A999" s="23"/>
      <c r="B999" s="23"/>
      <c r="C999" s="23"/>
      <c r="D999" s="23"/>
      <c r="E999" s="23"/>
      <c r="F999" s="23"/>
      <c r="G999" s="23"/>
      <c r="H999" s="23"/>
      <c r="I999" s="23"/>
      <c r="J999" s="23"/>
      <c r="K999" s="23"/>
      <c r="L999" s="23"/>
      <c r="M999" s="23"/>
      <c r="N999" s="23"/>
      <c r="O999" s="23"/>
      <c r="P999" s="23"/>
      <c r="Q999" s="23"/>
      <c r="R999" s="23"/>
      <c r="S999" s="23"/>
      <c r="T999" s="23"/>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row>
    <row r="1000" spans="1:50" x14ac:dyDescent="0.35">
      <c r="A1000" s="23"/>
      <c r="B1000" s="23"/>
      <c r="C1000" s="23"/>
      <c r="D1000" s="23"/>
      <c r="E1000" s="23"/>
      <c r="F1000" s="23"/>
      <c r="G1000" s="23"/>
      <c r="H1000" s="23"/>
      <c r="I1000" s="23"/>
      <c r="J1000" s="23"/>
      <c r="K1000" s="23"/>
      <c r="L1000" s="23"/>
      <c r="M1000" s="23"/>
      <c r="N1000" s="23"/>
      <c r="O1000" s="23"/>
      <c r="P1000" s="23"/>
      <c r="Q1000" s="23"/>
      <c r="R1000" s="23"/>
      <c r="S1000" s="23"/>
      <c r="T1000" s="23"/>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row>
    <row r="1001" spans="1:50" x14ac:dyDescent="0.35">
      <c r="A1001" s="23"/>
      <c r="B1001" s="23"/>
      <c r="C1001" s="23"/>
      <c r="D1001" s="23"/>
      <c r="E1001" s="23"/>
      <c r="F1001" s="23"/>
      <c r="G1001" s="23"/>
      <c r="H1001" s="23"/>
      <c r="I1001" s="23"/>
      <c r="J1001" s="23"/>
      <c r="K1001" s="23"/>
      <c r="L1001" s="23"/>
      <c r="M1001" s="23"/>
      <c r="N1001" s="23"/>
      <c r="O1001" s="23"/>
      <c r="P1001" s="23"/>
      <c r="Q1001" s="23"/>
      <c r="R1001" s="23"/>
      <c r="S1001" s="23"/>
      <c r="T1001" s="23"/>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row>
    <row r="1002" spans="1:50" x14ac:dyDescent="0.35">
      <c r="A1002" s="23"/>
      <c r="B1002" s="23"/>
      <c r="C1002" s="23"/>
      <c r="D1002" s="23"/>
      <c r="E1002" s="23"/>
      <c r="F1002" s="23"/>
      <c r="G1002" s="23"/>
      <c r="H1002" s="23"/>
      <c r="I1002" s="23"/>
      <c r="J1002" s="23"/>
      <c r="K1002" s="23"/>
      <c r="L1002" s="23"/>
      <c r="M1002" s="23"/>
      <c r="N1002" s="23"/>
      <c r="O1002" s="23"/>
      <c r="P1002" s="23"/>
      <c r="Q1002" s="23"/>
      <c r="R1002" s="23"/>
      <c r="S1002" s="23"/>
      <c r="T1002" s="23"/>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c r="AV1002" s="22"/>
      <c r="AW1002" s="22"/>
      <c r="AX1002" s="22"/>
    </row>
    <row r="1003" spans="1:50" x14ac:dyDescent="0.35">
      <c r="A1003" s="23"/>
      <c r="B1003" s="23"/>
      <c r="C1003" s="23"/>
      <c r="D1003" s="23"/>
      <c r="E1003" s="23"/>
      <c r="F1003" s="23"/>
      <c r="G1003" s="23"/>
      <c r="H1003" s="23"/>
      <c r="I1003" s="23"/>
      <c r="J1003" s="23"/>
      <c r="K1003" s="23"/>
      <c r="L1003" s="23"/>
      <c r="M1003" s="23"/>
      <c r="N1003" s="23"/>
      <c r="O1003" s="23"/>
      <c r="P1003" s="23"/>
      <c r="Q1003" s="23"/>
      <c r="R1003" s="23"/>
      <c r="S1003" s="23"/>
      <c r="T1003" s="23"/>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c r="AV1003" s="22"/>
      <c r="AW1003" s="22"/>
      <c r="AX1003" s="22"/>
    </row>
    <row r="1004" spans="1:50" x14ac:dyDescent="0.35">
      <c r="A1004" s="23"/>
      <c r="B1004" s="23"/>
      <c r="C1004" s="23"/>
      <c r="D1004" s="23"/>
      <c r="E1004" s="23"/>
      <c r="F1004" s="23"/>
      <c r="G1004" s="23"/>
      <c r="H1004" s="23"/>
      <c r="I1004" s="23"/>
      <c r="J1004" s="23"/>
      <c r="K1004" s="23"/>
      <c r="L1004" s="23"/>
      <c r="M1004" s="23"/>
      <c r="N1004" s="23"/>
      <c r="O1004" s="23"/>
      <c r="P1004" s="23"/>
      <c r="Q1004" s="23"/>
      <c r="R1004" s="23"/>
      <c r="S1004" s="23"/>
      <c r="T1004" s="23"/>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c r="AV1004" s="22"/>
      <c r="AW1004" s="22"/>
      <c r="AX1004" s="22"/>
    </row>
    <row r="1005" spans="1:50" x14ac:dyDescent="0.35">
      <c r="A1005" s="23"/>
      <c r="B1005" s="23"/>
      <c r="C1005" s="23"/>
      <c r="D1005" s="23"/>
      <c r="E1005" s="23"/>
      <c r="F1005" s="23"/>
      <c r="G1005" s="23"/>
      <c r="H1005" s="23"/>
      <c r="I1005" s="23"/>
      <c r="J1005" s="23"/>
      <c r="K1005" s="23"/>
      <c r="L1005" s="23"/>
      <c r="M1005" s="23"/>
      <c r="N1005" s="23"/>
      <c r="O1005" s="23"/>
      <c r="P1005" s="23"/>
      <c r="Q1005" s="23"/>
      <c r="R1005" s="23"/>
      <c r="S1005" s="23"/>
      <c r="T1005" s="23"/>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c r="AV1005" s="22"/>
      <c r="AW1005" s="22"/>
      <c r="AX1005" s="22"/>
    </row>
    <row r="1006" spans="1:50" x14ac:dyDescent="0.35">
      <c r="A1006" s="23"/>
      <c r="B1006" s="23"/>
      <c r="C1006" s="23"/>
      <c r="D1006" s="23"/>
      <c r="E1006" s="23"/>
      <c r="F1006" s="23"/>
      <c r="G1006" s="23"/>
      <c r="H1006" s="23"/>
      <c r="I1006" s="23"/>
      <c r="J1006" s="23"/>
      <c r="K1006" s="23"/>
      <c r="L1006" s="23"/>
      <c r="M1006" s="23"/>
      <c r="N1006" s="23"/>
      <c r="O1006" s="23"/>
      <c r="P1006" s="23"/>
      <c r="Q1006" s="23"/>
      <c r="R1006" s="23"/>
      <c r="S1006" s="23"/>
      <c r="T1006" s="23"/>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c r="AV1006" s="22"/>
      <c r="AW1006" s="22"/>
      <c r="AX1006" s="22"/>
    </row>
    <row r="1007" spans="1:50" x14ac:dyDescent="0.35">
      <c r="A1007" s="23"/>
      <c r="B1007" s="23"/>
      <c r="C1007" s="23"/>
      <c r="D1007" s="23"/>
      <c r="E1007" s="23"/>
      <c r="F1007" s="23"/>
      <c r="G1007" s="23"/>
      <c r="H1007" s="23"/>
      <c r="I1007" s="23"/>
      <c r="J1007" s="23"/>
      <c r="K1007" s="23"/>
      <c r="L1007" s="23"/>
      <c r="M1007" s="23"/>
      <c r="N1007" s="23"/>
      <c r="O1007" s="23"/>
      <c r="P1007" s="23"/>
      <c r="Q1007" s="23"/>
      <c r="R1007" s="23"/>
      <c r="S1007" s="23"/>
      <c r="T1007" s="23"/>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c r="AV1007" s="22"/>
      <c r="AW1007" s="22"/>
      <c r="AX1007" s="22"/>
    </row>
    <row r="1008" spans="1:50" x14ac:dyDescent="0.35">
      <c r="A1008" s="23"/>
      <c r="B1008" s="23"/>
      <c r="C1008" s="23"/>
      <c r="D1008" s="23"/>
      <c r="E1008" s="23"/>
      <c r="F1008" s="23"/>
      <c r="G1008" s="23"/>
      <c r="H1008" s="23"/>
      <c r="I1008" s="23"/>
      <c r="J1008" s="23"/>
      <c r="K1008" s="23"/>
      <c r="L1008" s="23"/>
      <c r="M1008" s="23"/>
      <c r="N1008" s="23"/>
      <c r="O1008" s="23"/>
      <c r="P1008" s="23"/>
      <c r="Q1008" s="23"/>
      <c r="R1008" s="23"/>
      <c r="S1008" s="23"/>
      <c r="T1008" s="23"/>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c r="AV1008" s="22"/>
      <c r="AW1008" s="22"/>
      <c r="AX1008" s="22"/>
    </row>
    <row r="1009" spans="1:50" x14ac:dyDescent="0.35">
      <c r="A1009" s="23"/>
      <c r="B1009" s="23"/>
      <c r="C1009" s="23"/>
      <c r="D1009" s="23"/>
      <c r="E1009" s="23"/>
      <c r="F1009" s="23"/>
      <c r="G1009" s="23"/>
      <c r="H1009" s="23"/>
      <c r="I1009" s="23"/>
      <c r="J1009" s="23"/>
      <c r="K1009" s="23"/>
      <c r="L1009" s="23"/>
      <c r="M1009" s="23"/>
      <c r="N1009" s="23"/>
      <c r="O1009" s="23"/>
      <c r="P1009" s="23"/>
      <c r="Q1009" s="23"/>
      <c r="R1009" s="23"/>
      <c r="S1009" s="23"/>
      <c r="T1009" s="23"/>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c r="AV1009" s="22"/>
      <c r="AW1009" s="22"/>
      <c r="AX1009" s="22"/>
    </row>
    <row r="1010" spans="1:50" x14ac:dyDescent="0.35">
      <c r="A1010" s="23"/>
      <c r="B1010" s="23"/>
      <c r="C1010" s="23"/>
      <c r="D1010" s="23"/>
      <c r="E1010" s="23"/>
      <c r="F1010" s="23"/>
      <c r="G1010" s="23"/>
      <c r="H1010" s="23"/>
      <c r="I1010" s="23"/>
      <c r="J1010" s="23"/>
      <c r="K1010" s="23"/>
      <c r="L1010" s="23"/>
      <c r="M1010" s="23"/>
      <c r="N1010" s="23"/>
      <c r="O1010" s="23"/>
      <c r="P1010" s="23"/>
      <c r="Q1010" s="23"/>
      <c r="R1010" s="23"/>
      <c r="S1010" s="23"/>
      <c r="T1010" s="23"/>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c r="AV1010" s="22"/>
      <c r="AW1010" s="22"/>
      <c r="AX1010" s="22"/>
    </row>
    <row r="1011" spans="1:50" x14ac:dyDescent="0.35">
      <c r="A1011" s="23"/>
      <c r="B1011" s="23"/>
      <c r="C1011" s="23"/>
      <c r="D1011" s="23"/>
      <c r="E1011" s="23"/>
      <c r="F1011" s="23"/>
      <c r="G1011" s="23"/>
      <c r="H1011" s="23"/>
      <c r="I1011" s="23"/>
      <c r="J1011" s="23"/>
      <c r="K1011" s="23"/>
      <c r="L1011" s="23"/>
      <c r="M1011" s="23"/>
      <c r="N1011" s="23"/>
      <c r="O1011" s="23"/>
      <c r="P1011" s="23"/>
      <c r="Q1011" s="23"/>
      <c r="R1011" s="23"/>
      <c r="S1011" s="23"/>
      <c r="T1011" s="23"/>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c r="AV1011" s="22"/>
      <c r="AW1011" s="22"/>
      <c r="AX1011" s="22"/>
    </row>
    <row r="1012" spans="1:50" x14ac:dyDescent="0.35">
      <c r="A1012" s="23"/>
      <c r="B1012" s="23"/>
      <c r="C1012" s="23"/>
      <c r="D1012" s="23"/>
      <c r="E1012" s="23"/>
      <c r="F1012" s="23"/>
      <c r="G1012" s="23"/>
      <c r="H1012" s="23"/>
      <c r="I1012" s="23"/>
      <c r="J1012" s="23"/>
      <c r="K1012" s="23"/>
      <c r="L1012" s="23"/>
      <c r="M1012" s="23"/>
      <c r="N1012" s="23"/>
      <c r="O1012" s="23"/>
      <c r="P1012" s="23"/>
      <c r="Q1012" s="23"/>
      <c r="R1012" s="23"/>
      <c r="S1012" s="23"/>
      <c r="T1012" s="23"/>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c r="AV1012" s="22"/>
      <c r="AW1012" s="22"/>
      <c r="AX1012" s="22"/>
    </row>
    <row r="1013" spans="1:50" x14ac:dyDescent="0.35">
      <c r="A1013" s="23"/>
      <c r="B1013" s="23"/>
      <c r="C1013" s="23"/>
      <c r="D1013" s="23"/>
      <c r="E1013" s="23"/>
      <c r="F1013" s="23"/>
      <c r="G1013" s="23"/>
      <c r="H1013" s="23"/>
      <c r="I1013" s="23"/>
      <c r="J1013" s="23"/>
      <c r="K1013" s="23"/>
      <c r="L1013" s="23"/>
      <c r="M1013" s="23"/>
      <c r="N1013" s="23"/>
      <c r="O1013" s="23"/>
      <c r="P1013" s="23"/>
      <c r="Q1013" s="23"/>
      <c r="R1013" s="23"/>
      <c r="S1013" s="23"/>
      <c r="T1013" s="23"/>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c r="AV1013" s="22"/>
      <c r="AW1013" s="22"/>
      <c r="AX1013" s="22"/>
    </row>
    <row r="1014" spans="1:50" x14ac:dyDescent="0.35">
      <c r="A1014" s="23"/>
      <c r="B1014" s="23"/>
      <c r="C1014" s="23"/>
      <c r="D1014" s="23"/>
      <c r="E1014" s="23"/>
      <c r="F1014" s="23"/>
      <c r="G1014" s="23"/>
      <c r="H1014" s="23"/>
      <c r="I1014" s="23"/>
      <c r="J1014" s="23"/>
      <c r="K1014" s="23"/>
      <c r="L1014" s="23"/>
      <c r="M1014" s="23"/>
      <c r="N1014" s="23"/>
      <c r="O1014" s="23"/>
      <c r="P1014" s="23"/>
      <c r="Q1014" s="23"/>
      <c r="R1014" s="23"/>
      <c r="S1014" s="23"/>
      <c r="T1014" s="23"/>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c r="AV1014" s="22"/>
      <c r="AW1014" s="22"/>
      <c r="AX1014" s="22"/>
    </row>
    <row r="1015" spans="1:50" x14ac:dyDescent="0.35">
      <c r="A1015" s="23"/>
      <c r="B1015" s="23"/>
      <c r="C1015" s="23"/>
      <c r="D1015" s="23"/>
      <c r="E1015" s="23"/>
      <c r="F1015" s="23"/>
      <c r="G1015" s="23"/>
      <c r="H1015" s="23"/>
      <c r="I1015" s="23"/>
      <c r="J1015" s="23"/>
      <c r="K1015" s="23"/>
      <c r="L1015" s="23"/>
      <c r="M1015" s="23"/>
      <c r="N1015" s="23"/>
      <c r="O1015" s="23"/>
      <c r="P1015" s="23"/>
      <c r="Q1015" s="23"/>
      <c r="R1015" s="23"/>
      <c r="S1015" s="23"/>
      <c r="T1015" s="23"/>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c r="AV1015" s="22"/>
      <c r="AW1015" s="22"/>
      <c r="AX1015" s="22"/>
    </row>
    <row r="1016" spans="1:50" x14ac:dyDescent="0.35">
      <c r="A1016" s="23"/>
      <c r="B1016" s="23"/>
      <c r="C1016" s="23"/>
      <c r="D1016" s="23"/>
      <c r="E1016" s="23"/>
      <c r="F1016" s="23"/>
      <c r="G1016" s="23"/>
      <c r="H1016" s="23"/>
      <c r="I1016" s="23"/>
      <c r="J1016" s="23"/>
      <c r="K1016" s="23"/>
      <c r="L1016" s="23"/>
      <c r="M1016" s="23"/>
      <c r="N1016" s="23"/>
      <c r="O1016" s="23"/>
      <c r="P1016" s="23"/>
      <c r="Q1016" s="23"/>
      <c r="R1016" s="23"/>
      <c r="S1016" s="23"/>
      <c r="T1016" s="23"/>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c r="AV1016" s="22"/>
      <c r="AW1016" s="22"/>
      <c r="AX1016" s="22"/>
    </row>
    <row r="1017" spans="1:50" x14ac:dyDescent="0.35">
      <c r="A1017" s="23"/>
      <c r="B1017" s="23"/>
      <c r="C1017" s="23"/>
      <c r="D1017" s="23"/>
      <c r="E1017" s="23"/>
      <c r="F1017" s="23"/>
      <c r="G1017" s="23"/>
      <c r="H1017" s="23"/>
      <c r="I1017" s="23"/>
      <c r="J1017" s="23"/>
      <c r="K1017" s="23"/>
      <c r="L1017" s="23"/>
      <c r="M1017" s="23"/>
      <c r="N1017" s="23"/>
      <c r="O1017" s="23"/>
      <c r="P1017" s="23"/>
      <c r="Q1017" s="23"/>
      <c r="R1017" s="23"/>
      <c r="S1017" s="23"/>
      <c r="T1017" s="23"/>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c r="AV1017" s="22"/>
      <c r="AW1017" s="22"/>
      <c r="AX1017" s="22"/>
    </row>
    <row r="1018" spans="1:50" x14ac:dyDescent="0.35">
      <c r="A1018" s="23"/>
      <c r="B1018" s="23"/>
      <c r="C1018" s="23"/>
      <c r="D1018" s="23"/>
      <c r="E1018" s="23"/>
      <c r="F1018" s="23"/>
      <c r="G1018" s="23"/>
      <c r="H1018" s="23"/>
      <c r="I1018" s="23"/>
      <c r="J1018" s="23"/>
      <c r="K1018" s="23"/>
      <c r="L1018" s="23"/>
      <c r="M1018" s="23"/>
      <c r="N1018" s="23"/>
      <c r="O1018" s="23"/>
      <c r="P1018" s="23"/>
      <c r="Q1018" s="23"/>
      <c r="R1018" s="23"/>
      <c r="S1018" s="23"/>
      <c r="T1018" s="23"/>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c r="AV1018" s="22"/>
      <c r="AW1018" s="22"/>
      <c r="AX1018" s="22"/>
    </row>
    <row r="1019" spans="1:50" x14ac:dyDescent="0.35">
      <c r="A1019" s="23"/>
      <c r="B1019" s="23"/>
      <c r="C1019" s="23"/>
      <c r="D1019" s="23"/>
      <c r="E1019" s="23"/>
      <c r="F1019" s="23"/>
      <c r="G1019" s="23"/>
      <c r="H1019" s="23"/>
      <c r="I1019" s="23"/>
      <c r="J1019" s="23"/>
      <c r="K1019" s="23"/>
      <c r="L1019" s="23"/>
      <c r="M1019" s="23"/>
      <c r="N1019" s="23"/>
      <c r="O1019" s="23"/>
      <c r="P1019" s="23"/>
      <c r="Q1019" s="23"/>
      <c r="R1019" s="23"/>
      <c r="S1019" s="23"/>
      <c r="T1019" s="23"/>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c r="AV1019" s="22"/>
      <c r="AW1019" s="22"/>
      <c r="AX1019" s="22"/>
    </row>
    <row r="1020" spans="1:50" x14ac:dyDescent="0.35">
      <c r="A1020" s="23"/>
      <c r="B1020" s="23"/>
      <c r="C1020" s="23"/>
      <c r="D1020" s="23"/>
      <c r="E1020" s="23"/>
      <c r="F1020" s="23"/>
      <c r="G1020" s="23"/>
      <c r="H1020" s="23"/>
      <c r="I1020" s="23"/>
      <c r="J1020" s="23"/>
      <c r="K1020" s="23"/>
      <c r="L1020" s="23"/>
      <c r="M1020" s="23"/>
      <c r="N1020" s="23"/>
      <c r="O1020" s="23"/>
      <c r="P1020" s="23"/>
      <c r="Q1020" s="23"/>
      <c r="R1020" s="23"/>
      <c r="S1020" s="23"/>
      <c r="T1020" s="23"/>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c r="AV1020" s="22"/>
      <c r="AW1020" s="22"/>
      <c r="AX1020" s="22"/>
    </row>
    <row r="1021" spans="1:50" x14ac:dyDescent="0.35">
      <c r="A1021" s="23"/>
      <c r="B1021" s="23"/>
      <c r="C1021" s="23"/>
      <c r="D1021" s="23"/>
      <c r="E1021" s="23"/>
      <c r="F1021" s="23"/>
      <c r="G1021" s="23"/>
      <c r="H1021" s="23"/>
      <c r="I1021" s="23"/>
      <c r="J1021" s="23"/>
      <c r="K1021" s="23"/>
      <c r="L1021" s="23"/>
      <c r="M1021" s="23"/>
      <c r="N1021" s="23"/>
      <c r="O1021" s="23"/>
      <c r="P1021" s="23"/>
      <c r="Q1021" s="23"/>
      <c r="R1021" s="23"/>
      <c r="S1021" s="23"/>
      <c r="T1021" s="23"/>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c r="AV1021" s="22"/>
      <c r="AW1021" s="22"/>
      <c r="AX1021" s="22"/>
    </row>
    <row r="1022" spans="1:50" x14ac:dyDescent="0.35">
      <c r="A1022" s="23"/>
      <c r="B1022" s="23"/>
      <c r="C1022" s="23"/>
      <c r="D1022" s="23"/>
      <c r="E1022" s="23"/>
      <c r="F1022" s="23"/>
      <c r="G1022" s="23"/>
      <c r="H1022" s="23"/>
      <c r="I1022" s="23"/>
      <c r="J1022" s="23"/>
      <c r="K1022" s="23"/>
      <c r="L1022" s="23"/>
      <c r="M1022" s="23"/>
      <c r="N1022" s="23"/>
      <c r="O1022" s="23"/>
      <c r="P1022" s="23"/>
      <c r="Q1022" s="23"/>
      <c r="R1022" s="23"/>
      <c r="S1022" s="23"/>
      <c r="T1022" s="23"/>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c r="AV1022" s="22"/>
      <c r="AW1022" s="22"/>
      <c r="AX1022" s="22"/>
    </row>
    <row r="1023" spans="1:50" x14ac:dyDescent="0.35">
      <c r="A1023" s="23"/>
      <c r="B1023" s="23"/>
      <c r="C1023" s="23"/>
      <c r="D1023" s="23"/>
      <c r="E1023" s="23"/>
      <c r="F1023" s="23"/>
      <c r="G1023" s="23"/>
      <c r="H1023" s="23"/>
      <c r="I1023" s="23"/>
      <c r="J1023" s="23"/>
      <c r="K1023" s="23"/>
      <c r="L1023" s="23"/>
      <c r="M1023" s="23"/>
      <c r="N1023" s="23"/>
      <c r="O1023" s="23"/>
      <c r="P1023" s="23"/>
      <c r="Q1023" s="23"/>
      <c r="R1023" s="23"/>
      <c r="S1023" s="23"/>
      <c r="T1023" s="23"/>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c r="AV1023" s="22"/>
      <c r="AW1023" s="22"/>
      <c r="AX1023" s="22"/>
    </row>
    <row r="1024" spans="1:50" x14ac:dyDescent="0.35">
      <c r="A1024" s="23"/>
      <c r="B1024" s="23"/>
      <c r="C1024" s="23"/>
      <c r="D1024" s="23"/>
      <c r="E1024" s="23"/>
      <c r="F1024" s="23"/>
      <c r="G1024" s="23"/>
      <c r="H1024" s="23"/>
      <c r="I1024" s="23"/>
      <c r="J1024" s="23"/>
      <c r="K1024" s="23"/>
      <c r="L1024" s="23"/>
      <c r="M1024" s="23"/>
      <c r="N1024" s="23"/>
      <c r="O1024" s="23"/>
      <c r="P1024" s="23"/>
      <c r="Q1024" s="23"/>
      <c r="R1024" s="23"/>
      <c r="S1024" s="23"/>
      <c r="T1024" s="23"/>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c r="AV1024" s="22"/>
      <c r="AW1024" s="22"/>
      <c r="AX1024" s="22"/>
    </row>
    <row r="1025" spans="1:50" x14ac:dyDescent="0.35">
      <c r="A1025" s="23"/>
      <c r="B1025" s="23"/>
      <c r="C1025" s="23"/>
      <c r="D1025" s="23"/>
      <c r="E1025" s="23"/>
      <c r="F1025" s="23"/>
      <c r="G1025" s="23"/>
      <c r="H1025" s="23"/>
      <c r="I1025" s="23"/>
      <c r="J1025" s="23"/>
      <c r="K1025" s="23"/>
      <c r="L1025" s="23"/>
      <c r="M1025" s="23"/>
      <c r="N1025" s="23"/>
      <c r="O1025" s="23"/>
      <c r="P1025" s="23"/>
      <c r="Q1025" s="23"/>
      <c r="R1025" s="23"/>
      <c r="S1025" s="23"/>
      <c r="T1025" s="23"/>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c r="AV1025" s="22"/>
      <c r="AW1025" s="22"/>
      <c r="AX1025" s="22"/>
    </row>
    <row r="1026" spans="1:50" x14ac:dyDescent="0.35">
      <c r="A1026" s="23"/>
      <c r="B1026" s="23"/>
      <c r="C1026" s="23"/>
      <c r="D1026" s="23"/>
      <c r="E1026" s="23"/>
      <c r="F1026" s="23"/>
      <c r="G1026" s="23"/>
      <c r="H1026" s="23"/>
      <c r="I1026" s="23"/>
      <c r="J1026" s="23"/>
      <c r="K1026" s="23"/>
      <c r="L1026" s="23"/>
      <c r="M1026" s="23"/>
      <c r="N1026" s="23"/>
      <c r="O1026" s="23"/>
      <c r="P1026" s="23"/>
      <c r="Q1026" s="23"/>
      <c r="R1026" s="23"/>
      <c r="S1026" s="23"/>
      <c r="T1026" s="23"/>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c r="AV1026" s="22"/>
      <c r="AW1026" s="22"/>
      <c r="AX1026" s="22"/>
    </row>
    <row r="1027" spans="1:50" x14ac:dyDescent="0.35">
      <c r="A1027" s="23"/>
      <c r="B1027" s="23"/>
      <c r="C1027" s="23"/>
      <c r="D1027" s="23"/>
      <c r="E1027" s="23"/>
      <c r="F1027" s="23"/>
      <c r="G1027" s="23"/>
      <c r="H1027" s="23"/>
      <c r="I1027" s="23"/>
      <c r="J1027" s="23"/>
      <c r="K1027" s="23"/>
      <c r="L1027" s="23"/>
      <c r="M1027" s="23"/>
      <c r="N1027" s="23"/>
      <c r="O1027" s="23"/>
      <c r="P1027" s="23"/>
      <c r="Q1027" s="23"/>
      <c r="R1027" s="23"/>
      <c r="S1027" s="23"/>
      <c r="T1027" s="23"/>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c r="AV1027" s="22"/>
      <c r="AW1027" s="22"/>
      <c r="AX1027" s="22"/>
    </row>
    <row r="1028" spans="1:50" x14ac:dyDescent="0.35">
      <c r="A1028" s="23"/>
      <c r="B1028" s="23"/>
      <c r="C1028" s="23"/>
      <c r="D1028" s="23"/>
      <c r="E1028" s="23"/>
      <c r="F1028" s="23"/>
      <c r="G1028" s="23"/>
      <c r="H1028" s="23"/>
      <c r="I1028" s="23"/>
      <c r="J1028" s="23"/>
      <c r="K1028" s="23"/>
      <c r="L1028" s="23"/>
      <c r="M1028" s="23"/>
      <c r="N1028" s="23"/>
      <c r="O1028" s="23"/>
      <c r="P1028" s="23"/>
      <c r="Q1028" s="23"/>
      <c r="R1028" s="23"/>
      <c r="S1028" s="23"/>
      <c r="T1028" s="23"/>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c r="AV1028" s="22"/>
      <c r="AW1028" s="22"/>
      <c r="AX1028" s="22"/>
    </row>
    <row r="1029" spans="1:50" x14ac:dyDescent="0.35">
      <c r="A1029" s="23"/>
      <c r="B1029" s="23"/>
      <c r="C1029" s="23"/>
      <c r="D1029" s="23"/>
      <c r="E1029" s="23"/>
      <c r="F1029" s="23"/>
      <c r="G1029" s="23"/>
      <c r="H1029" s="23"/>
      <c r="I1029" s="23"/>
      <c r="J1029" s="23"/>
      <c r="K1029" s="23"/>
      <c r="L1029" s="23"/>
      <c r="M1029" s="23"/>
      <c r="N1029" s="23"/>
      <c r="O1029" s="23"/>
      <c r="P1029" s="23"/>
      <c r="Q1029" s="23"/>
      <c r="R1029" s="23"/>
      <c r="S1029" s="23"/>
      <c r="T1029" s="23"/>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c r="AV1029" s="22"/>
      <c r="AW1029" s="22"/>
      <c r="AX1029" s="22"/>
    </row>
    <row r="1030" spans="1:50" x14ac:dyDescent="0.35">
      <c r="A1030" s="23"/>
      <c r="B1030" s="23"/>
      <c r="C1030" s="23"/>
      <c r="D1030" s="23"/>
      <c r="E1030" s="23"/>
      <c r="F1030" s="23"/>
      <c r="G1030" s="23"/>
      <c r="H1030" s="23"/>
      <c r="I1030" s="23"/>
      <c r="J1030" s="23"/>
      <c r="K1030" s="23"/>
      <c r="L1030" s="23"/>
      <c r="M1030" s="23"/>
      <c r="N1030" s="23"/>
      <c r="O1030" s="23"/>
      <c r="P1030" s="23"/>
      <c r="Q1030" s="23"/>
      <c r="R1030" s="23"/>
      <c r="S1030" s="23"/>
      <c r="T1030" s="23"/>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c r="AV1030" s="22"/>
      <c r="AW1030" s="22"/>
      <c r="AX1030" s="22"/>
    </row>
    <row r="1031" spans="1:50" x14ac:dyDescent="0.35">
      <c r="A1031" s="23"/>
      <c r="B1031" s="23"/>
      <c r="C1031" s="23"/>
      <c r="D1031" s="23"/>
      <c r="E1031" s="23"/>
      <c r="F1031" s="23"/>
      <c r="G1031" s="23"/>
      <c r="H1031" s="23"/>
      <c r="I1031" s="23"/>
      <c r="J1031" s="23"/>
      <c r="K1031" s="23"/>
      <c r="L1031" s="23"/>
      <c r="M1031" s="23"/>
      <c r="N1031" s="23"/>
      <c r="O1031" s="23"/>
      <c r="P1031" s="23"/>
      <c r="Q1031" s="23"/>
      <c r="R1031" s="23"/>
      <c r="S1031" s="23"/>
      <c r="T1031" s="23"/>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c r="AV1031" s="22"/>
      <c r="AW1031" s="22"/>
      <c r="AX1031" s="22"/>
    </row>
    <row r="1032" spans="1:50" x14ac:dyDescent="0.35">
      <c r="A1032" s="23"/>
      <c r="B1032" s="23"/>
      <c r="C1032" s="23"/>
      <c r="D1032" s="23"/>
      <c r="E1032" s="23"/>
      <c r="F1032" s="23"/>
      <c r="G1032" s="23"/>
      <c r="H1032" s="23"/>
      <c r="I1032" s="23"/>
      <c r="J1032" s="23"/>
      <c r="K1032" s="23"/>
      <c r="L1032" s="23"/>
      <c r="M1032" s="23"/>
      <c r="N1032" s="23"/>
      <c r="O1032" s="23"/>
      <c r="P1032" s="23"/>
      <c r="Q1032" s="23"/>
      <c r="R1032" s="23"/>
      <c r="S1032" s="23"/>
      <c r="T1032" s="23"/>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c r="AV1032" s="22"/>
      <c r="AW1032" s="22"/>
      <c r="AX1032" s="22"/>
    </row>
    <row r="1033" spans="1:50" x14ac:dyDescent="0.35">
      <c r="A1033" s="23"/>
      <c r="B1033" s="23"/>
      <c r="C1033" s="23"/>
      <c r="D1033" s="23"/>
      <c r="E1033" s="23"/>
      <c r="F1033" s="23"/>
      <c r="G1033" s="23"/>
      <c r="H1033" s="23"/>
      <c r="I1033" s="23"/>
      <c r="J1033" s="23"/>
      <c r="K1033" s="23"/>
      <c r="L1033" s="23"/>
      <c r="M1033" s="23"/>
      <c r="N1033" s="23"/>
      <c r="O1033" s="23"/>
      <c r="P1033" s="23"/>
      <c r="Q1033" s="23"/>
      <c r="R1033" s="23"/>
      <c r="S1033" s="23"/>
      <c r="T1033" s="23"/>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c r="AV1033" s="22"/>
      <c r="AW1033" s="22"/>
      <c r="AX1033" s="22"/>
    </row>
    <row r="1034" spans="1:50" x14ac:dyDescent="0.35">
      <c r="A1034" s="23"/>
      <c r="B1034" s="23"/>
      <c r="C1034" s="23"/>
      <c r="D1034" s="23"/>
      <c r="E1034" s="23"/>
      <c r="F1034" s="23"/>
      <c r="G1034" s="23"/>
      <c r="H1034" s="23"/>
      <c r="I1034" s="23"/>
      <c r="J1034" s="23"/>
      <c r="K1034" s="23"/>
      <c r="L1034" s="23"/>
      <c r="M1034" s="23"/>
      <c r="N1034" s="23"/>
      <c r="O1034" s="23"/>
      <c r="P1034" s="23"/>
      <c r="Q1034" s="23"/>
      <c r="R1034" s="23"/>
      <c r="S1034" s="23"/>
      <c r="T1034" s="23"/>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c r="AV1034" s="22"/>
      <c r="AW1034" s="22"/>
      <c r="AX1034" s="22"/>
    </row>
    <row r="1035" spans="1:50" x14ac:dyDescent="0.35">
      <c r="A1035" s="23"/>
      <c r="B1035" s="23"/>
      <c r="C1035" s="23"/>
      <c r="D1035" s="23"/>
      <c r="E1035" s="23"/>
      <c r="F1035" s="23"/>
      <c r="G1035" s="23"/>
      <c r="H1035" s="23"/>
      <c r="I1035" s="23"/>
      <c r="J1035" s="23"/>
      <c r="K1035" s="23"/>
      <c r="L1035" s="23"/>
      <c r="M1035" s="23"/>
      <c r="N1035" s="23"/>
      <c r="O1035" s="23"/>
      <c r="P1035" s="23"/>
      <c r="Q1035" s="23"/>
      <c r="R1035" s="23"/>
      <c r="S1035" s="23"/>
      <c r="T1035" s="23"/>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c r="AV1035" s="22"/>
      <c r="AW1035" s="22"/>
      <c r="AX1035" s="22"/>
    </row>
    <row r="1036" spans="1:50" x14ac:dyDescent="0.35">
      <c r="A1036" s="23"/>
      <c r="B1036" s="23"/>
      <c r="C1036" s="23"/>
      <c r="D1036" s="23"/>
      <c r="E1036" s="23"/>
      <c r="F1036" s="23"/>
      <c r="G1036" s="23"/>
      <c r="H1036" s="23"/>
      <c r="I1036" s="23"/>
      <c r="J1036" s="23"/>
      <c r="K1036" s="23"/>
      <c r="L1036" s="23"/>
      <c r="M1036" s="23"/>
      <c r="N1036" s="23"/>
      <c r="O1036" s="23"/>
      <c r="P1036" s="23"/>
      <c r="Q1036" s="23"/>
      <c r="R1036" s="23"/>
      <c r="S1036" s="23"/>
      <c r="T1036" s="23"/>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c r="AV1036" s="22"/>
      <c r="AW1036" s="22"/>
      <c r="AX1036" s="22"/>
    </row>
    <row r="1037" spans="1:50" x14ac:dyDescent="0.35">
      <c r="A1037" s="23"/>
      <c r="B1037" s="23"/>
      <c r="C1037" s="23"/>
      <c r="D1037" s="23"/>
      <c r="E1037" s="23"/>
      <c r="F1037" s="23"/>
      <c r="G1037" s="23"/>
      <c r="H1037" s="23"/>
      <c r="I1037" s="23"/>
      <c r="J1037" s="23"/>
      <c r="K1037" s="23"/>
      <c r="L1037" s="23"/>
      <c r="M1037" s="23"/>
      <c r="N1037" s="23"/>
      <c r="O1037" s="23"/>
      <c r="P1037" s="23"/>
      <c r="Q1037" s="23"/>
      <c r="R1037" s="23"/>
      <c r="S1037" s="23"/>
      <c r="T1037" s="23"/>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c r="AV1037" s="22"/>
      <c r="AW1037" s="22"/>
      <c r="AX1037" s="22"/>
    </row>
    <row r="1038" spans="1:50" x14ac:dyDescent="0.35">
      <c r="A1038" s="23"/>
      <c r="B1038" s="23"/>
      <c r="C1038" s="23"/>
      <c r="D1038" s="23"/>
      <c r="E1038" s="23"/>
      <c r="F1038" s="23"/>
      <c r="G1038" s="23"/>
      <c r="H1038" s="23"/>
      <c r="I1038" s="23"/>
      <c r="J1038" s="23"/>
      <c r="K1038" s="23"/>
      <c r="L1038" s="23"/>
      <c r="M1038" s="23"/>
      <c r="N1038" s="23"/>
      <c r="O1038" s="23"/>
      <c r="P1038" s="23"/>
      <c r="Q1038" s="23"/>
      <c r="R1038" s="23"/>
      <c r="S1038" s="23"/>
      <c r="T1038" s="23"/>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c r="AV1038" s="22"/>
      <c r="AW1038" s="22"/>
      <c r="AX1038" s="22"/>
    </row>
    <row r="1039" spans="1:50" x14ac:dyDescent="0.35">
      <c r="A1039" s="23"/>
      <c r="B1039" s="23"/>
      <c r="C1039" s="23"/>
      <c r="D1039" s="23"/>
      <c r="E1039" s="23"/>
      <c r="F1039" s="23"/>
      <c r="G1039" s="23"/>
      <c r="H1039" s="23"/>
      <c r="I1039" s="23"/>
      <c r="J1039" s="23"/>
      <c r="K1039" s="23"/>
      <c r="L1039" s="23"/>
      <c r="M1039" s="23"/>
      <c r="N1039" s="23"/>
      <c r="O1039" s="23"/>
      <c r="P1039" s="23"/>
      <c r="Q1039" s="23"/>
      <c r="R1039" s="23"/>
      <c r="S1039" s="23"/>
      <c r="T1039" s="23"/>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c r="AV1039" s="22"/>
      <c r="AW1039" s="22"/>
      <c r="AX1039" s="22"/>
    </row>
    <row r="1040" spans="1:50" x14ac:dyDescent="0.35">
      <c r="A1040" s="23"/>
      <c r="B1040" s="23"/>
      <c r="C1040" s="23"/>
      <c r="D1040" s="23"/>
      <c r="E1040" s="23"/>
      <c r="F1040" s="23"/>
      <c r="G1040" s="23"/>
      <c r="H1040" s="23"/>
      <c r="I1040" s="23"/>
      <c r="J1040" s="23"/>
      <c r="K1040" s="23"/>
      <c r="L1040" s="23"/>
      <c r="M1040" s="23"/>
      <c r="N1040" s="23"/>
      <c r="O1040" s="23"/>
      <c r="P1040" s="23"/>
      <c r="Q1040" s="23"/>
      <c r="R1040" s="23"/>
      <c r="S1040" s="23"/>
      <c r="T1040" s="23"/>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c r="AV1040" s="22"/>
      <c r="AW1040" s="22"/>
      <c r="AX1040" s="22"/>
    </row>
    <row r="1041" spans="1:50" x14ac:dyDescent="0.35">
      <c r="A1041" s="23"/>
      <c r="B1041" s="23"/>
      <c r="C1041" s="23"/>
      <c r="D1041" s="23"/>
      <c r="E1041" s="23"/>
      <c r="F1041" s="23"/>
      <c r="G1041" s="23"/>
      <c r="H1041" s="23"/>
      <c r="I1041" s="23"/>
      <c r="J1041" s="23"/>
      <c r="K1041" s="23"/>
      <c r="L1041" s="23"/>
      <c r="M1041" s="23"/>
      <c r="N1041" s="23"/>
      <c r="O1041" s="23"/>
      <c r="P1041" s="23"/>
      <c r="Q1041" s="23"/>
      <c r="R1041" s="23"/>
      <c r="S1041" s="23"/>
      <c r="T1041" s="23"/>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c r="AV1041" s="22"/>
      <c r="AW1041" s="22"/>
      <c r="AX1041" s="22"/>
    </row>
    <row r="1042" spans="1:50" x14ac:dyDescent="0.35">
      <c r="A1042" s="23"/>
      <c r="B1042" s="23"/>
      <c r="C1042" s="23"/>
      <c r="D1042" s="23"/>
      <c r="E1042" s="23"/>
      <c r="F1042" s="23"/>
      <c r="G1042" s="23"/>
      <c r="H1042" s="23"/>
      <c r="I1042" s="23"/>
      <c r="J1042" s="23"/>
      <c r="K1042" s="23"/>
      <c r="L1042" s="23"/>
      <c r="M1042" s="23"/>
      <c r="N1042" s="23"/>
      <c r="O1042" s="23"/>
      <c r="P1042" s="23"/>
      <c r="Q1042" s="23"/>
      <c r="R1042" s="23"/>
      <c r="S1042" s="23"/>
      <c r="T1042" s="23"/>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c r="AV1042" s="22"/>
      <c r="AW1042" s="22"/>
      <c r="AX1042" s="22"/>
    </row>
    <row r="1043" spans="1:50" x14ac:dyDescent="0.35">
      <c r="A1043" s="23"/>
      <c r="B1043" s="23"/>
      <c r="C1043" s="23"/>
      <c r="D1043" s="23"/>
      <c r="E1043" s="23"/>
      <c r="F1043" s="23"/>
      <c r="G1043" s="23"/>
      <c r="H1043" s="23"/>
      <c r="I1043" s="23"/>
      <c r="J1043" s="23"/>
      <c r="K1043" s="23"/>
      <c r="L1043" s="23"/>
      <c r="M1043" s="23"/>
      <c r="N1043" s="23"/>
      <c r="O1043" s="23"/>
      <c r="P1043" s="23"/>
      <c r="Q1043" s="23"/>
      <c r="R1043" s="23"/>
      <c r="S1043" s="23"/>
      <c r="T1043" s="23"/>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c r="AV1043" s="22"/>
      <c r="AW1043" s="22"/>
      <c r="AX1043" s="22"/>
    </row>
    <row r="1044" spans="1:50" x14ac:dyDescent="0.35">
      <c r="A1044" s="23"/>
      <c r="B1044" s="23"/>
      <c r="C1044" s="23"/>
      <c r="D1044" s="23"/>
      <c r="E1044" s="23"/>
      <c r="F1044" s="23"/>
      <c r="G1044" s="23"/>
      <c r="H1044" s="23"/>
      <c r="I1044" s="23"/>
      <c r="J1044" s="23"/>
      <c r="K1044" s="23"/>
      <c r="L1044" s="23"/>
      <c r="M1044" s="23"/>
      <c r="N1044" s="23"/>
      <c r="O1044" s="23"/>
      <c r="P1044" s="23"/>
      <c r="Q1044" s="23"/>
      <c r="R1044" s="23"/>
      <c r="S1044" s="23"/>
      <c r="T1044" s="23"/>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c r="AV1044" s="22"/>
      <c r="AW1044" s="22"/>
      <c r="AX1044" s="22"/>
    </row>
    <row r="1045" spans="1:50" x14ac:dyDescent="0.35">
      <c r="A1045" s="23"/>
      <c r="B1045" s="23"/>
      <c r="C1045" s="23"/>
      <c r="D1045" s="23"/>
      <c r="E1045" s="23"/>
      <c r="F1045" s="23"/>
      <c r="G1045" s="23"/>
      <c r="H1045" s="23"/>
      <c r="I1045" s="23"/>
      <c r="J1045" s="23"/>
      <c r="K1045" s="23"/>
      <c r="L1045" s="23"/>
      <c r="M1045" s="23"/>
      <c r="N1045" s="23"/>
      <c r="O1045" s="23"/>
      <c r="P1045" s="23"/>
      <c r="Q1045" s="23"/>
      <c r="R1045" s="23"/>
      <c r="S1045" s="23"/>
      <c r="T1045" s="23"/>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c r="AV1045" s="22"/>
      <c r="AW1045" s="22"/>
      <c r="AX1045" s="22"/>
    </row>
    <row r="1046" spans="1:50" x14ac:dyDescent="0.35">
      <c r="A1046" s="23"/>
      <c r="B1046" s="23"/>
      <c r="C1046" s="23"/>
      <c r="D1046" s="23"/>
      <c r="E1046" s="23"/>
      <c r="F1046" s="23"/>
      <c r="G1046" s="23"/>
      <c r="H1046" s="23"/>
      <c r="I1046" s="23"/>
      <c r="J1046" s="23"/>
      <c r="K1046" s="23"/>
      <c r="L1046" s="23"/>
      <c r="M1046" s="23"/>
      <c r="N1046" s="23"/>
      <c r="O1046" s="23"/>
      <c r="P1046" s="23"/>
      <c r="Q1046" s="23"/>
      <c r="R1046" s="23"/>
      <c r="S1046" s="23"/>
      <c r="T1046" s="23"/>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c r="AV1046" s="22"/>
      <c r="AW1046" s="22"/>
      <c r="AX1046" s="22"/>
    </row>
    <row r="1047" spans="1:50" x14ac:dyDescent="0.35">
      <c r="A1047" s="23"/>
      <c r="B1047" s="23"/>
      <c r="C1047" s="23"/>
      <c r="D1047" s="23"/>
      <c r="E1047" s="23"/>
      <c r="F1047" s="23"/>
      <c r="G1047" s="23"/>
      <c r="H1047" s="23"/>
      <c r="I1047" s="23"/>
      <c r="J1047" s="23"/>
      <c r="K1047" s="23"/>
      <c r="L1047" s="23"/>
      <c r="M1047" s="23"/>
      <c r="N1047" s="23"/>
      <c r="O1047" s="23"/>
      <c r="P1047" s="23"/>
      <c r="Q1047" s="23"/>
      <c r="R1047" s="23"/>
      <c r="S1047" s="23"/>
      <c r="T1047" s="23"/>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c r="AV1047" s="22"/>
      <c r="AW1047" s="22"/>
      <c r="AX1047" s="22"/>
    </row>
    <row r="1048" spans="1:50" x14ac:dyDescent="0.35">
      <c r="A1048" s="23"/>
      <c r="B1048" s="23"/>
      <c r="C1048" s="23"/>
      <c r="D1048" s="23"/>
      <c r="E1048" s="23"/>
      <c r="F1048" s="23"/>
      <c r="G1048" s="23"/>
      <c r="H1048" s="23"/>
      <c r="I1048" s="23"/>
      <c r="J1048" s="23"/>
      <c r="K1048" s="23"/>
      <c r="L1048" s="23"/>
      <c r="M1048" s="23"/>
      <c r="N1048" s="23"/>
      <c r="O1048" s="23"/>
      <c r="P1048" s="23"/>
      <c r="Q1048" s="23"/>
      <c r="R1048" s="23"/>
      <c r="S1048" s="23"/>
      <c r="T1048" s="23"/>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c r="AV1048" s="22"/>
      <c r="AW1048" s="22"/>
      <c r="AX1048" s="22"/>
    </row>
    <row r="1049" spans="1:50" x14ac:dyDescent="0.35">
      <c r="A1049" s="23"/>
      <c r="B1049" s="23"/>
      <c r="C1049" s="23"/>
      <c r="D1049" s="23"/>
      <c r="E1049" s="23"/>
      <c r="F1049" s="23"/>
      <c r="G1049" s="23"/>
      <c r="H1049" s="23"/>
      <c r="I1049" s="23"/>
      <c r="J1049" s="23"/>
      <c r="K1049" s="23"/>
      <c r="L1049" s="23"/>
      <c r="M1049" s="23"/>
      <c r="N1049" s="23"/>
      <c r="O1049" s="23"/>
      <c r="P1049" s="23"/>
      <c r="Q1049" s="23"/>
      <c r="R1049" s="23"/>
      <c r="S1049" s="23"/>
      <c r="T1049" s="23"/>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c r="AV1049" s="22"/>
      <c r="AW1049" s="22"/>
      <c r="AX1049" s="22"/>
    </row>
    <row r="1050" spans="1:50" x14ac:dyDescent="0.35">
      <c r="A1050" s="23"/>
      <c r="B1050" s="23"/>
      <c r="C1050" s="23"/>
      <c r="D1050" s="23"/>
      <c r="E1050" s="23"/>
      <c r="F1050" s="23"/>
      <c r="G1050" s="23"/>
      <c r="H1050" s="23"/>
      <c r="I1050" s="23"/>
      <c r="J1050" s="23"/>
      <c r="K1050" s="23"/>
      <c r="L1050" s="23"/>
      <c r="M1050" s="23"/>
      <c r="N1050" s="23"/>
      <c r="O1050" s="23"/>
      <c r="P1050" s="23"/>
      <c r="Q1050" s="23"/>
      <c r="R1050" s="23"/>
      <c r="S1050" s="23"/>
      <c r="T1050" s="23"/>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c r="AV1050" s="22"/>
      <c r="AW1050" s="22"/>
      <c r="AX1050" s="22"/>
    </row>
    <row r="1051" spans="1:50" x14ac:dyDescent="0.35">
      <c r="A1051" s="23"/>
      <c r="B1051" s="23"/>
      <c r="C1051" s="23"/>
      <c r="D1051" s="23"/>
      <c r="E1051" s="23"/>
      <c r="F1051" s="23"/>
      <c r="G1051" s="23"/>
      <c r="H1051" s="23"/>
      <c r="I1051" s="23"/>
      <c r="J1051" s="23"/>
      <c r="K1051" s="23"/>
      <c r="L1051" s="23"/>
      <c r="M1051" s="23"/>
      <c r="N1051" s="23"/>
      <c r="O1051" s="23"/>
      <c r="P1051" s="23"/>
      <c r="Q1051" s="23"/>
      <c r="R1051" s="23"/>
      <c r="S1051" s="23"/>
      <c r="T1051" s="23"/>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c r="AV1051" s="22"/>
      <c r="AW1051" s="22"/>
      <c r="AX1051" s="22"/>
    </row>
    <row r="1052" spans="1:50" x14ac:dyDescent="0.35">
      <c r="A1052" s="23"/>
      <c r="B1052" s="23"/>
      <c r="C1052" s="23"/>
      <c r="D1052" s="23"/>
      <c r="E1052" s="23"/>
      <c r="F1052" s="23"/>
      <c r="G1052" s="23"/>
      <c r="H1052" s="23"/>
      <c r="I1052" s="23"/>
      <c r="J1052" s="23"/>
      <c r="K1052" s="23"/>
      <c r="L1052" s="23"/>
      <c r="M1052" s="23"/>
      <c r="N1052" s="23"/>
      <c r="O1052" s="23"/>
      <c r="P1052" s="23"/>
      <c r="Q1052" s="23"/>
      <c r="R1052" s="23"/>
      <c r="S1052" s="23"/>
      <c r="T1052" s="23"/>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c r="AV1052" s="22"/>
      <c r="AW1052" s="22"/>
      <c r="AX1052" s="22"/>
    </row>
    <row r="1053" spans="1:50" x14ac:dyDescent="0.35">
      <c r="A1053" s="23"/>
      <c r="B1053" s="23"/>
      <c r="C1053" s="23"/>
      <c r="D1053" s="23"/>
      <c r="E1053" s="23"/>
      <c r="F1053" s="23"/>
      <c r="G1053" s="23"/>
      <c r="H1053" s="23"/>
      <c r="I1053" s="23"/>
      <c r="J1053" s="23"/>
      <c r="K1053" s="23"/>
      <c r="L1053" s="23"/>
      <c r="M1053" s="23"/>
      <c r="N1053" s="23"/>
      <c r="O1053" s="23"/>
      <c r="P1053" s="23"/>
      <c r="Q1053" s="23"/>
      <c r="R1053" s="23"/>
      <c r="S1053" s="23"/>
      <c r="T1053" s="23"/>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c r="AV1053" s="22"/>
      <c r="AW1053" s="22"/>
      <c r="AX1053" s="22"/>
    </row>
    <row r="1054" spans="1:50" x14ac:dyDescent="0.35">
      <c r="A1054" s="23"/>
      <c r="B1054" s="23"/>
      <c r="C1054" s="23"/>
      <c r="D1054" s="23"/>
      <c r="E1054" s="23"/>
      <c r="F1054" s="23"/>
      <c r="G1054" s="23"/>
      <c r="H1054" s="23"/>
      <c r="I1054" s="23"/>
      <c r="J1054" s="23"/>
      <c r="K1054" s="23"/>
      <c r="L1054" s="23"/>
      <c r="M1054" s="23"/>
      <c r="N1054" s="23"/>
      <c r="O1054" s="23"/>
      <c r="P1054" s="23"/>
      <c r="Q1054" s="23"/>
      <c r="R1054" s="23"/>
      <c r="S1054" s="23"/>
      <c r="T1054" s="23"/>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c r="AV1054" s="22"/>
      <c r="AW1054" s="22"/>
      <c r="AX1054" s="22"/>
    </row>
    <row r="1055" spans="1:50" x14ac:dyDescent="0.35">
      <c r="A1055" s="23"/>
      <c r="B1055" s="23"/>
      <c r="C1055" s="23"/>
      <c r="D1055" s="23"/>
      <c r="E1055" s="23"/>
      <c r="F1055" s="23"/>
      <c r="G1055" s="23"/>
      <c r="H1055" s="23"/>
      <c r="I1055" s="23"/>
      <c r="J1055" s="23"/>
      <c r="K1055" s="23"/>
      <c r="L1055" s="23"/>
      <c r="M1055" s="23"/>
      <c r="N1055" s="23"/>
      <c r="O1055" s="23"/>
      <c r="P1055" s="23"/>
      <c r="Q1055" s="23"/>
      <c r="R1055" s="23"/>
      <c r="S1055" s="23"/>
      <c r="T1055" s="23"/>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c r="AV1055" s="22"/>
      <c r="AW1055" s="22"/>
      <c r="AX1055" s="22"/>
    </row>
    <row r="1056" spans="1:50" x14ac:dyDescent="0.35">
      <c r="A1056" s="23"/>
      <c r="B1056" s="23"/>
      <c r="C1056" s="23"/>
      <c r="D1056" s="23"/>
      <c r="E1056" s="23"/>
      <c r="F1056" s="23"/>
      <c r="G1056" s="23"/>
      <c r="H1056" s="23"/>
      <c r="I1056" s="23"/>
      <c r="J1056" s="23"/>
      <c r="K1056" s="23"/>
      <c r="L1056" s="23"/>
      <c r="M1056" s="23"/>
      <c r="N1056" s="23"/>
      <c r="O1056" s="23"/>
      <c r="P1056" s="23"/>
      <c r="Q1056" s="23"/>
      <c r="R1056" s="23"/>
      <c r="S1056" s="23"/>
      <c r="T1056" s="23"/>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c r="AV1056" s="22"/>
      <c r="AW1056" s="22"/>
      <c r="AX1056" s="22"/>
    </row>
    <row r="1057" spans="1:50" x14ac:dyDescent="0.35">
      <c r="A1057" s="23"/>
      <c r="B1057" s="23"/>
      <c r="C1057" s="23"/>
      <c r="D1057" s="23"/>
      <c r="E1057" s="23"/>
      <c r="F1057" s="23"/>
      <c r="G1057" s="23"/>
      <c r="H1057" s="23"/>
      <c r="I1057" s="23"/>
      <c r="J1057" s="23"/>
      <c r="K1057" s="23"/>
      <c r="L1057" s="23"/>
      <c r="M1057" s="23"/>
      <c r="N1057" s="23"/>
      <c r="O1057" s="23"/>
      <c r="P1057" s="23"/>
      <c r="Q1057" s="23"/>
      <c r="R1057" s="23"/>
      <c r="S1057" s="23"/>
      <c r="T1057" s="23"/>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c r="AV1057" s="22"/>
      <c r="AW1057" s="22"/>
      <c r="AX1057" s="22"/>
    </row>
    <row r="1058" spans="1:50" x14ac:dyDescent="0.35">
      <c r="A1058" s="23"/>
      <c r="B1058" s="23"/>
      <c r="C1058" s="23"/>
      <c r="D1058" s="23"/>
      <c r="E1058" s="23"/>
      <c r="F1058" s="23"/>
      <c r="G1058" s="23"/>
      <c r="H1058" s="23"/>
      <c r="I1058" s="23"/>
      <c r="J1058" s="23"/>
      <c r="K1058" s="23"/>
      <c r="L1058" s="23"/>
      <c r="M1058" s="23"/>
      <c r="N1058" s="23"/>
      <c r="O1058" s="23"/>
      <c r="P1058" s="23"/>
      <c r="Q1058" s="23"/>
      <c r="R1058" s="23"/>
      <c r="S1058" s="23"/>
      <c r="T1058" s="23"/>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c r="AV1058" s="22"/>
      <c r="AW1058" s="22"/>
      <c r="AX1058" s="22"/>
    </row>
    <row r="1059" spans="1:50" x14ac:dyDescent="0.35">
      <c r="A1059" s="23"/>
      <c r="B1059" s="23"/>
      <c r="C1059" s="23"/>
      <c r="D1059" s="23"/>
      <c r="E1059" s="23"/>
      <c r="F1059" s="23"/>
      <c r="G1059" s="23"/>
      <c r="H1059" s="23"/>
      <c r="I1059" s="23"/>
      <c r="J1059" s="23"/>
      <c r="K1059" s="23"/>
      <c r="L1059" s="23"/>
      <c r="M1059" s="23"/>
      <c r="N1059" s="23"/>
      <c r="O1059" s="23"/>
      <c r="P1059" s="23"/>
      <c r="Q1059" s="23"/>
      <c r="R1059" s="23"/>
      <c r="S1059" s="23"/>
      <c r="T1059" s="23"/>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c r="AV1059" s="22"/>
      <c r="AW1059" s="22"/>
      <c r="AX1059" s="22"/>
    </row>
    <row r="1060" spans="1:50" x14ac:dyDescent="0.35">
      <c r="A1060" s="23"/>
      <c r="B1060" s="23"/>
      <c r="C1060" s="23"/>
      <c r="D1060" s="23"/>
      <c r="E1060" s="23"/>
      <c r="F1060" s="23"/>
      <c r="G1060" s="23"/>
      <c r="H1060" s="23"/>
      <c r="I1060" s="23"/>
      <c r="J1060" s="23"/>
      <c r="K1060" s="23"/>
      <c r="L1060" s="23"/>
      <c r="M1060" s="23"/>
      <c r="N1060" s="23"/>
      <c r="O1060" s="23"/>
      <c r="P1060" s="23"/>
      <c r="Q1060" s="23"/>
      <c r="R1060" s="23"/>
      <c r="S1060" s="23"/>
      <c r="T1060" s="23"/>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c r="AV1060" s="22"/>
      <c r="AW1060" s="22"/>
      <c r="AX1060" s="22"/>
    </row>
    <row r="1061" spans="1:50" x14ac:dyDescent="0.35">
      <c r="A1061" s="23"/>
      <c r="B1061" s="23"/>
      <c r="C1061" s="23"/>
      <c r="D1061" s="23"/>
      <c r="E1061" s="23"/>
      <c r="F1061" s="23"/>
      <c r="G1061" s="23"/>
      <c r="H1061" s="23"/>
      <c r="I1061" s="23"/>
      <c r="J1061" s="23"/>
      <c r="K1061" s="23"/>
      <c r="L1061" s="23"/>
      <c r="M1061" s="23"/>
      <c r="N1061" s="23"/>
      <c r="O1061" s="23"/>
      <c r="P1061" s="23"/>
      <c r="Q1061" s="23"/>
      <c r="R1061" s="23"/>
      <c r="S1061" s="23"/>
      <c r="T1061" s="23"/>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c r="AV1061" s="22"/>
      <c r="AW1061" s="22"/>
      <c r="AX1061" s="22"/>
    </row>
    <row r="1062" spans="1:50" x14ac:dyDescent="0.35">
      <c r="A1062" s="23"/>
      <c r="B1062" s="23"/>
      <c r="C1062" s="23"/>
      <c r="D1062" s="23"/>
      <c r="E1062" s="23"/>
      <c r="F1062" s="23"/>
      <c r="G1062" s="23"/>
      <c r="H1062" s="23"/>
      <c r="I1062" s="23"/>
      <c r="J1062" s="23"/>
      <c r="K1062" s="23"/>
      <c r="L1062" s="23"/>
      <c r="M1062" s="23"/>
      <c r="N1062" s="23"/>
      <c r="O1062" s="23"/>
      <c r="P1062" s="23"/>
      <c r="Q1062" s="23"/>
      <c r="R1062" s="23"/>
      <c r="S1062" s="23"/>
      <c r="T1062" s="23"/>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c r="AV1062" s="22"/>
      <c r="AW1062" s="22"/>
      <c r="AX1062" s="22"/>
    </row>
    <row r="1063" spans="1:50" x14ac:dyDescent="0.35">
      <c r="A1063" s="23"/>
      <c r="B1063" s="23"/>
      <c r="C1063" s="23"/>
      <c r="D1063" s="23"/>
      <c r="E1063" s="23"/>
      <c r="F1063" s="23"/>
      <c r="G1063" s="23"/>
      <c r="H1063" s="23"/>
      <c r="I1063" s="23"/>
      <c r="J1063" s="23"/>
      <c r="K1063" s="23"/>
      <c r="L1063" s="23"/>
      <c r="M1063" s="23"/>
      <c r="N1063" s="23"/>
      <c r="O1063" s="23"/>
      <c r="P1063" s="23"/>
      <c r="Q1063" s="23"/>
      <c r="R1063" s="23"/>
      <c r="S1063" s="23"/>
      <c r="T1063" s="23"/>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c r="AV1063" s="22"/>
      <c r="AW1063" s="22"/>
      <c r="AX1063" s="22"/>
    </row>
    <row r="1064" spans="1:50" x14ac:dyDescent="0.35">
      <c r="A1064" s="23"/>
      <c r="B1064" s="23"/>
      <c r="C1064" s="23"/>
      <c r="D1064" s="23"/>
      <c r="E1064" s="23"/>
      <c r="F1064" s="23"/>
      <c r="G1064" s="23"/>
      <c r="H1064" s="23"/>
      <c r="I1064" s="23"/>
      <c r="J1064" s="23"/>
      <c r="K1064" s="23"/>
      <c r="L1064" s="23"/>
      <c r="M1064" s="23"/>
      <c r="N1064" s="23"/>
      <c r="O1064" s="23"/>
      <c r="P1064" s="23"/>
      <c r="Q1064" s="23"/>
      <c r="R1064" s="23"/>
      <c r="S1064" s="23"/>
      <c r="T1064" s="23"/>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c r="AV1064" s="22"/>
      <c r="AW1064" s="22"/>
      <c r="AX1064" s="22"/>
    </row>
    <row r="1065" spans="1:50" x14ac:dyDescent="0.35">
      <c r="A1065" s="23"/>
      <c r="B1065" s="23"/>
      <c r="C1065" s="23"/>
      <c r="D1065" s="23"/>
      <c r="E1065" s="23"/>
      <c r="F1065" s="23"/>
      <c r="G1065" s="23"/>
      <c r="H1065" s="23"/>
      <c r="I1065" s="23"/>
      <c r="J1065" s="23"/>
      <c r="K1065" s="23"/>
      <c r="L1065" s="23"/>
      <c r="M1065" s="23"/>
      <c r="N1065" s="23"/>
      <c r="O1065" s="23"/>
      <c r="P1065" s="23"/>
      <c r="Q1065" s="23"/>
      <c r="R1065" s="23"/>
      <c r="S1065" s="23"/>
      <c r="T1065" s="23"/>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c r="AV1065" s="22"/>
      <c r="AW1065" s="22"/>
      <c r="AX1065" s="22"/>
    </row>
    <row r="1066" spans="1:50" x14ac:dyDescent="0.35">
      <c r="A1066" s="23"/>
      <c r="B1066" s="23"/>
      <c r="C1066" s="23"/>
      <c r="D1066" s="23"/>
      <c r="E1066" s="23"/>
      <c r="F1066" s="23"/>
      <c r="G1066" s="23"/>
      <c r="H1066" s="23"/>
      <c r="I1066" s="23"/>
      <c r="J1066" s="23"/>
      <c r="K1066" s="23"/>
      <c r="L1066" s="23"/>
      <c r="M1066" s="23"/>
      <c r="N1066" s="23"/>
      <c r="O1066" s="23"/>
      <c r="P1066" s="23"/>
      <c r="Q1066" s="23"/>
      <c r="R1066" s="23"/>
      <c r="S1066" s="23"/>
      <c r="T1066" s="23"/>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c r="AV1066" s="22"/>
      <c r="AW1066" s="22"/>
      <c r="AX1066" s="22"/>
    </row>
    <row r="1067" spans="1:50" x14ac:dyDescent="0.35">
      <c r="A1067" s="23"/>
      <c r="B1067" s="23"/>
      <c r="C1067" s="23"/>
      <c r="D1067" s="23"/>
      <c r="E1067" s="23"/>
      <c r="F1067" s="23"/>
      <c r="G1067" s="23"/>
      <c r="H1067" s="23"/>
      <c r="I1067" s="23"/>
      <c r="J1067" s="23"/>
      <c r="K1067" s="23"/>
      <c r="L1067" s="23"/>
      <c r="M1067" s="23"/>
      <c r="N1067" s="23"/>
      <c r="O1067" s="23"/>
      <c r="P1067" s="23"/>
      <c r="Q1067" s="23"/>
      <c r="R1067" s="23"/>
      <c r="S1067" s="23"/>
      <c r="T1067" s="23"/>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c r="AV1067" s="22"/>
      <c r="AW1067" s="22"/>
      <c r="AX1067" s="22"/>
    </row>
    <row r="1068" spans="1:50" x14ac:dyDescent="0.35">
      <c r="A1068" s="23"/>
      <c r="B1068" s="23"/>
      <c r="C1068" s="23"/>
      <c r="D1068" s="23"/>
      <c r="E1068" s="23"/>
      <c r="F1068" s="23"/>
      <c r="G1068" s="23"/>
      <c r="H1068" s="23"/>
      <c r="I1068" s="23"/>
      <c r="J1068" s="23"/>
      <c r="K1068" s="23"/>
      <c r="L1068" s="23"/>
      <c r="M1068" s="23"/>
      <c r="N1068" s="23"/>
      <c r="O1068" s="23"/>
      <c r="P1068" s="23"/>
      <c r="Q1068" s="23"/>
      <c r="R1068" s="23"/>
      <c r="S1068" s="23"/>
      <c r="T1068" s="23"/>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c r="AV1068" s="22"/>
      <c r="AW1068" s="22"/>
      <c r="AX1068" s="22"/>
    </row>
    <row r="1069" spans="1:50" x14ac:dyDescent="0.35">
      <c r="A1069" s="23"/>
      <c r="B1069" s="23"/>
      <c r="C1069" s="23"/>
      <c r="D1069" s="23"/>
      <c r="E1069" s="23"/>
      <c r="F1069" s="23"/>
      <c r="G1069" s="23"/>
      <c r="H1069" s="23"/>
      <c r="I1069" s="23"/>
      <c r="J1069" s="23"/>
      <c r="K1069" s="23"/>
      <c r="L1069" s="23"/>
      <c r="M1069" s="23"/>
      <c r="N1069" s="23"/>
      <c r="O1069" s="23"/>
      <c r="P1069" s="23"/>
      <c r="Q1069" s="23"/>
      <c r="R1069" s="23"/>
      <c r="S1069" s="23"/>
      <c r="T1069" s="23"/>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c r="AV1069" s="22"/>
      <c r="AW1069" s="22"/>
      <c r="AX1069" s="22"/>
    </row>
    <row r="1070" spans="1:50" x14ac:dyDescent="0.35">
      <c r="A1070" s="23"/>
      <c r="B1070" s="23"/>
      <c r="C1070" s="23"/>
      <c r="D1070" s="23"/>
      <c r="E1070" s="23"/>
      <c r="F1070" s="23"/>
      <c r="G1070" s="23"/>
      <c r="H1070" s="23"/>
      <c r="I1070" s="23"/>
      <c r="J1070" s="23"/>
      <c r="K1070" s="23"/>
      <c r="L1070" s="23"/>
      <c r="M1070" s="23"/>
      <c r="N1070" s="23"/>
      <c r="O1070" s="23"/>
      <c r="P1070" s="23"/>
      <c r="Q1070" s="23"/>
      <c r="R1070" s="23"/>
      <c r="S1070" s="23"/>
      <c r="T1070" s="23"/>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c r="AV1070" s="22"/>
      <c r="AW1070" s="22"/>
      <c r="AX1070" s="22"/>
    </row>
    <row r="1071" spans="1:50" x14ac:dyDescent="0.35">
      <c r="A1071" s="23"/>
      <c r="B1071" s="23"/>
      <c r="C1071" s="23"/>
      <c r="D1071" s="23"/>
      <c r="E1071" s="23"/>
      <c r="F1071" s="23"/>
      <c r="G1071" s="23"/>
      <c r="H1071" s="23"/>
      <c r="I1071" s="23"/>
      <c r="J1071" s="23"/>
      <c r="K1071" s="23"/>
      <c r="L1071" s="23"/>
      <c r="M1071" s="23"/>
      <c r="N1071" s="23"/>
      <c r="O1071" s="23"/>
      <c r="P1071" s="23"/>
      <c r="Q1071" s="23"/>
      <c r="R1071" s="23"/>
      <c r="S1071" s="23"/>
      <c r="T1071" s="23"/>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c r="AV1071" s="22"/>
      <c r="AW1071" s="22"/>
      <c r="AX1071" s="22"/>
    </row>
    <row r="1072" spans="1:50" x14ac:dyDescent="0.35">
      <c r="A1072" s="23"/>
      <c r="B1072" s="23"/>
      <c r="C1072" s="23"/>
      <c r="D1072" s="23"/>
      <c r="E1072" s="23"/>
      <c r="F1072" s="23"/>
      <c r="G1072" s="23"/>
      <c r="H1072" s="23"/>
      <c r="I1072" s="23"/>
      <c r="J1072" s="23"/>
      <c r="K1072" s="23"/>
      <c r="L1072" s="23"/>
      <c r="M1072" s="23"/>
      <c r="N1072" s="23"/>
      <c r="O1072" s="23"/>
      <c r="P1072" s="23"/>
      <c r="Q1072" s="23"/>
      <c r="R1072" s="23"/>
      <c r="S1072" s="23"/>
      <c r="T1072" s="23"/>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c r="AV1072" s="22"/>
      <c r="AW1072" s="22"/>
      <c r="AX1072" s="22"/>
    </row>
    <row r="1073" spans="1:50" x14ac:dyDescent="0.35">
      <c r="A1073" s="23"/>
      <c r="B1073" s="23"/>
      <c r="C1073" s="23"/>
      <c r="D1073" s="23"/>
      <c r="E1073" s="23"/>
      <c r="F1073" s="23"/>
      <c r="G1073" s="23"/>
      <c r="H1073" s="23"/>
      <c r="I1073" s="23"/>
      <c r="J1073" s="23"/>
      <c r="K1073" s="23"/>
      <c r="L1073" s="23"/>
      <c r="M1073" s="23"/>
      <c r="N1073" s="23"/>
      <c r="O1073" s="23"/>
      <c r="P1073" s="23"/>
      <c r="Q1073" s="23"/>
      <c r="R1073" s="23"/>
      <c r="S1073" s="23"/>
      <c r="T1073" s="23"/>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c r="AV1073" s="22"/>
      <c r="AW1073" s="22"/>
      <c r="AX1073" s="22"/>
    </row>
    <row r="1074" spans="1:50" x14ac:dyDescent="0.35">
      <c r="A1074" s="23"/>
      <c r="B1074" s="23"/>
      <c r="C1074" s="23"/>
      <c r="D1074" s="23"/>
      <c r="E1074" s="23"/>
      <c r="F1074" s="23"/>
      <c r="G1074" s="23"/>
      <c r="H1074" s="23"/>
      <c r="I1074" s="23"/>
      <c r="J1074" s="23"/>
      <c r="K1074" s="23"/>
      <c r="L1074" s="23"/>
      <c r="M1074" s="23"/>
      <c r="N1074" s="23"/>
      <c r="O1074" s="23"/>
      <c r="P1074" s="23"/>
      <c r="Q1074" s="23"/>
      <c r="R1074" s="23"/>
      <c r="S1074" s="23"/>
      <c r="T1074" s="23"/>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c r="AV1074" s="22"/>
      <c r="AW1074" s="22"/>
      <c r="AX1074" s="22"/>
    </row>
    <row r="1075" spans="1:50" x14ac:dyDescent="0.35">
      <c r="A1075" s="23"/>
      <c r="B1075" s="23"/>
      <c r="C1075" s="23"/>
      <c r="D1075" s="23"/>
      <c r="E1075" s="23"/>
      <c r="F1075" s="23"/>
      <c r="G1075" s="23"/>
      <c r="H1075" s="23"/>
      <c r="I1075" s="23"/>
      <c r="J1075" s="23"/>
      <c r="K1075" s="23"/>
      <c r="L1075" s="23"/>
      <c r="M1075" s="23"/>
      <c r="N1075" s="23"/>
      <c r="O1075" s="23"/>
      <c r="P1075" s="23"/>
      <c r="Q1075" s="23"/>
      <c r="R1075" s="23"/>
      <c r="S1075" s="23"/>
      <c r="T1075" s="23"/>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c r="AV1075" s="22"/>
      <c r="AW1075" s="22"/>
      <c r="AX1075" s="22"/>
    </row>
    <row r="1076" spans="1:50" x14ac:dyDescent="0.35">
      <c r="A1076" s="23"/>
      <c r="B1076" s="23"/>
      <c r="C1076" s="23"/>
      <c r="D1076" s="23"/>
      <c r="E1076" s="23"/>
      <c r="F1076" s="23"/>
      <c r="G1076" s="23"/>
      <c r="H1076" s="23"/>
      <c r="I1076" s="23"/>
      <c r="J1076" s="23"/>
      <c r="K1076" s="23"/>
      <c r="L1076" s="23"/>
      <c r="M1076" s="23"/>
      <c r="N1076" s="23"/>
      <c r="O1076" s="23"/>
      <c r="P1076" s="23"/>
      <c r="Q1076" s="23"/>
      <c r="R1076" s="23"/>
      <c r="S1076" s="23"/>
      <c r="T1076" s="23"/>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c r="AV1076" s="22"/>
      <c r="AW1076" s="22"/>
      <c r="AX1076" s="22"/>
    </row>
    <row r="1077" spans="1:50" x14ac:dyDescent="0.35">
      <c r="A1077" s="23"/>
      <c r="B1077" s="23"/>
      <c r="C1077" s="23"/>
      <c r="D1077" s="23"/>
      <c r="E1077" s="23"/>
      <c r="F1077" s="23"/>
      <c r="G1077" s="23"/>
      <c r="H1077" s="23"/>
      <c r="I1077" s="23"/>
      <c r="J1077" s="23"/>
      <c r="K1077" s="23"/>
      <c r="L1077" s="23"/>
      <c r="M1077" s="23"/>
      <c r="N1077" s="23"/>
      <c r="O1077" s="23"/>
      <c r="P1077" s="23"/>
      <c r="Q1077" s="23"/>
      <c r="R1077" s="23"/>
      <c r="S1077" s="23"/>
      <c r="T1077" s="23"/>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c r="AV1077" s="22"/>
      <c r="AW1077" s="22"/>
      <c r="AX1077" s="22"/>
    </row>
    <row r="1078" spans="1:50" x14ac:dyDescent="0.35">
      <c r="A1078" s="23"/>
      <c r="B1078" s="23"/>
      <c r="C1078" s="23"/>
      <c r="D1078" s="23"/>
      <c r="E1078" s="23"/>
      <c r="F1078" s="23"/>
      <c r="G1078" s="23"/>
      <c r="H1078" s="23"/>
      <c r="I1078" s="23"/>
      <c r="J1078" s="23"/>
      <c r="K1078" s="23"/>
      <c r="L1078" s="23"/>
      <c r="M1078" s="23"/>
      <c r="N1078" s="23"/>
      <c r="O1078" s="23"/>
      <c r="P1078" s="23"/>
      <c r="Q1078" s="23"/>
      <c r="R1078" s="23"/>
      <c r="S1078" s="23"/>
      <c r="T1078" s="23"/>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c r="AV1078" s="22"/>
      <c r="AW1078" s="22"/>
      <c r="AX1078" s="22"/>
    </row>
    <row r="1079" spans="1:50" x14ac:dyDescent="0.35">
      <c r="A1079" s="23"/>
      <c r="B1079" s="23"/>
      <c r="C1079" s="23"/>
      <c r="D1079" s="23"/>
      <c r="E1079" s="23"/>
      <c r="F1079" s="23"/>
      <c r="G1079" s="23"/>
      <c r="H1079" s="23"/>
      <c r="I1079" s="23"/>
      <c r="J1079" s="23"/>
      <c r="K1079" s="23"/>
      <c r="L1079" s="23"/>
      <c r="M1079" s="23"/>
      <c r="N1079" s="23"/>
      <c r="O1079" s="23"/>
      <c r="P1079" s="23"/>
      <c r="Q1079" s="23"/>
      <c r="R1079" s="23"/>
      <c r="S1079" s="23"/>
      <c r="T1079" s="23"/>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c r="AV1079" s="22"/>
      <c r="AW1079" s="22"/>
      <c r="AX1079" s="22"/>
    </row>
    <row r="1080" spans="1:50" x14ac:dyDescent="0.35">
      <c r="A1080" s="23"/>
      <c r="B1080" s="23"/>
      <c r="C1080" s="23"/>
      <c r="D1080" s="23"/>
      <c r="E1080" s="23"/>
      <c r="F1080" s="23"/>
      <c r="G1080" s="23"/>
      <c r="H1080" s="23"/>
      <c r="I1080" s="23"/>
      <c r="J1080" s="23"/>
      <c r="K1080" s="23"/>
      <c r="L1080" s="23"/>
      <c r="M1080" s="23"/>
      <c r="N1080" s="23"/>
      <c r="O1080" s="23"/>
      <c r="P1080" s="23"/>
      <c r="Q1080" s="23"/>
      <c r="R1080" s="23"/>
      <c r="S1080" s="23"/>
      <c r="T1080" s="23"/>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c r="AV1080" s="22"/>
      <c r="AW1080" s="22"/>
      <c r="AX1080" s="22"/>
    </row>
    <row r="1081" spans="1:50" x14ac:dyDescent="0.35">
      <c r="A1081" s="23"/>
      <c r="B1081" s="23"/>
      <c r="C1081" s="23"/>
      <c r="D1081" s="23"/>
      <c r="E1081" s="23"/>
      <c r="F1081" s="23"/>
      <c r="G1081" s="23"/>
      <c r="H1081" s="23"/>
      <c r="I1081" s="23"/>
      <c r="J1081" s="23"/>
      <c r="K1081" s="23"/>
      <c r="L1081" s="23"/>
      <c r="M1081" s="23"/>
      <c r="N1081" s="23"/>
      <c r="O1081" s="23"/>
      <c r="P1081" s="23"/>
      <c r="Q1081" s="23"/>
      <c r="R1081" s="23"/>
      <c r="S1081" s="23"/>
      <c r="T1081" s="23"/>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c r="AV1081" s="22"/>
      <c r="AW1081" s="22"/>
      <c r="AX1081" s="22"/>
    </row>
    <row r="1082" spans="1:50" x14ac:dyDescent="0.35">
      <c r="A1082" s="23"/>
      <c r="B1082" s="23"/>
      <c r="C1082" s="23"/>
      <c r="D1082" s="23"/>
      <c r="E1082" s="23"/>
      <c r="F1082" s="23"/>
      <c r="G1082" s="23"/>
      <c r="H1082" s="23"/>
      <c r="I1082" s="23"/>
      <c r="J1082" s="23"/>
      <c r="K1082" s="23"/>
      <c r="L1082" s="23"/>
      <c r="M1082" s="23"/>
      <c r="N1082" s="23"/>
      <c r="O1082" s="23"/>
      <c r="P1082" s="23"/>
      <c r="Q1082" s="23"/>
      <c r="R1082" s="23"/>
      <c r="S1082" s="23"/>
      <c r="T1082" s="23"/>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c r="AV1082" s="22"/>
      <c r="AW1082" s="22"/>
      <c r="AX1082" s="22"/>
    </row>
    <row r="1083" spans="1:50" x14ac:dyDescent="0.35">
      <c r="A1083" s="23"/>
      <c r="B1083" s="23"/>
      <c r="C1083" s="23"/>
      <c r="D1083" s="23"/>
      <c r="E1083" s="23"/>
      <c r="F1083" s="23"/>
      <c r="G1083" s="23"/>
      <c r="H1083" s="23"/>
      <c r="I1083" s="23"/>
      <c r="J1083" s="23"/>
      <c r="K1083" s="23"/>
      <c r="L1083" s="23"/>
      <c r="M1083" s="23"/>
      <c r="N1083" s="23"/>
      <c r="O1083" s="23"/>
      <c r="P1083" s="23"/>
      <c r="Q1083" s="23"/>
      <c r="R1083" s="23"/>
      <c r="S1083" s="23"/>
      <c r="T1083" s="23"/>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c r="AV1083" s="22"/>
      <c r="AW1083" s="22"/>
      <c r="AX1083" s="22"/>
    </row>
    <row r="1084" spans="1:50" x14ac:dyDescent="0.35">
      <c r="A1084" s="23"/>
      <c r="B1084" s="23"/>
      <c r="C1084" s="23"/>
      <c r="D1084" s="23"/>
      <c r="E1084" s="23"/>
      <c r="F1084" s="23"/>
      <c r="G1084" s="23"/>
      <c r="H1084" s="23"/>
      <c r="I1084" s="23"/>
      <c r="J1084" s="23"/>
      <c r="K1084" s="23"/>
      <c r="L1084" s="23"/>
      <c r="M1084" s="23"/>
      <c r="N1084" s="23"/>
      <c r="O1084" s="23"/>
      <c r="P1084" s="23"/>
      <c r="Q1084" s="23"/>
      <c r="R1084" s="23"/>
      <c r="S1084" s="23"/>
      <c r="T1084" s="23"/>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c r="AV1084" s="22"/>
      <c r="AW1084" s="22"/>
      <c r="AX1084" s="22"/>
    </row>
    <row r="1085" spans="1:50" x14ac:dyDescent="0.35">
      <c r="A1085" s="23"/>
      <c r="B1085" s="23"/>
      <c r="C1085" s="23"/>
      <c r="D1085" s="23"/>
      <c r="E1085" s="23"/>
      <c r="F1085" s="23"/>
      <c r="G1085" s="23"/>
      <c r="H1085" s="23"/>
      <c r="I1085" s="23"/>
      <c r="J1085" s="23"/>
      <c r="K1085" s="23"/>
      <c r="L1085" s="23"/>
      <c r="M1085" s="23"/>
      <c r="N1085" s="23"/>
      <c r="O1085" s="23"/>
      <c r="P1085" s="23"/>
      <c r="Q1085" s="23"/>
      <c r="R1085" s="23"/>
      <c r="S1085" s="23"/>
      <c r="T1085" s="23"/>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c r="AV1085" s="22"/>
      <c r="AW1085" s="22"/>
      <c r="AX1085" s="22"/>
    </row>
    <row r="1086" spans="1:50" x14ac:dyDescent="0.35">
      <c r="A1086" s="23"/>
      <c r="B1086" s="23"/>
      <c r="C1086" s="23"/>
      <c r="D1086" s="23"/>
      <c r="E1086" s="23"/>
      <c r="F1086" s="23"/>
      <c r="G1086" s="23"/>
      <c r="H1086" s="23"/>
      <c r="I1086" s="23"/>
      <c r="J1086" s="23"/>
      <c r="K1086" s="23"/>
      <c r="L1086" s="23"/>
      <c r="M1086" s="23"/>
      <c r="N1086" s="23"/>
      <c r="O1086" s="23"/>
      <c r="P1086" s="23"/>
      <c r="Q1086" s="23"/>
      <c r="R1086" s="23"/>
      <c r="S1086" s="23"/>
      <c r="T1086" s="23"/>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c r="AV1086" s="22"/>
      <c r="AW1086" s="22"/>
      <c r="AX1086" s="22"/>
    </row>
    <row r="1087" spans="1:50" x14ac:dyDescent="0.35">
      <c r="A1087" s="23"/>
      <c r="B1087" s="23"/>
      <c r="C1087" s="23"/>
      <c r="D1087" s="23"/>
      <c r="E1087" s="23"/>
      <c r="F1087" s="23"/>
      <c r="G1087" s="23"/>
      <c r="H1087" s="23"/>
      <c r="I1087" s="23"/>
      <c r="J1087" s="23"/>
      <c r="K1087" s="23"/>
      <c r="L1087" s="23"/>
      <c r="M1087" s="23"/>
      <c r="N1087" s="23"/>
      <c r="O1087" s="23"/>
      <c r="P1087" s="23"/>
      <c r="Q1087" s="23"/>
      <c r="R1087" s="23"/>
      <c r="S1087" s="23"/>
      <c r="T1087" s="23"/>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c r="AV1087" s="22"/>
      <c r="AW1087" s="22"/>
      <c r="AX1087" s="22"/>
    </row>
    <row r="1088" spans="1:50" x14ac:dyDescent="0.35">
      <c r="A1088" s="23"/>
      <c r="B1088" s="23"/>
      <c r="C1088" s="23"/>
      <c r="D1088" s="23"/>
      <c r="E1088" s="23"/>
      <c r="F1088" s="23"/>
      <c r="G1088" s="23"/>
      <c r="H1088" s="23"/>
      <c r="I1088" s="23"/>
      <c r="J1088" s="23"/>
      <c r="K1088" s="23"/>
      <c r="L1088" s="23"/>
      <c r="M1088" s="23"/>
      <c r="N1088" s="23"/>
      <c r="O1088" s="23"/>
      <c r="P1088" s="23"/>
      <c r="Q1088" s="23"/>
      <c r="R1088" s="23"/>
      <c r="S1088" s="23"/>
      <c r="T1088" s="23"/>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c r="AV1088" s="22"/>
      <c r="AW1088" s="22"/>
      <c r="AX1088" s="22"/>
    </row>
    <row r="1089" spans="1:50" x14ac:dyDescent="0.35">
      <c r="A1089" s="23"/>
      <c r="B1089" s="23"/>
      <c r="C1089" s="23"/>
      <c r="D1089" s="23"/>
      <c r="E1089" s="23"/>
      <c r="F1089" s="23"/>
      <c r="G1089" s="23"/>
      <c r="H1089" s="23"/>
      <c r="I1089" s="23"/>
      <c r="J1089" s="23"/>
      <c r="K1089" s="23"/>
      <c r="L1089" s="23"/>
      <c r="M1089" s="23"/>
      <c r="N1089" s="23"/>
      <c r="O1089" s="23"/>
      <c r="P1089" s="23"/>
      <c r="Q1089" s="23"/>
      <c r="R1089" s="23"/>
      <c r="S1089" s="23"/>
      <c r="T1089" s="23"/>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c r="AV1089" s="22"/>
      <c r="AW1089" s="22"/>
      <c r="AX1089" s="22"/>
    </row>
    <row r="1090" spans="1:50" x14ac:dyDescent="0.35">
      <c r="A1090" s="23"/>
      <c r="B1090" s="23"/>
      <c r="C1090" s="23"/>
      <c r="D1090" s="23"/>
      <c r="E1090" s="23"/>
      <c r="F1090" s="23"/>
      <c r="G1090" s="23"/>
      <c r="H1090" s="23"/>
      <c r="I1090" s="23"/>
      <c r="J1090" s="23"/>
      <c r="K1090" s="23"/>
      <c r="L1090" s="23"/>
      <c r="M1090" s="23"/>
      <c r="N1090" s="23"/>
      <c r="O1090" s="23"/>
      <c r="P1090" s="23"/>
      <c r="Q1090" s="23"/>
      <c r="R1090" s="23"/>
      <c r="S1090" s="23"/>
      <c r="T1090" s="23"/>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c r="AV1090" s="22"/>
      <c r="AW1090" s="22"/>
      <c r="AX1090" s="22"/>
    </row>
    <row r="1091" spans="1:50" x14ac:dyDescent="0.35">
      <c r="A1091" s="23"/>
      <c r="B1091" s="23"/>
      <c r="C1091" s="23"/>
      <c r="D1091" s="23"/>
      <c r="E1091" s="23"/>
      <c r="F1091" s="23"/>
      <c r="G1091" s="23"/>
      <c r="H1091" s="23"/>
      <c r="I1091" s="23"/>
      <c r="J1091" s="23"/>
      <c r="K1091" s="23"/>
      <c r="L1091" s="23"/>
      <c r="M1091" s="23"/>
      <c r="N1091" s="23"/>
      <c r="O1091" s="23"/>
      <c r="P1091" s="23"/>
      <c r="Q1091" s="23"/>
      <c r="R1091" s="23"/>
      <c r="S1091" s="23"/>
      <c r="T1091" s="23"/>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c r="AV1091" s="22"/>
      <c r="AW1091" s="22"/>
      <c r="AX1091" s="22"/>
    </row>
    <row r="1092" spans="1:50" x14ac:dyDescent="0.35">
      <c r="A1092" s="23"/>
      <c r="B1092" s="23"/>
      <c r="C1092" s="23"/>
      <c r="D1092" s="23"/>
      <c r="E1092" s="23"/>
      <c r="F1092" s="23"/>
      <c r="G1092" s="23"/>
      <c r="H1092" s="23"/>
      <c r="I1092" s="23"/>
      <c r="J1092" s="23"/>
      <c r="K1092" s="23"/>
      <c r="L1092" s="23"/>
      <c r="M1092" s="23"/>
      <c r="N1092" s="23"/>
      <c r="O1092" s="23"/>
      <c r="P1092" s="23"/>
      <c r="Q1092" s="23"/>
      <c r="R1092" s="23"/>
      <c r="S1092" s="23"/>
      <c r="T1092" s="23"/>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c r="AV1092" s="22"/>
      <c r="AW1092" s="22"/>
      <c r="AX1092" s="22"/>
    </row>
    <row r="1093" spans="1:50" x14ac:dyDescent="0.35">
      <c r="A1093" s="23"/>
      <c r="B1093" s="23"/>
      <c r="C1093" s="23"/>
      <c r="D1093" s="23"/>
      <c r="E1093" s="23"/>
      <c r="F1093" s="23"/>
      <c r="G1093" s="23"/>
      <c r="H1093" s="23"/>
      <c r="I1093" s="23"/>
      <c r="J1093" s="23"/>
      <c r="K1093" s="23"/>
      <c r="L1093" s="23"/>
      <c r="M1093" s="23"/>
      <c r="N1093" s="23"/>
      <c r="O1093" s="23"/>
      <c r="P1093" s="23"/>
      <c r="Q1093" s="23"/>
      <c r="R1093" s="23"/>
      <c r="S1093" s="23"/>
      <c r="T1093" s="23"/>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c r="AV1093" s="22"/>
      <c r="AW1093" s="22"/>
      <c r="AX1093" s="22"/>
    </row>
    <row r="1094" spans="1:50" x14ac:dyDescent="0.35">
      <c r="A1094" s="23"/>
      <c r="B1094" s="23"/>
      <c r="C1094" s="23"/>
      <c r="D1094" s="23"/>
      <c r="E1094" s="23"/>
      <c r="F1094" s="23"/>
      <c r="G1094" s="23"/>
      <c r="H1094" s="23"/>
      <c r="I1094" s="23"/>
      <c r="J1094" s="23"/>
      <c r="K1094" s="23"/>
      <c r="L1094" s="23"/>
      <c r="M1094" s="23"/>
      <c r="N1094" s="23"/>
      <c r="O1094" s="23"/>
      <c r="P1094" s="23"/>
      <c r="Q1094" s="23"/>
      <c r="R1094" s="23"/>
      <c r="S1094" s="23"/>
      <c r="T1094" s="23"/>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c r="AV1094" s="22"/>
      <c r="AW1094" s="22"/>
      <c r="AX1094" s="22"/>
    </row>
    <row r="1095" spans="1:50" x14ac:dyDescent="0.35">
      <c r="A1095" s="23"/>
      <c r="B1095" s="23"/>
      <c r="C1095" s="23"/>
      <c r="D1095" s="23"/>
      <c r="E1095" s="23"/>
      <c r="F1095" s="23"/>
      <c r="G1095" s="23"/>
      <c r="H1095" s="23"/>
      <c r="I1095" s="23"/>
      <c r="J1095" s="23"/>
      <c r="K1095" s="23"/>
      <c r="L1095" s="23"/>
      <c r="M1095" s="23"/>
      <c r="N1095" s="23"/>
      <c r="O1095" s="23"/>
      <c r="P1095" s="23"/>
      <c r="Q1095" s="23"/>
      <c r="R1095" s="23"/>
      <c r="S1095" s="23"/>
      <c r="T1095" s="23"/>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c r="AV1095" s="22"/>
      <c r="AW1095" s="22"/>
      <c r="AX1095" s="22"/>
    </row>
    <row r="1096" spans="1:50" x14ac:dyDescent="0.35">
      <c r="A1096" s="23"/>
      <c r="B1096" s="23"/>
      <c r="C1096" s="23"/>
      <c r="D1096" s="23"/>
      <c r="E1096" s="23"/>
      <c r="F1096" s="23"/>
      <c r="G1096" s="23"/>
      <c r="H1096" s="23"/>
      <c r="I1096" s="23"/>
      <c r="J1096" s="23"/>
      <c r="K1096" s="23"/>
      <c r="L1096" s="23"/>
      <c r="M1096" s="23"/>
      <c r="N1096" s="23"/>
      <c r="O1096" s="23"/>
      <c r="P1096" s="23"/>
      <c r="Q1096" s="23"/>
      <c r="R1096" s="23"/>
      <c r="S1096" s="23"/>
      <c r="T1096" s="23"/>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c r="AV1096" s="22"/>
      <c r="AW1096" s="22"/>
      <c r="AX1096" s="22"/>
    </row>
    <row r="1097" spans="1:50" x14ac:dyDescent="0.35">
      <c r="A1097" s="23"/>
      <c r="B1097" s="23"/>
      <c r="C1097" s="23"/>
      <c r="D1097" s="23"/>
      <c r="E1097" s="23"/>
      <c r="F1097" s="23"/>
      <c r="G1097" s="23"/>
      <c r="H1097" s="23"/>
      <c r="I1097" s="23"/>
      <c r="J1097" s="23"/>
      <c r="K1097" s="23"/>
      <c r="L1097" s="23"/>
      <c r="M1097" s="23"/>
      <c r="N1097" s="23"/>
      <c r="O1097" s="23"/>
      <c r="P1097" s="23"/>
      <c r="Q1097" s="23"/>
      <c r="R1097" s="23"/>
      <c r="S1097" s="23"/>
      <c r="T1097" s="23"/>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c r="AV1097" s="22"/>
      <c r="AW1097" s="22"/>
      <c r="AX1097" s="22"/>
    </row>
    <row r="1098" spans="1:50" x14ac:dyDescent="0.35">
      <c r="A1098" s="23"/>
      <c r="B1098" s="23"/>
      <c r="C1098" s="23"/>
      <c r="D1098" s="23"/>
      <c r="E1098" s="23"/>
      <c r="F1098" s="23"/>
      <c r="G1098" s="23"/>
      <c r="H1098" s="23"/>
      <c r="I1098" s="23"/>
      <c r="J1098" s="23"/>
      <c r="K1098" s="23"/>
      <c r="L1098" s="23"/>
      <c r="M1098" s="23"/>
      <c r="N1098" s="23"/>
      <c r="O1098" s="23"/>
      <c r="P1098" s="23"/>
      <c r="Q1098" s="23"/>
      <c r="R1098" s="23"/>
      <c r="S1098" s="23"/>
      <c r="T1098" s="23"/>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c r="AV1098" s="22"/>
      <c r="AW1098" s="22"/>
      <c r="AX1098" s="22"/>
    </row>
    <row r="1099" spans="1:50" x14ac:dyDescent="0.35">
      <c r="A1099" s="23"/>
      <c r="B1099" s="23"/>
      <c r="C1099" s="23"/>
      <c r="D1099" s="23"/>
      <c r="E1099" s="23"/>
      <c r="F1099" s="23"/>
      <c r="G1099" s="23"/>
      <c r="H1099" s="23"/>
      <c r="I1099" s="23"/>
      <c r="J1099" s="23"/>
      <c r="K1099" s="23"/>
      <c r="L1099" s="23"/>
      <c r="M1099" s="23"/>
      <c r="N1099" s="23"/>
      <c r="O1099" s="23"/>
      <c r="P1099" s="23"/>
      <c r="Q1099" s="23"/>
      <c r="R1099" s="23"/>
      <c r="S1099" s="23"/>
      <c r="T1099" s="23"/>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c r="AV1099" s="22"/>
      <c r="AW1099" s="22"/>
      <c r="AX1099" s="22"/>
    </row>
    <row r="1100" spans="1:50" x14ac:dyDescent="0.35">
      <c r="A1100" s="23"/>
      <c r="B1100" s="23"/>
      <c r="C1100" s="23"/>
      <c r="D1100" s="23"/>
      <c r="E1100" s="23"/>
      <c r="F1100" s="23"/>
      <c r="G1100" s="23"/>
      <c r="H1100" s="23"/>
      <c r="I1100" s="23"/>
      <c r="J1100" s="23"/>
      <c r="K1100" s="23"/>
      <c r="L1100" s="23"/>
      <c r="M1100" s="23"/>
      <c r="N1100" s="23"/>
      <c r="O1100" s="23"/>
      <c r="P1100" s="23"/>
      <c r="Q1100" s="23"/>
      <c r="R1100" s="23"/>
      <c r="S1100" s="23"/>
      <c r="T1100" s="23"/>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c r="AV1100" s="22"/>
      <c r="AW1100" s="22"/>
      <c r="AX1100" s="22"/>
    </row>
    <row r="1101" spans="1:50" x14ac:dyDescent="0.35">
      <c r="A1101" s="23"/>
      <c r="B1101" s="23"/>
      <c r="C1101" s="23"/>
      <c r="D1101" s="23"/>
      <c r="E1101" s="23"/>
      <c r="F1101" s="23"/>
      <c r="G1101" s="23"/>
      <c r="H1101" s="23"/>
      <c r="I1101" s="23"/>
      <c r="J1101" s="23"/>
      <c r="K1101" s="23"/>
      <c r="L1101" s="23"/>
      <c r="M1101" s="23"/>
      <c r="N1101" s="23"/>
      <c r="O1101" s="23"/>
      <c r="P1101" s="23"/>
      <c r="Q1101" s="23"/>
      <c r="R1101" s="23"/>
      <c r="S1101" s="23"/>
      <c r="T1101" s="23"/>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c r="AV1101" s="22"/>
      <c r="AW1101" s="22"/>
      <c r="AX1101" s="22"/>
    </row>
    <row r="1102" spans="1:50" x14ac:dyDescent="0.35">
      <c r="A1102" s="23"/>
      <c r="B1102" s="23"/>
      <c r="C1102" s="23"/>
      <c r="D1102" s="23"/>
      <c r="E1102" s="23"/>
      <c r="F1102" s="23"/>
      <c r="G1102" s="23"/>
      <c r="H1102" s="23"/>
      <c r="I1102" s="23"/>
      <c r="J1102" s="23"/>
      <c r="K1102" s="23"/>
      <c r="L1102" s="23"/>
      <c r="M1102" s="23"/>
      <c r="N1102" s="23"/>
      <c r="O1102" s="23"/>
      <c r="P1102" s="23"/>
      <c r="Q1102" s="23"/>
      <c r="R1102" s="23"/>
      <c r="S1102" s="23"/>
      <c r="T1102" s="23"/>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c r="AV1102" s="22"/>
      <c r="AW1102" s="22"/>
      <c r="AX1102" s="22"/>
    </row>
    <row r="1103" spans="1:50" x14ac:dyDescent="0.35">
      <c r="A1103" s="23"/>
      <c r="B1103" s="23"/>
      <c r="C1103" s="23"/>
      <c r="D1103" s="23"/>
      <c r="E1103" s="23"/>
      <c r="F1103" s="23"/>
      <c r="G1103" s="23"/>
      <c r="H1103" s="23"/>
      <c r="I1103" s="23"/>
      <c r="J1103" s="23"/>
      <c r="K1103" s="23"/>
      <c r="L1103" s="23"/>
      <c r="M1103" s="23"/>
      <c r="N1103" s="23"/>
      <c r="O1103" s="23"/>
      <c r="P1103" s="23"/>
      <c r="Q1103" s="23"/>
      <c r="R1103" s="23"/>
      <c r="S1103" s="23"/>
      <c r="T1103" s="23"/>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c r="AV1103" s="22"/>
      <c r="AW1103" s="22"/>
      <c r="AX1103" s="22"/>
    </row>
    <row r="1104" spans="1:50" x14ac:dyDescent="0.35">
      <c r="A1104" s="23"/>
      <c r="B1104" s="23"/>
      <c r="C1104" s="23"/>
      <c r="D1104" s="23"/>
      <c r="E1104" s="23"/>
      <c r="F1104" s="23"/>
      <c r="G1104" s="23"/>
      <c r="H1104" s="23"/>
      <c r="I1104" s="23"/>
      <c r="J1104" s="23"/>
      <c r="K1104" s="23"/>
      <c r="L1104" s="23"/>
      <c r="M1104" s="23"/>
      <c r="N1104" s="23"/>
      <c r="O1104" s="23"/>
      <c r="P1104" s="23"/>
      <c r="Q1104" s="23"/>
      <c r="R1104" s="23"/>
      <c r="S1104" s="23"/>
      <c r="T1104" s="23"/>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c r="AV1104" s="22"/>
      <c r="AW1104" s="22"/>
      <c r="AX1104" s="22"/>
    </row>
    <row r="1105" spans="1:50" x14ac:dyDescent="0.35">
      <c r="A1105" s="23"/>
      <c r="B1105" s="23"/>
      <c r="C1105" s="23"/>
      <c r="D1105" s="23"/>
      <c r="E1105" s="23"/>
      <c r="F1105" s="23"/>
      <c r="G1105" s="23"/>
      <c r="H1105" s="23"/>
      <c r="I1105" s="23"/>
      <c r="J1105" s="23"/>
      <c r="K1105" s="23"/>
      <c r="L1105" s="23"/>
      <c r="M1105" s="23"/>
      <c r="N1105" s="23"/>
      <c r="O1105" s="23"/>
      <c r="P1105" s="23"/>
      <c r="Q1105" s="23"/>
      <c r="R1105" s="23"/>
      <c r="S1105" s="23"/>
      <c r="T1105" s="23"/>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c r="AV1105" s="22"/>
      <c r="AW1105" s="22"/>
      <c r="AX1105" s="22"/>
    </row>
    <row r="1106" spans="1:50" x14ac:dyDescent="0.35">
      <c r="A1106" s="23"/>
      <c r="B1106" s="23"/>
      <c r="C1106" s="23"/>
      <c r="D1106" s="23"/>
      <c r="E1106" s="23"/>
      <c r="F1106" s="23"/>
      <c r="G1106" s="23"/>
      <c r="H1106" s="23"/>
      <c r="I1106" s="23"/>
      <c r="J1106" s="23"/>
      <c r="K1106" s="23"/>
      <c r="L1106" s="23"/>
      <c r="M1106" s="23"/>
      <c r="N1106" s="23"/>
      <c r="O1106" s="23"/>
      <c r="P1106" s="23"/>
      <c r="Q1106" s="23"/>
      <c r="R1106" s="23"/>
      <c r="S1106" s="23"/>
      <c r="T1106" s="23"/>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c r="AV1106" s="22"/>
      <c r="AW1106" s="22"/>
      <c r="AX1106" s="22"/>
    </row>
    <row r="1107" spans="1:50" x14ac:dyDescent="0.35">
      <c r="A1107" s="23"/>
      <c r="B1107" s="23"/>
      <c r="C1107" s="23"/>
      <c r="D1107" s="23"/>
      <c r="E1107" s="23"/>
      <c r="F1107" s="23"/>
      <c r="G1107" s="23"/>
      <c r="H1107" s="23"/>
      <c r="I1107" s="23"/>
      <c r="J1107" s="23"/>
      <c r="K1107" s="23"/>
      <c r="L1107" s="23"/>
      <c r="M1107" s="23"/>
      <c r="N1107" s="23"/>
      <c r="O1107" s="23"/>
      <c r="P1107" s="23"/>
      <c r="Q1107" s="23"/>
      <c r="R1107" s="23"/>
      <c r="S1107" s="23"/>
      <c r="T1107" s="23"/>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c r="AV1107" s="22"/>
      <c r="AW1107" s="22"/>
      <c r="AX1107" s="22"/>
    </row>
    <row r="1108" spans="1:50" x14ac:dyDescent="0.35">
      <c r="A1108" s="23"/>
      <c r="B1108" s="23"/>
      <c r="C1108" s="23"/>
      <c r="D1108" s="23"/>
      <c r="E1108" s="23"/>
      <c r="F1108" s="23"/>
      <c r="G1108" s="23"/>
      <c r="H1108" s="23"/>
      <c r="I1108" s="23"/>
      <c r="J1108" s="23"/>
      <c r="K1108" s="23"/>
      <c r="L1108" s="23"/>
      <c r="M1108" s="23"/>
      <c r="N1108" s="23"/>
      <c r="O1108" s="23"/>
      <c r="P1108" s="23"/>
      <c r="Q1108" s="23"/>
      <c r="R1108" s="23"/>
      <c r="S1108" s="23"/>
      <c r="T1108" s="23"/>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c r="AV1108" s="22"/>
      <c r="AW1108" s="22"/>
      <c r="AX1108" s="22"/>
    </row>
    <row r="1109" spans="1:50" x14ac:dyDescent="0.35">
      <c r="A1109" s="23"/>
      <c r="B1109" s="23"/>
      <c r="C1109" s="23"/>
      <c r="D1109" s="23"/>
      <c r="E1109" s="23"/>
      <c r="F1109" s="23"/>
      <c r="G1109" s="23"/>
      <c r="H1109" s="23"/>
      <c r="I1109" s="23"/>
      <c r="J1109" s="23"/>
      <c r="K1109" s="23"/>
      <c r="L1109" s="23"/>
      <c r="M1109" s="23"/>
      <c r="N1109" s="23"/>
      <c r="O1109" s="23"/>
      <c r="P1109" s="23"/>
      <c r="Q1109" s="23"/>
      <c r="R1109" s="23"/>
      <c r="S1109" s="23"/>
      <c r="T1109" s="23"/>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c r="AV1109" s="22"/>
      <c r="AW1109" s="22"/>
      <c r="AX1109" s="22"/>
    </row>
    <row r="1110" spans="1:50" x14ac:dyDescent="0.35">
      <c r="A1110" s="23"/>
      <c r="B1110" s="23"/>
      <c r="C1110" s="23"/>
      <c r="D1110" s="23"/>
      <c r="E1110" s="23"/>
      <c r="F1110" s="23"/>
      <c r="G1110" s="23"/>
      <c r="H1110" s="23"/>
      <c r="I1110" s="23"/>
      <c r="J1110" s="23"/>
      <c r="K1110" s="23"/>
      <c r="L1110" s="23"/>
      <c r="M1110" s="23"/>
      <c r="N1110" s="23"/>
      <c r="O1110" s="23"/>
      <c r="P1110" s="23"/>
      <c r="Q1110" s="23"/>
      <c r="R1110" s="23"/>
      <c r="S1110" s="23"/>
      <c r="T1110" s="23"/>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c r="AV1110" s="22"/>
      <c r="AW1110" s="22"/>
      <c r="AX1110" s="22"/>
    </row>
    <row r="1111" spans="1:50" x14ac:dyDescent="0.35">
      <c r="A1111" s="23"/>
      <c r="B1111" s="23"/>
      <c r="C1111" s="23"/>
      <c r="D1111" s="23"/>
      <c r="E1111" s="23"/>
      <c r="F1111" s="23"/>
      <c r="G1111" s="23"/>
      <c r="H1111" s="23"/>
      <c r="I1111" s="23"/>
      <c r="J1111" s="23"/>
      <c r="K1111" s="23"/>
      <c r="L1111" s="23"/>
      <c r="M1111" s="23"/>
      <c r="N1111" s="23"/>
      <c r="O1111" s="23"/>
      <c r="P1111" s="23"/>
      <c r="Q1111" s="23"/>
      <c r="R1111" s="23"/>
      <c r="S1111" s="23"/>
      <c r="T1111" s="23"/>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c r="AV1111" s="22"/>
      <c r="AW1111" s="22"/>
      <c r="AX1111" s="22"/>
    </row>
    <row r="1112" spans="1:50" x14ac:dyDescent="0.35">
      <c r="A1112" s="23"/>
      <c r="B1112" s="23"/>
      <c r="C1112" s="23"/>
      <c r="D1112" s="23"/>
      <c r="E1112" s="23"/>
      <c r="F1112" s="23"/>
      <c r="G1112" s="23"/>
      <c r="H1112" s="23"/>
      <c r="I1112" s="23"/>
      <c r="J1112" s="23"/>
      <c r="K1112" s="23"/>
      <c r="L1112" s="23"/>
      <c r="M1112" s="23"/>
      <c r="N1112" s="23"/>
      <c r="O1112" s="23"/>
      <c r="P1112" s="23"/>
      <c r="Q1112" s="23"/>
      <c r="R1112" s="23"/>
      <c r="S1112" s="23"/>
      <c r="T1112" s="23"/>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c r="AV1112" s="22"/>
      <c r="AW1112" s="22"/>
      <c r="AX1112" s="22"/>
    </row>
    <row r="1113" spans="1:50" x14ac:dyDescent="0.35">
      <c r="A1113" s="23"/>
      <c r="B1113" s="23"/>
      <c r="C1113" s="23"/>
      <c r="D1113" s="23"/>
      <c r="E1113" s="23"/>
      <c r="F1113" s="23"/>
      <c r="G1113" s="23"/>
      <c r="H1113" s="23"/>
      <c r="I1113" s="23"/>
      <c r="J1113" s="23"/>
      <c r="K1113" s="23"/>
      <c r="L1113" s="23"/>
      <c r="M1113" s="23"/>
      <c r="N1113" s="23"/>
      <c r="O1113" s="23"/>
      <c r="P1113" s="23"/>
      <c r="Q1113" s="23"/>
      <c r="R1113" s="23"/>
      <c r="S1113" s="23"/>
      <c r="T1113" s="23"/>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c r="AV1113" s="22"/>
      <c r="AW1113" s="22"/>
      <c r="AX1113" s="22"/>
    </row>
    <row r="1114" spans="1:50" x14ac:dyDescent="0.35">
      <c r="A1114" s="23"/>
      <c r="B1114" s="23"/>
      <c r="C1114" s="23"/>
      <c r="D1114" s="23"/>
      <c r="E1114" s="23"/>
      <c r="F1114" s="23"/>
      <c r="G1114" s="23"/>
      <c r="H1114" s="23"/>
      <c r="I1114" s="23"/>
      <c r="J1114" s="23"/>
      <c r="K1114" s="23"/>
      <c r="L1114" s="23"/>
      <c r="M1114" s="23"/>
      <c r="N1114" s="23"/>
      <c r="O1114" s="23"/>
      <c r="P1114" s="23"/>
      <c r="Q1114" s="23"/>
      <c r="R1114" s="23"/>
      <c r="S1114" s="23"/>
      <c r="T1114" s="23"/>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c r="AV1114" s="22"/>
      <c r="AW1114" s="22"/>
      <c r="AX1114" s="22"/>
    </row>
    <row r="1115" spans="1:50" x14ac:dyDescent="0.35">
      <c r="A1115" s="23"/>
      <c r="B1115" s="23"/>
      <c r="C1115" s="23"/>
      <c r="D1115" s="23"/>
      <c r="E1115" s="23"/>
      <c r="F1115" s="23"/>
      <c r="G1115" s="23"/>
      <c r="H1115" s="23"/>
      <c r="I1115" s="23"/>
      <c r="J1115" s="23"/>
      <c r="K1115" s="23"/>
      <c r="L1115" s="23"/>
      <c r="M1115" s="23"/>
      <c r="N1115" s="23"/>
      <c r="O1115" s="23"/>
      <c r="P1115" s="23"/>
      <c r="Q1115" s="23"/>
      <c r="R1115" s="23"/>
      <c r="S1115" s="23"/>
      <c r="T1115" s="23"/>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c r="AV1115" s="22"/>
      <c r="AW1115" s="22"/>
      <c r="AX1115" s="22"/>
    </row>
    <row r="1116" spans="1:50" x14ac:dyDescent="0.35">
      <c r="A1116" s="23"/>
      <c r="B1116" s="23"/>
      <c r="C1116" s="23"/>
      <c r="D1116" s="23"/>
      <c r="E1116" s="23"/>
      <c r="F1116" s="23"/>
      <c r="G1116" s="23"/>
      <c r="H1116" s="23"/>
      <c r="I1116" s="23"/>
      <c r="J1116" s="23"/>
      <c r="K1116" s="23"/>
      <c r="L1116" s="23"/>
      <c r="M1116" s="23"/>
      <c r="N1116" s="23"/>
      <c r="O1116" s="23"/>
      <c r="P1116" s="23"/>
      <c r="Q1116" s="23"/>
      <c r="R1116" s="23"/>
      <c r="S1116" s="23"/>
      <c r="T1116" s="23"/>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c r="AV1116" s="22"/>
      <c r="AW1116" s="22"/>
      <c r="AX1116" s="22"/>
    </row>
    <row r="1117" spans="1:50" x14ac:dyDescent="0.35">
      <c r="A1117" s="23"/>
      <c r="B1117" s="23"/>
      <c r="C1117" s="23"/>
      <c r="D1117" s="23"/>
      <c r="E1117" s="23"/>
      <c r="F1117" s="23"/>
      <c r="G1117" s="23"/>
      <c r="H1117" s="23"/>
      <c r="I1117" s="23"/>
      <c r="J1117" s="23"/>
      <c r="K1117" s="23"/>
      <c r="L1117" s="23"/>
      <c r="M1117" s="23"/>
      <c r="N1117" s="23"/>
      <c r="O1117" s="23"/>
      <c r="P1117" s="23"/>
      <c r="Q1117" s="23"/>
      <c r="R1117" s="23"/>
      <c r="S1117" s="23"/>
      <c r="T1117" s="23"/>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c r="AV1117" s="22"/>
      <c r="AW1117" s="22"/>
      <c r="AX1117" s="22"/>
    </row>
    <row r="1118" spans="1:50" x14ac:dyDescent="0.35">
      <c r="A1118" s="23"/>
      <c r="B1118" s="23"/>
      <c r="C1118" s="23"/>
      <c r="D1118" s="23"/>
      <c r="E1118" s="23"/>
      <c r="F1118" s="23"/>
      <c r="G1118" s="23"/>
      <c r="H1118" s="23"/>
      <c r="I1118" s="23"/>
      <c r="J1118" s="23"/>
      <c r="K1118" s="23"/>
      <c r="L1118" s="23"/>
      <c r="M1118" s="23"/>
      <c r="N1118" s="23"/>
      <c r="O1118" s="23"/>
      <c r="P1118" s="23"/>
      <c r="Q1118" s="23"/>
      <c r="R1118" s="23"/>
      <c r="S1118" s="23"/>
      <c r="T1118" s="23"/>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c r="AV1118" s="22"/>
      <c r="AW1118" s="22"/>
      <c r="AX1118" s="22"/>
    </row>
    <row r="1119" spans="1:50" x14ac:dyDescent="0.35">
      <c r="A1119" s="23"/>
      <c r="B1119" s="23"/>
      <c r="C1119" s="23"/>
      <c r="D1119" s="23"/>
      <c r="E1119" s="23"/>
      <c r="F1119" s="23"/>
      <c r="G1119" s="23"/>
      <c r="H1119" s="23"/>
      <c r="I1119" s="23"/>
      <c r="J1119" s="23"/>
      <c r="K1119" s="23"/>
      <c r="L1119" s="23"/>
      <c r="M1119" s="23"/>
      <c r="N1119" s="23"/>
      <c r="O1119" s="23"/>
      <c r="P1119" s="23"/>
      <c r="Q1119" s="23"/>
      <c r="R1119" s="23"/>
      <c r="S1119" s="23"/>
      <c r="T1119" s="23"/>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c r="AV1119" s="22"/>
      <c r="AW1119" s="22"/>
      <c r="AX1119" s="22"/>
    </row>
    <row r="1120" spans="1:50" x14ac:dyDescent="0.35">
      <c r="A1120" s="23"/>
      <c r="B1120" s="23"/>
      <c r="C1120" s="23"/>
      <c r="D1120" s="23"/>
      <c r="E1120" s="23"/>
      <c r="F1120" s="23"/>
      <c r="G1120" s="23"/>
      <c r="H1120" s="23"/>
      <c r="I1120" s="23"/>
      <c r="J1120" s="23"/>
      <c r="K1120" s="23"/>
      <c r="L1120" s="23"/>
      <c r="M1120" s="23"/>
      <c r="N1120" s="23"/>
      <c r="O1120" s="23"/>
      <c r="P1120" s="23"/>
      <c r="Q1120" s="23"/>
      <c r="R1120" s="23"/>
      <c r="S1120" s="23"/>
      <c r="T1120" s="23"/>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c r="AV1120" s="22"/>
      <c r="AW1120" s="22"/>
      <c r="AX1120" s="22"/>
    </row>
    <row r="1121" spans="1:50" x14ac:dyDescent="0.35">
      <c r="A1121" s="23"/>
      <c r="B1121" s="23"/>
      <c r="C1121" s="23"/>
      <c r="D1121" s="23"/>
      <c r="E1121" s="23"/>
      <c r="F1121" s="23"/>
      <c r="G1121" s="23"/>
      <c r="H1121" s="23"/>
      <c r="I1121" s="23"/>
      <c r="J1121" s="23"/>
      <c r="K1121" s="23"/>
      <c r="L1121" s="23"/>
      <c r="M1121" s="23"/>
      <c r="N1121" s="23"/>
      <c r="O1121" s="23"/>
      <c r="P1121" s="23"/>
      <c r="Q1121" s="23"/>
      <c r="R1121" s="23"/>
      <c r="S1121" s="23"/>
      <c r="T1121" s="23"/>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c r="AV1121" s="22"/>
      <c r="AW1121" s="22"/>
      <c r="AX1121" s="22"/>
    </row>
    <row r="1122" spans="1:50" x14ac:dyDescent="0.35">
      <c r="A1122" s="23"/>
      <c r="B1122" s="23"/>
      <c r="C1122" s="23"/>
      <c r="D1122" s="23"/>
      <c r="E1122" s="23"/>
      <c r="F1122" s="23"/>
      <c r="G1122" s="23"/>
      <c r="H1122" s="23"/>
      <c r="I1122" s="23"/>
      <c r="J1122" s="23"/>
      <c r="K1122" s="23"/>
      <c r="L1122" s="23"/>
      <c r="M1122" s="23"/>
      <c r="N1122" s="23"/>
      <c r="O1122" s="23"/>
      <c r="P1122" s="23"/>
      <c r="Q1122" s="23"/>
      <c r="R1122" s="23"/>
      <c r="S1122" s="23"/>
      <c r="T1122" s="23"/>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c r="AV1122" s="22"/>
      <c r="AW1122" s="22"/>
      <c r="AX1122" s="22"/>
    </row>
    <row r="1123" spans="1:50" x14ac:dyDescent="0.35">
      <c r="A1123" s="23"/>
      <c r="B1123" s="23"/>
      <c r="C1123" s="23"/>
      <c r="D1123" s="23"/>
      <c r="E1123" s="23"/>
      <c r="F1123" s="23"/>
      <c r="G1123" s="23"/>
      <c r="H1123" s="23"/>
      <c r="I1123" s="23"/>
      <c r="J1123" s="23"/>
      <c r="K1123" s="23"/>
      <c r="L1123" s="23"/>
      <c r="M1123" s="23"/>
      <c r="N1123" s="23"/>
      <c r="O1123" s="23"/>
      <c r="P1123" s="23"/>
      <c r="Q1123" s="23"/>
      <c r="R1123" s="23"/>
      <c r="S1123" s="23"/>
      <c r="T1123" s="23"/>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c r="AV1123" s="22"/>
      <c r="AW1123" s="22"/>
      <c r="AX1123" s="22"/>
    </row>
    <row r="1124" spans="1:50" x14ac:dyDescent="0.35">
      <c r="A1124" s="23"/>
      <c r="B1124" s="23"/>
      <c r="C1124" s="23"/>
      <c r="D1124" s="23"/>
      <c r="E1124" s="23"/>
      <c r="F1124" s="23"/>
      <c r="G1124" s="23"/>
      <c r="H1124" s="23"/>
      <c r="I1124" s="23"/>
      <c r="J1124" s="23"/>
      <c r="K1124" s="23"/>
      <c r="L1124" s="23"/>
      <c r="M1124" s="23"/>
      <c r="N1124" s="23"/>
      <c r="O1124" s="23"/>
      <c r="P1124" s="23"/>
      <c r="Q1124" s="23"/>
      <c r="R1124" s="23"/>
      <c r="S1124" s="23"/>
      <c r="T1124" s="23"/>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c r="AV1124" s="22"/>
      <c r="AW1124" s="22"/>
      <c r="AX1124" s="22"/>
    </row>
    <row r="1125" spans="1:50" x14ac:dyDescent="0.35">
      <c r="A1125" s="23"/>
      <c r="B1125" s="23"/>
      <c r="C1125" s="23"/>
      <c r="D1125" s="23"/>
      <c r="E1125" s="23"/>
      <c r="F1125" s="23"/>
      <c r="G1125" s="23"/>
      <c r="H1125" s="23"/>
      <c r="I1125" s="23"/>
      <c r="J1125" s="23"/>
      <c r="K1125" s="23"/>
      <c r="L1125" s="23"/>
      <c r="M1125" s="23"/>
      <c r="N1125" s="23"/>
      <c r="O1125" s="23"/>
      <c r="P1125" s="23"/>
      <c r="Q1125" s="23"/>
      <c r="R1125" s="23"/>
      <c r="S1125" s="23"/>
      <c r="T1125" s="23"/>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c r="AV1125" s="22"/>
      <c r="AW1125" s="22"/>
      <c r="AX1125" s="22"/>
    </row>
    <row r="1126" spans="1:50" x14ac:dyDescent="0.35">
      <c r="A1126" s="23"/>
      <c r="B1126" s="23"/>
      <c r="C1126" s="23"/>
      <c r="D1126" s="23"/>
      <c r="E1126" s="23"/>
      <c r="F1126" s="23"/>
      <c r="G1126" s="23"/>
      <c r="H1126" s="23"/>
      <c r="I1126" s="23"/>
      <c r="J1126" s="23"/>
      <c r="K1126" s="23"/>
      <c r="L1126" s="23"/>
      <c r="M1126" s="23"/>
      <c r="N1126" s="23"/>
      <c r="O1126" s="23"/>
      <c r="P1126" s="23"/>
      <c r="Q1126" s="23"/>
      <c r="R1126" s="23"/>
      <c r="S1126" s="23"/>
      <c r="T1126" s="23"/>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c r="AV1126" s="22"/>
      <c r="AW1126" s="22"/>
      <c r="AX1126" s="22"/>
    </row>
    <row r="1127" spans="1:50" x14ac:dyDescent="0.35">
      <c r="A1127" s="23"/>
      <c r="B1127" s="23"/>
      <c r="C1127" s="23"/>
      <c r="D1127" s="23"/>
      <c r="E1127" s="23"/>
      <c r="F1127" s="23"/>
      <c r="G1127" s="23"/>
      <c r="H1127" s="23"/>
      <c r="I1127" s="23"/>
      <c r="J1127" s="23"/>
      <c r="K1127" s="23"/>
      <c r="L1127" s="23"/>
      <c r="M1127" s="23"/>
      <c r="N1127" s="23"/>
      <c r="O1127" s="23"/>
      <c r="P1127" s="23"/>
      <c r="Q1127" s="23"/>
      <c r="R1127" s="23"/>
      <c r="S1127" s="23"/>
      <c r="T1127" s="23"/>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c r="AV1127" s="22"/>
      <c r="AW1127" s="22"/>
      <c r="AX1127" s="22"/>
    </row>
    <row r="1128" spans="1:50" x14ac:dyDescent="0.35">
      <c r="A1128" s="23"/>
      <c r="B1128" s="23"/>
      <c r="C1128" s="23"/>
      <c r="D1128" s="23"/>
      <c r="E1128" s="23"/>
      <c r="F1128" s="23"/>
      <c r="G1128" s="23"/>
      <c r="H1128" s="23"/>
      <c r="I1128" s="23"/>
      <c r="J1128" s="23"/>
      <c r="K1128" s="23"/>
      <c r="L1128" s="23"/>
      <c r="M1128" s="23"/>
      <c r="N1128" s="23"/>
      <c r="O1128" s="23"/>
      <c r="P1128" s="23"/>
      <c r="Q1128" s="23"/>
      <c r="R1128" s="23"/>
      <c r="S1128" s="23"/>
      <c r="T1128" s="23"/>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c r="AV1128" s="22"/>
      <c r="AW1128" s="22"/>
      <c r="AX1128" s="22"/>
    </row>
    <row r="1129" spans="1:50" x14ac:dyDescent="0.35">
      <c r="A1129" s="23"/>
      <c r="B1129" s="23"/>
      <c r="C1129" s="23"/>
      <c r="D1129" s="23"/>
      <c r="E1129" s="23"/>
      <c r="F1129" s="23"/>
      <c r="G1129" s="23"/>
      <c r="H1129" s="23"/>
      <c r="I1129" s="23"/>
      <c r="J1129" s="23"/>
      <c r="K1129" s="23"/>
      <c r="L1129" s="23"/>
      <c r="M1129" s="23"/>
      <c r="N1129" s="23"/>
      <c r="O1129" s="23"/>
      <c r="P1129" s="23"/>
      <c r="Q1129" s="23"/>
      <c r="R1129" s="23"/>
      <c r="S1129" s="23"/>
      <c r="T1129" s="23"/>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c r="AV1129" s="22"/>
      <c r="AW1129" s="22"/>
      <c r="AX1129" s="22"/>
    </row>
    <row r="1130" spans="1:50" x14ac:dyDescent="0.35">
      <c r="A1130" s="23"/>
      <c r="B1130" s="23"/>
      <c r="C1130" s="23"/>
      <c r="D1130" s="23"/>
      <c r="E1130" s="23"/>
      <c r="F1130" s="23"/>
      <c r="G1130" s="23"/>
      <c r="H1130" s="23"/>
      <c r="I1130" s="23"/>
      <c r="J1130" s="23"/>
      <c r="K1130" s="23"/>
      <c r="L1130" s="23"/>
      <c r="M1130" s="23"/>
      <c r="N1130" s="23"/>
      <c r="O1130" s="23"/>
      <c r="P1130" s="23"/>
      <c r="Q1130" s="23"/>
      <c r="R1130" s="23"/>
      <c r="S1130" s="23"/>
      <c r="T1130" s="23"/>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c r="AV1130" s="22"/>
      <c r="AW1130" s="22"/>
      <c r="AX1130" s="22"/>
    </row>
    <row r="1131" spans="1:50" x14ac:dyDescent="0.35">
      <c r="A1131" s="23"/>
      <c r="B1131" s="23"/>
      <c r="C1131" s="23"/>
      <c r="D1131" s="23"/>
      <c r="E1131" s="23"/>
      <c r="F1131" s="23"/>
      <c r="G1131" s="23"/>
      <c r="H1131" s="23"/>
      <c r="I1131" s="23"/>
      <c r="J1131" s="23"/>
      <c r="K1131" s="23"/>
      <c r="L1131" s="23"/>
      <c r="M1131" s="23"/>
      <c r="N1131" s="23"/>
      <c r="O1131" s="23"/>
      <c r="P1131" s="23"/>
      <c r="Q1131" s="23"/>
      <c r="R1131" s="23"/>
      <c r="S1131" s="23"/>
      <c r="T1131" s="23"/>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c r="AV1131" s="22"/>
      <c r="AW1131" s="22"/>
      <c r="AX1131" s="22"/>
    </row>
    <row r="1132" spans="1:50" x14ac:dyDescent="0.35">
      <c r="A1132" s="23"/>
      <c r="B1132" s="23"/>
      <c r="C1132" s="23"/>
      <c r="D1132" s="23"/>
      <c r="E1132" s="23"/>
      <c r="F1132" s="23"/>
      <c r="G1132" s="23"/>
      <c r="H1132" s="23"/>
      <c r="I1132" s="23"/>
      <c r="J1132" s="23"/>
      <c r="K1132" s="23"/>
      <c r="L1132" s="23"/>
      <c r="M1132" s="23"/>
      <c r="N1132" s="23"/>
      <c r="O1132" s="23"/>
      <c r="P1132" s="23"/>
      <c r="Q1132" s="23"/>
      <c r="R1132" s="23"/>
      <c r="S1132" s="23"/>
      <c r="T1132" s="23"/>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c r="AV1132" s="22"/>
      <c r="AW1132" s="22"/>
      <c r="AX1132" s="22"/>
    </row>
    <row r="1133" spans="1:50" x14ac:dyDescent="0.35">
      <c r="A1133" s="23"/>
      <c r="B1133" s="23"/>
      <c r="C1133" s="23"/>
      <c r="D1133" s="23"/>
      <c r="E1133" s="23"/>
      <c r="F1133" s="23"/>
      <c r="G1133" s="23"/>
      <c r="H1133" s="23"/>
      <c r="I1133" s="23"/>
      <c r="J1133" s="23"/>
      <c r="K1133" s="23"/>
      <c r="L1133" s="23"/>
      <c r="M1133" s="23"/>
      <c r="N1133" s="23"/>
      <c r="O1133" s="23"/>
      <c r="P1133" s="23"/>
      <c r="Q1133" s="23"/>
      <c r="R1133" s="23"/>
      <c r="S1133" s="23"/>
      <c r="T1133" s="23"/>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c r="AV1133" s="22"/>
      <c r="AW1133" s="22"/>
      <c r="AX1133" s="22"/>
    </row>
    <row r="1134" spans="1:50" x14ac:dyDescent="0.35">
      <c r="A1134" s="23"/>
      <c r="B1134" s="23"/>
      <c r="C1134" s="23"/>
      <c r="D1134" s="23"/>
      <c r="E1134" s="23"/>
      <c r="F1134" s="23"/>
      <c r="G1134" s="23"/>
      <c r="H1134" s="23"/>
      <c r="I1134" s="23"/>
      <c r="J1134" s="23"/>
      <c r="K1134" s="23"/>
      <c r="L1134" s="23"/>
      <c r="M1134" s="23"/>
      <c r="N1134" s="23"/>
      <c r="O1134" s="23"/>
      <c r="P1134" s="23"/>
      <c r="Q1134" s="23"/>
      <c r="R1134" s="23"/>
      <c r="S1134" s="23"/>
      <c r="T1134" s="23"/>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c r="AV1134" s="22"/>
      <c r="AW1134" s="22"/>
      <c r="AX1134" s="22"/>
    </row>
    <row r="1135" spans="1:50" x14ac:dyDescent="0.35">
      <c r="A1135" s="23"/>
      <c r="B1135" s="23"/>
      <c r="C1135" s="23"/>
      <c r="D1135" s="23"/>
      <c r="E1135" s="23"/>
      <c r="F1135" s="23"/>
      <c r="G1135" s="23"/>
      <c r="H1135" s="23"/>
      <c r="I1135" s="23"/>
      <c r="J1135" s="23"/>
      <c r="K1135" s="23"/>
      <c r="L1135" s="23"/>
      <c r="M1135" s="23"/>
      <c r="N1135" s="23"/>
      <c r="O1135" s="23"/>
      <c r="P1135" s="23"/>
      <c r="Q1135" s="23"/>
      <c r="R1135" s="23"/>
      <c r="S1135" s="23"/>
      <c r="T1135" s="23"/>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c r="AV1135" s="22"/>
      <c r="AW1135" s="22"/>
      <c r="AX1135" s="22"/>
    </row>
    <row r="1136" spans="1:50" x14ac:dyDescent="0.35">
      <c r="A1136" s="23"/>
      <c r="B1136" s="23"/>
      <c r="C1136" s="23"/>
      <c r="D1136" s="23"/>
      <c r="E1136" s="23"/>
      <c r="F1136" s="23"/>
      <c r="G1136" s="23"/>
      <c r="H1136" s="23"/>
      <c r="I1136" s="23"/>
      <c r="J1136" s="23"/>
      <c r="K1136" s="23"/>
      <c r="L1136" s="23"/>
      <c r="M1136" s="23"/>
      <c r="N1136" s="23"/>
      <c r="O1136" s="23"/>
      <c r="P1136" s="23"/>
      <c r="Q1136" s="23"/>
      <c r="R1136" s="23"/>
      <c r="S1136" s="23"/>
      <c r="T1136" s="23"/>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c r="AV1136" s="22"/>
      <c r="AW1136" s="22"/>
      <c r="AX1136" s="22"/>
    </row>
    <row r="1137" spans="1:50" x14ac:dyDescent="0.35">
      <c r="A1137" s="23"/>
      <c r="B1137" s="23"/>
      <c r="C1137" s="23"/>
      <c r="D1137" s="23"/>
      <c r="E1137" s="23"/>
      <c r="F1137" s="23"/>
      <c r="G1137" s="23"/>
      <c r="H1137" s="23"/>
      <c r="I1137" s="23"/>
      <c r="J1137" s="23"/>
      <c r="K1137" s="23"/>
      <c r="L1137" s="23"/>
      <c r="M1137" s="23"/>
      <c r="N1137" s="23"/>
      <c r="O1137" s="23"/>
      <c r="P1137" s="23"/>
      <c r="Q1137" s="23"/>
      <c r="R1137" s="23"/>
      <c r="S1137" s="23"/>
      <c r="T1137" s="23"/>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c r="AV1137" s="22"/>
      <c r="AW1137" s="22"/>
      <c r="AX1137" s="22"/>
    </row>
    <row r="1138" spans="1:50" x14ac:dyDescent="0.35">
      <c r="A1138" s="23"/>
      <c r="B1138" s="23"/>
      <c r="C1138" s="23"/>
      <c r="D1138" s="23"/>
      <c r="E1138" s="23"/>
      <c r="F1138" s="23"/>
      <c r="G1138" s="23"/>
      <c r="H1138" s="23"/>
      <c r="I1138" s="23"/>
      <c r="J1138" s="23"/>
      <c r="K1138" s="23"/>
      <c r="L1138" s="23"/>
      <c r="M1138" s="23"/>
      <c r="N1138" s="23"/>
      <c r="O1138" s="23"/>
      <c r="P1138" s="23"/>
      <c r="Q1138" s="23"/>
      <c r="R1138" s="23"/>
      <c r="S1138" s="23"/>
      <c r="T1138" s="23"/>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c r="AV1138" s="22"/>
      <c r="AW1138" s="22"/>
      <c r="AX1138" s="22"/>
    </row>
    <row r="1139" spans="1:50" x14ac:dyDescent="0.35">
      <c r="A1139" s="23"/>
      <c r="B1139" s="23"/>
      <c r="C1139" s="23"/>
      <c r="D1139" s="23"/>
      <c r="E1139" s="23"/>
      <c r="F1139" s="23"/>
      <c r="G1139" s="23"/>
      <c r="H1139" s="23"/>
      <c r="I1139" s="23"/>
      <c r="J1139" s="23"/>
      <c r="K1139" s="23"/>
      <c r="L1139" s="23"/>
      <c r="M1139" s="23"/>
      <c r="N1139" s="23"/>
      <c r="O1139" s="23"/>
      <c r="P1139" s="23"/>
      <c r="Q1139" s="23"/>
      <c r="R1139" s="23"/>
      <c r="S1139" s="23"/>
      <c r="T1139" s="23"/>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c r="AV1139" s="22"/>
      <c r="AW1139" s="22"/>
      <c r="AX1139" s="22"/>
    </row>
    <row r="1140" spans="1:50" x14ac:dyDescent="0.35">
      <c r="A1140" s="23"/>
      <c r="B1140" s="23"/>
      <c r="C1140" s="23"/>
      <c r="D1140" s="23"/>
      <c r="E1140" s="23"/>
      <c r="F1140" s="23"/>
      <c r="G1140" s="23"/>
      <c r="H1140" s="23"/>
      <c r="I1140" s="23"/>
      <c r="J1140" s="23"/>
      <c r="K1140" s="23"/>
      <c r="L1140" s="23"/>
      <c r="M1140" s="23"/>
      <c r="N1140" s="23"/>
      <c r="O1140" s="23"/>
      <c r="P1140" s="23"/>
      <c r="Q1140" s="23"/>
      <c r="R1140" s="23"/>
      <c r="S1140" s="23"/>
      <c r="T1140" s="23"/>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c r="AV1140" s="22"/>
      <c r="AW1140" s="22"/>
      <c r="AX1140" s="22"/>
    </row>
    <row r="1141" spans="1:50" x14ac:dyDescent="0.35">
      <c r="A1141" s="23"/>
      <c r="B1141" s="23"/>
      <c r="C1141" s="23"/>
      <c r="D1141" s="23"/>
      <c r="E1141" s="23"/>
      <c r="F1141" s="23"/>
      <c r="G1141" s="23"/>
      <c r="H1141" s="23"/>
      <c r="I1141" s="23"/>
      <c r="J1141" s="23"/>
      <c r="K1141" s="23"/>
      <c r="L1141" s="23"/>
      <c r="M1141" s="23"/>
      <c r="N1141" s="23"/>
      <c r="O1141" s="23"/>
      <c r="P1141" s="23"/>
      <c r="Q1141" s="23"/>
      <c r="R1141" s="23"/>
      <c r="S1141" s="23"/>
      <c r="T1141" s="23"/>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c r="AV1141" s="22"/>
      <c r="AW1141" s="22"/>
      <c r="AX1141" s="22"/>
    </row>
    <row r="1142" spans="1:50" x14ac:dyDescent="0.35">
      <c r="A1142" s="23"/>
      <c r="B1142" s="23"/>
      <c r="C1142" s="23"/>
      <c r="D1142" s="23"/>
      <c r="E1142" s="23"/>
      <c r="F1142" s="23"/>
      <c r="G1142" s="23"/>
      <c r="H1142" s="23"/>
      <c r="I1142" s="23"/>
      <c r="J1142" s="23"/>
      <c r="K1142" s="23"/>
      <c r="L1142" s="23"/>
      <c r="M1142" s="23"/>
      <c r="N1142" s="23"/>
      <c r="O1142" s="23"/>
      <c r="P1142" s="23"/>
      <c r="Q1142" s="23"/>
      <c r="R1142" s="23"/>
      <c r="S1142" s="23"/>
      <c r="T1142" s="23"/>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c r="AV1142" s="22"/>
      <c r="AW1142" s="22"/>
      <c r="AX1142" s="22"/>
    </row>
    <row r="1143" spans="1:50" x14ac:dyDescent="0.35">
      <c r="A1143" s="23"/>
      <c r="B1143" s="23"/>
      <c r="C1143" s="23"/>
      <c r="D1143" s="23"/>
      <c r="E1143" s="23"/>
      <c r="F1143" s="23"/>
      <c r="G1143" s="23"/>
      <c r="H1143" s="23"/>
      <c r="I1143" s="23"/>
      <c r="J1143" s="23"/>
      <c r="K1143" s="23"/>
      <c r="L1143" s="23"/>
      <c r="M1143" s="23"/>
      <c r="N1143" s="23"/>
      <c r="O1143" s="23"/>
      <c r="P1143" s="23"/>
      <c r="Q1143" s="23"/>
      <c r="R1143" s="23"/>
      <c r="S1143" s="23"/>
      <c r="T1143" s="23"/>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c r="AV1143" s="22"/>
      <c r="AW1143" s="22"/>
      <c r="AX1143" s="22"/>
    </row>
    <row r="1144" spans="1:50" x14ac:dyDescent="0.35">
      <c r="A1144" s="23"/>
      <c r="B1144" s="23"/>
      <c r="C1144" s="23"/>
      <c r="D1144" s="23"/>
      <c r="E1144" s="23"/>
      <c r="F1144" s="23"/>
      <c r="G1144" s="23"/>
      <c r="H1144" s="23"/>
      <c r="I1144" s="23"/>
      <c r="J1144" s="23"/>
      <c r="K1144" s="23"/>
      <c r="L1144" s="23"/>
      <c r="M1144" s="23"/>
      <c r="N1144" s="23"/>
      <c r="O1144" s="23"/>
      <c r="P1144" s="23"/>
      <c r="Q1144" s="23"/>
      <c r="R1144" s="23"/>
      <c r="S1144" s="23"/>
      <c r="T1144" s="23"/>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c r="AV1144" s="22"/>
      <c r="AW1144" s="22"/>
      <c r="AX1144" s="22"/>
    </row>
    <row r="1145" spans="1:50" x14ac:dyDescent="0.35">
      <c r="A1145" s="23"/>
      <c r="B1145" s="23"/>
      <c r="C1145" s="23"/>
      <c r="D1145" s="23"/>
      <c r="E1145" s="23"/>
      <c r="F1145" s="23"/>
      <c r="G1145" s="23"/>
      <c r="H1145" s="23"/>
      <c r="I1145" s="23"/>
      <c r="J1145" s="23"/>
      <c r="K1145" s="23"/>
      <c r="L1145" s="23"/>
      <c r="M1145" s="23"/>
      <c r="N1145" s="23"/>
      <c r="O1145" s="23"/>
      <c r="P1145" s="23"/>
      <c r="Q1145" s="23"/>
      <c r="R1145" s="23"/>
      <c r="S1145" s="23"/>
      <c r="T1145" s="23"/>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c r="AV1145" s="22"/>
      <c r="AW1145" s="22"/>
      <c r="AX1145" s="22"/>
    </row>
    <row r="1146" spans="1:50" x14ac:dyDescent="0.35">
      <c r="A1146" s="23"/>
      <c r="B1146" s="23"/>
      <c r="C1146" s="23"/>
      <c r="D1146" s="23"/>
      <c r="E1146" s="23"/>
      <c r="F1146" s="23"/>
      <c r="G1146" s="23"/>
      <c r="H1146" s="23"/>
      <c r="I1146" s="23"/>
      <c r="J1146" s="23"/>
      <c r="K1146" s="23"/>
      <c r="L1146" s="23"/>
      <c r="M1146" s="23"/>
      <c r="N1146" s="23"/>
      <c r="O1146" s="23"/>
      <c r="P1146" s="23"/>
      <c r="Q1146" s="23"/>
      <c r="R1146" s="23"/>
      <c r="S1146" s="23"/>
      <c r="T1146" s="23"/>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c r="AV1146" s="22"/>
      <c r="AW1146" s="22"/>
      <c r="AX1146" s="22"/>
    </row>
    <row r="1147" spans="1:50" x14ac:dyDescent="0.35">
      <c r="A1147" s="23"/>
      <c r="B1147" s="23"/>
      <c r="C1147" s="23"/>
      <c r="D1147" s="23"/>
      <c r="E1147" s="23"/>
      <c r="F1147" s="23"/>
      <c r="G1147" s="23"/>
      <c r="H1147" s="23"/>
      <c r="I1147" s="23"/>
      <c r="J1147" s="23"/>
      <c r="K1147" s="23"/>
      <c r="L1147" s="23"/>
      <c r="M1147" s="23"/>
      <c r="N1147" s="23"/>
      <c r="O1147" s="23"/>
      <c r="P1147" s="23"/>
      <c r="Q1147" s="23"/>
      <c r="R1147" s="23"/>
      <c r="S1147" s="23"/>
      <c r="T1147" s="23"/>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c r="AV1147" s="22"/>
      <c r="AW1147" s="22"/>
      <c r="AX1147" s="22"/>
    </row>
    <row r="1148" spans="1:50" x14ac:dyDescent="0.35">
      <c r="A1148" s="23"/>
      <c r="B1148" s="23"/>
      <c r="C1148" s="23"/>
      <c r="D1148" s="23"/>
      <c r="E1148" s="23"/>
      <c r="F1148" s="23"/>
      <c r="G1148" s="23"/>
      <c r="H1148" s="23"/>
      <c r="I1148" s="23"/>
      <c r="J1148" s="23"/>
      <c r="K1148" s="23"/>
      <c r="L1148" s="23"/>
      <c r="M1148" s="23"/>
      <c r="N1148" s="23"/>
      <c r="O1148" s="23"/>
      <c r="P1148" s="23"/>
      <c r="Q1148" s="23"/>
      <c r="R1148" s="23"/>
      <c r="S1148" s="23"/>
      <c r="T1148" s="23"/>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c r="AV1148" s="22"/>
      <c r="AW1148" s="22"/>
      <c r="AX1148" s="22"/>
    </row>
    <row r="1149" spans="1:50" x14ac:dyDescent="0.35">
      <c r="A1149" s="23"/>
      <c r="B1149" s="23"/>
      <c r="C1149" s="23"/>
      <c r="D1149" s="23"/>
      <c r="E1149" s="23"/>
      <c r="F1149" s="23"/>
      <c r="G1149" s="23"/>
      <c r="H1149" s="23"/>
      <c r="I1149" s="23"/>
      <c r="J1149" s="23"/>
      <c r="K1149" s="23"/>
      <c r="L1149" s="23"/>
      <c r="M1149" s="23"/>
      <c r="N1149" s="23"/>
      <c r="O1149" s="23"/>
      <c r="P1149" s="23"/>
      <c r="Q1149" s="23"/>
      <c r="R1149" s="23"/>
      <c r="S1149" s="23"/>
      <c r="T1149" s="23"/>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c r="AV1149" s="22"/>
      <c r="AW1149" s="22"/>
      <c r="AX1149" s="22"/>
    </row>
    <row r="1150" spans="1:50" x14ac:dyDescent="0.35">
      <c r="A1150" s="23"/>
      <c r="B1150" s="23"/>
      <c r="C1150" s="23"/>
      <c r="D1150" s="23"/>
      <c r="E1150" s="23"/>
      <c r="F1150" s="23"/>
      <c r="G1150" s="23"/>
      <c r="H1150" s="23"/>
      <c r="I1150" s="23"/>
      <c r="J1150" s="23"/>
      <c r="K1150" s="23"/>
      <c r="L1150" s="23"/>
      <c r="M1150" s="23"/>
      <c r="N1150" s="23"/>
      <c r="O1150" s="23"/>
      <c r="P1150" s="23"/>
      <c r="Q1150" s="23"/>
      <c r="R1150" s="23"/>
      <c r="S1150" s="23"/>
      <c r="T1150" s="23"/>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c r="AV1150" s="22"/>
      <c r="AW1150" s="22"/>
      <c r="AX1150" s="22"/>
    </row>
    <row r="1151" spans="1:50" x14ac:dyDescent="0.35">
      <c r="A1151" s="23"/>
      <c r="B1151" s="23"/>
      <c r="C1151" s="23"/>
      <c r="D1151" s="23"/>
      <c r="E1151" s="23"/>
      <c r="F1151" s="23"/>
      <c r="G1151" s="23"/>
      <c r="H1151" s="23"/>
      <c r="I1151" s="23"/>
      <c r="J1151" s="23"/>
      <c r="K1151" s="23"/>
      <c r="L1151" s="23"/>
      <c r="M1151" s="23"/>
      <c r="N1151" s="23"/>
      <c r="O1151" s="23"/>
      <c r="P1151" s="23"/>
      <c r="Q1151" s="23"/>
      <c r="R1151" s="23"/>
      <c r="S1151" s="23"/>
      <c r="T1151" s="23"/>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c r="AV1151" s="22"/>
      <c r="AW1151" s="22"/>
      <c r="AX1151" s="22"/>
    </row>
    <row r="1152" spans="1:50" x14ac:dyDescent="0.35">
      <c r="A1152" s="23"/>
      <c r="B1152" s="23"/>
      <c r="C1152" s="23"/>
      <c r="D1152" s="23"/>
      <c r="E1152" s="23"/>
      <c r="F1152" s="23"/>
      <c r="G1152" s="23"/>
      <c r="H1152" s="23"/>
      <c r="I1152" s="23"/>
      <c r="J1152" s="23"/>
      <c r="K1152" s="23"/>
      <c r="L1152" s="23"/>
      <c r="M1152" s="23"/>
      <c r="N1152" s="23"/>
      <c r="O1152" s="23"/>
      <c r="P1152" s="23"/>
      <c r="Q1152" s="23"/>
      <c r="R1152" s="23"/>
      <c r="S1152" s="23"/>
      <c r="T1152" s="23"/>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c r="AV1152" s="22"/>
      <c r="AW1152" s="22"/>
      <c r="AX1152" s="22"/>
    </row>
    <row r="1153" spans="1:50" x14ac:dyDescent="0.35">
      <c r="A1153" s="23"/>
      <c r="B1153" s="23"/>
      <c r="C1153" s="23"/>
      <c r="D1153" s="23"/>
      <c r="E1153" s="23"/>
      <c r="F1153" s="23"/>
      <c r="G1153" s="23"/>
      <c r="H1153" s="23"/>
      <c r="I1153" s="23"/>
      <c r="J1153" s="23"/>
      <c r="K1153" s="23"/>
      <c r="L1153" s="23"/>
      <c r="M1153" s="23"/>
      <c r="N1153" s="23"/>
      <c r="O1153" s="23"/>
      <c r="P1153" s="23"/>
      <c r="Q1153" s="23"/>
      <c r="R1153" s="23"/>
      <c r="S1153" s="23"/>
      <c r="T1153" s="23"/>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c r="AV1153" s="22"/>
      <c r="AW1153" s="22"/>
      <c r="AX1153" s="22"/>
    </row>
    <row r="1154" spans="1:50" x14ac:dyDescent="0.35">
      <c r="A1154" s="23"/>
      <c r="B1154" s="23"/>
      <c r="C1154" s="23"/>
      <c r="D1154" s="23"/>
      <c r="E1154" s="23"/>
      <c r="F1154" s="23"/>
      <c r="G1154" s="23"/>
      <c r="H1154" s="23"/>
      <c r="I1154" s="23"/>
      <c r="J1154" s="23"/>
      <c r="K1154" s="23"/>
      <c r="L1154" s="23"/>
      <c r="M1154" s="23"/>
      <c r="N1154" s="23"/>
      <c r="O1154" s="23"/>
      <c r="P1154" s="23"/>
      <c r="Q1154" s="23"/>
      <c r="R1154" s="23"/>
      <c r="S1154" s="23"/>
      <c r="T1154" s="23"/>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c r="AV1154" s="22"/>
      <c r="AW1154" s="22"/>
      <c r="AX1154" s="22"/>
    </row>
    <row r="1155" spans="1:50" x14ac:dyDescent="0.35">
      <c r="A1155" s="23"/>
      <c r="B1155" s="23"/>
      <c r="C1155" s="23"/>
      <c r="D1155" s="23"/>
      <c r="E1155" s="23"/>
      <c r="F1155" s="23"/>
      <c r="G1155" s="23"/>
      <c r="H1155" s="23"/>
      <c r="I1155" s="23"/>
      <c r="J1155" s="23"/>
      <c r="K1155" s="23"/>
      <c r="L1155" s="23"/>
      <c r="M1155" s="23"/>
      <c r="N1155" s="23"/>
      <c r="O1155" s="23"/>
      <c r="P1155" s="23"/>
      <c r="Q1155" s="23"/>
      <c r="R1155" s="23"/>
      <c r="S1155" s="23"/>
      <c r="T1155" s="23"/>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c r="AV1155" s="22"/>
      <c r="AW1155" s="22"/>
      <c r="AX1155" s="22"/>
    </row>
    <row r="1156" spans="1:50" x14ac:dyDescent="0.35">
      <c r="A1156" s="23"/>
      <c r="B1156" s="23"/>
      <c r="C1156" s="23"/>
      <c r="D1156" s="23"/>
      <c r="E1156" s="23"/>
      <c r="F1156" s="23"/>
      <c r="G1156" s="23"/>
      <c r="H1156" s="23"/>
      <c r="I1156" s="23"/>
      <c r="J1156" s="23"/>
      <c r="K1156" s="23"/>
      <c r="L1156" s="23"/>
      <c r="M1156" s="23"/>
      <c r="N1156" s="23"/>
      <c r="O1156" s="23"/>
      <c r="P1156" s="23"/>
      <c r="Q1156" s="23"/>
      <c r="R1156" s="23"/>
      <c r="S1156" s="23"/>
      <c r="T1156" s="23"/>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c r="AV1156" s="22"/>
      <c r="AW1156" s="22"/>
      <c r="AX1156" s="22"/>
    </row>
    <row r="1157" spans="1:50" x14ac:dyDescent="0.35">
      <c r="A1157" s="23"/>
      <c r="B1157" s="23"/>
      <c r="C1157" s="23"/>
      <c r="D1157" s="23"/>
      <c r="E1157" s="23"/>
      <c r="F1157" s="23"/>
      <c r="G1157" s="23"/>
      <c r="H1157" s="23"/>
      <c r="I1157" s="23"/>
      <c r="J1157" s="23"/>
      <c r="K1157" s="23"/>
      <c r="L1157" s="23"/>
      <c r="M1157" s="23"/>
      <c r="N1157" s="23"/>
      <c r="O1157" s="23"/>
      <c r="P1157" s="23"/>
      <c r="Q1157" s="23"/>
      <c r="R1157" s="23"/>
      <c r="S1157" s="23"/>
      <c r="T1157" s="23"/>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c r="AV1157" s="22"/>
      <c r="AW1157" s="22"/>
      <c r="AX1157" s="22"/>
    </row>
    <row r="1158" spans="1:50" x14ac:dyDescent="0.35">
      <c r="A1158" s="23"/>
      <c r="B1158" s="23"/>
      <c r="C1158" s="23"/>
      <c r="D1158" s="23"/>
      <c r="E1158" s="23"/>
      <c r="F1158" s="23"/>
      <c r="G1158" s="23"/>
      <c r="H1158" s="23"/>
      <c r="I1158" s="23"/>
      <c r="J1158" s="23"/>
      <c r="K1158" s="23"/>
      <c r="L1158" s="23"/>
      <c r="M1158" s="23"/>
      <c r="N1158" s="23"/>
      <c r="O1158" s="23"/>
      <c r="P1158" s="23"/>
      <c r="Q1158" s="23"/>
      <c r="R1158" s="23"/>
      <c r="S1158" s="23"/>
      <c r="T1158" s="23"/>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c r="AV1158" s="22"/>
      <c r="AW1158" s="22"/>
      <c r="AX1158" s="22"/>
    </row>
    <row r="1159" spans="1:50" x14ac:dyDescent="0.35">
      <c r="A1159" s="23"/>
      <c r="B1159" s="23"/>
      <c r="C1159" s="23"/>
      <c r="D1159" s="23"/>
      <c r="E1159" s="23"/>
      <c r="F1159" s="23"/>
      <c r="G1159" s="23"/>
      <c r="H1159" s="23"/>
      <c r="I1159" s="23"/>
      <c r="J1159" s="23"/>
      <c r="K1159" s="23"/>
      <c r="L1159" s="23"/>
      <c r="M1159" s="23"/>
      <c r="N1159" s="23"/>
      <c r="O1159" s="23"/>
      <c r="P1159" s="23"/>
      <c r="Q1159" s="23"/>
      <c r="R1159" s="23"/>
      <c r="S1159" s="23"/>
      <c r="T1159" s="23"/>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c r="AV1159" s="22"/>
      <c r="AW1159" s="22"/>
      <c r="AX1159" s="22"/>
    </row>
    <row r="1160" spans="1:50" x14ac:dyDescent="0.35">
      <c r="A1160" s="23"/>
      <c r="B1160" s="23"/>
      <c r="C1160" s="23"/>
      <c r="D1160" s="23"/>
      <c r="E1160" s="23"/>
      <c r="F1160" s="23"/>
      <c r="G1160" s="23"/>
      <c r="H1160" s="23"/>
      <c r="I1160" s="23"/>
      <c r="J1160" s="23"/>
      <c r="K1160" s="23"/>
      <c r="L1160" s="23"/>
      <c r="M1160" s="23"/>
      <c r="N1160" s="23"/>
      <c r="O1160" s="23"/>
      <c r="P1160" s="23"/>
      <c r="Q1160" s="23"/>
      <c r="R1160" s="23"/>
      <c r="S1160" s="23"/>
      <c r="T1160" s="23"/>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c r="AV1160" s="22"/>
      <c r="AW1160" s="22"/>
      <c r="AX1160" s="22"/>
    </row>
    <row r="1161" spans="1:50" x14ac:dyDescent="0.35">
      <c r="A1161" s="23"/>
      <c r="B1161" s="23"/>
      <c r="C1161" s="23"/>
      <c r="D1161" s="23"/>
      <c r="E1161" s="23"/>
      <c r="F1161" s="23"/>
      <c r="G1161" s="23"/>
      <c r="H1161" s="23"/>
      <c r="I1161" s="23"/>
      <c r="J1161" s="23"/>
      <c r="K1161" s="23"/>
      <c r="L1161" s="23"/>
      <c r="M1161" s="23"/>
      <c r="N1161" s="23"/>
      <c r="O1161" s="23"/>
      <c r="P1161" s="23"/>
      <c r="Q1161" s="23"/>
      <c r="R1161" s="23"/>
      <c r="S1161" s="23"/>
      <c r="T1161" s="23"/>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c r="AV1161" s="22"/>
      <c r="AW1161" s="22"/>
      <c r="AX1161" s="22"/>
    </row>
    <row r="1162" spans="1:50" x14ac:dyDescent="0.35">
      <c r="A1162" s="23"/>
      <c r="B1162" s="23"/>
      <c r="C1162" s="23"/>
      <c r="D1162" s="23"/>
      <c r="E1162" s="23"/>
      <c r="F1162" s="23"/>
      <c r="G1162" s="23"/>
      <c r="H1162" s="23"/>
      <c r="I1162" s="23"/>
      <c r="J1162" s="23"/>
      <c r="K1162" s="23"/>
      <c r="L1162" s="23"/>
      <c r="M1162" s="23"/>
      <c r="N1162" s="23"/>
      <c r="O1162" s="23"/>
      <c r="P1162" s="23"/>
      <c r="Q1162" s="23"/>
      <c r="R1162" s="23"/>
      <c r="S1162" s="23"/>
      <c r="T1162" s="23"/>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c r="AV1162" s="22"/>
      <c r="AW1162" s="22"/>
      <c r="AX1162" s="22"/>
    </row>
    <row r="1163" spans="1:50" x14ac:dyDescent="0.35">
      <c r="A1163" s="23"/>
      <c r="B1163" s="23"/>
      <c r="C1163" s="23"/>
      <c r="D1163" s="23"/>
      <c r="E1163" s="23"/>
      <c r="F1163" s="23"/>
      <c r="G1163" s="23"/>
      <c r="H1163" s="23"/>
      <c r="I1163" s="23"/>
      <c r="J1163" s="23"/>
      <c r="K1163" s="23"/>
      <c r="L1163" s="23"/>
      <c r="M1163" s="23"/>
      <c r="N1163" s="23"/>
      <c r="O1163" s="23"/>
      <c r="P1163" s="23"/>
      <c r="Q1163" s="23"/>
      <c r="R1163" s="23"/>
      <c r="S1163" s="23"/>
      <c r="T1163" s="23"/>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c r="AV1163" s="22"/>
      <c r="AW1163" s="22"/>
      <c r="AX1163" s="22"/>
    </row>
    <row r="1164" spans="1:50" x14ac:dyDescent="0.35">
      <c r="A1164" s="23"/>
      <c r="B1164" s="23"/>
      <c r="C1164" s="23"/>
      <c r="D1164" s="23"/>
      <c r="E1164" s="23"/>
      <c r="F1164" s="23"/>
      <c r="G1164" s="23"/>
      <c r="H1164" s="23"/>
      <c r="I1164" s="23"/>
      <c r="J1164" s="23"/>
      <c r="K1164" s="23"/>
      <c r="L1164" s="23"/>
      <c r="M1164" s="23"/>
      <c r="N1164" s="23"/>
      <c r="O1164" s="23"/>
      <c r="P1164" s="23"/>
      <c r="Q1164" s="23"/>
      <c r="R1164" s="23"/>
      <c r="S1164" s="23"/>
      <c r="T1164" s="23"/>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c r="AV1164" s="22"/>
      <c r="AW1164" s="22"/>
      <c r="AX1164" s="22"/>
    </row>
    <row r="1165" spans="1:50" x14ac:dyDescent="0.35">
      <c r="A1165" s="23"/>
      <c r="B1165" s="23"/>
      <c r="C1165" s="23"/>
      <c r="D1165" s="23"/>
      <c r="E1165" s="23"/>
      <c r="F1165" s="23"/>
      <c r="G1165" s="23"/>
      <c r="H1165" s="23"/>
      <c r="I1165" s="23"/>
      <c r="J1165" s="23"/>
      <c r="K1165" s="23"/>
      <c r="L1165" s="23"/>
      <c r="M1165" s="23"/>
      <c r="N1165" s="23"/>
      <c r="O1165" s="23"/>
      <c r="P1165" s="23"/>
      <c r="Q1165" s="23"/>
      <c r="R1165" s="23"/>
      <c r="S1165" s="23"/>
      <c r="T1165" s="23"/>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c r="AV1165" s="22"/>
      <c r="AW1165" s="22"/>
      <c r="AX1165" s="22"/>
    </row>
    <row r="1166" spans="1:50" x14ac:dyDescent="0.35">
      <c r="A1166" s="23"/>
      <c r="B1166" s="23"/>
      <c r="C1166" s="23"/>
      <c r="D1166" s="23"/>
      <c r="E1166" s="23"/>
      <c r="F1166" s="23"/>
      <c r="G1166" s="23"/>
      <c r="H1166" s="23"/>
      <c r="I1166" s="23"/>
      <c r="J1166" s="23"/>
      <c r="K1166" s="23"/>
      <c r="L1166" s="23"/>
      <c r="M1166" s="23"/>
      <c r="N1166" s="23"/>
      <c r="O1166" s="23"/>
      <c r="P1166" s="23"/>
      <c r="Q1166" s="23"/>
      <c r="R1166" s="23"/>
      <c r="S1166" s="23"/>
      <c r="T1166" s="23"/>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c r="AV1166" s="22"/>
      <c r="AW1166" s="22"/>
      <c r="AX1166" s="22"/>
    </row>
    <row r="1167" spans="1:50" x14ac:dyDescent="0.35">
      <c r="A1167" s="23"/>
      <c r="B1167" s="23"/>
      <c r="C1167" s="23"/>
      <c r="D1167" s="23"/>
      <c r="E1167" s="23"/>
      <c r="F1167" s="23"/>
      <c r="G1167" s="23"/>
      <c r="H1167" s="23"/>
      <c r="I1167" s="23"/>
      <c r="J1167" s="23"/>
      <c r="K1167" s="23"/>
      <c r="L1167" s="23"/>
      <c r="M1167" s="23"/>
      <c r="N1167" s="23"/>
      <c r="O1167" s="23"/>
      <c r="P1167" s="23"/>
      <c r="Q1167" s="23"/>
      <c r="R1167" s="23"/>
      <c r="S1167" s="23"/>
      <c r="T1167" s="23"/>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c r="AV1167" s="22"/>
      <c r="AW1167" s="22"/>
      <c r="AX1167" s="22"/>
    </row>
    <row r="1168" spans="1:50" x14ac:dyDescent="0.35">
      <c r="A1168" s="23"/>
      <c r="B1168" s="23"/>
      <c r="C1168" s="23"/>
      <c r="D1168" s="23"/>
      <c r="E1168" s="23"/>
      <c r="F1168" s="23"/>
      <c r="G1168" s="23"/>
      <c r="H1168" s="23"/>
      <c r="I1168" s="23"/>
      <c r="J1168" s="23"/>
      <c r="K1168" s="23"/>
      <c r="L1168" s="23"/>
      <c r="M1168" s="23"/>
      <c r="N1168" s="23"/>
      <c r="O1168" s="23"/>
      <c r="P1168" s="23"/>
      <c r="Q1168" s="23"/>
      <c r="R1168" s="23"/>
      <c r="S1168" s="23"/>
      <c r="T1168" s="23"/>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c r="AV1168" s="22"/>
      <c r="AW1168" s="22"/>
      <c r="AX1168" s="22"/>
    </row>
    <row r="1169" spans="1:50" x14ac:dyDescent="0.35">
      <c r="A1169" s="23"/>
      <c r="B1169" s="23"/>
      <c r="C1169" s="23"/>
      <c r="D1169" s="23"/>
      <c r="E1169" s="23"/>
      <c r="F1169" s="23"/>
      <c r="G1169" s="23"/>
      <c r="H1169" s="23"/>
      <c r="I1169" s="23"/>
      <c r="J1169" s="23"/>
      <c r="K1169" s="23"/>
      <c r="L1169" s="23"/>
      <c r="M1169" s="23"/>
      <c r="N1169" s="23"/>
      <c r="O1169" s="23"/>
      <c r="P1169" s="23"/>
      <c r="Q1169" s="23"/>
      <c r="R1169" s="23"/>
      <c r="S1169" s="23"/>
      <c r="T1169" s="23"/>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c r="AV1169" s="22"/>
      <c r="AW1169" s="22"/>
      <c r="AX1169" s="22"/>
    </row>
    <row r="1170" spans="1:50" x14ac:dyDescent="0.35">
      <c r="A1170" s="23"/>
      <c r="B1170" s="23"/>
      <c r="C1170" s="23"/>
      <c r="D1170" s="23"/>
      <c r="E1170" s="23"/>
      <c r="F1170" s="23"/>
      <c r="G1170" s="23"/>
      <c r="H1170" s="23"/>
      <c r="I1170" s="23"/>
      <c r="J1170" s="23"/>
      <c r="K1170" s="23"/>
      <c r="L1170" s="23"/>
      <c r="M1170" s="23"/>
      <c r="N1170" s="23"/>
      <c r="O1170" s="23"/>
      <c r="P1170" s="23"/>
      <c r="Q1170" s="23"/>
      <c r="R1170" s="23"/>
      <c r="S1170" s="23"/>
      <c r="T1170" s="23"/>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c r="AV1170" s="22"/>
      <c r="AW1170" s="22"/>
      <c r="AX1170" s="22"/>
    </row>
    <row r="1171" spans="1:50" x14ac:dyDescent="0.35">
      <c r="A1171" s="23"/>
      <c r="B1171" s="23"/>
      <c r="C1171" s="23"/>
      <c r="D1171" s="23"/>
      <c r="E1171" s="23"/>
      <c r="F1171" s="23"/>
      <c r="G1171" s="23"/>
      <c r="H1171" s="23"/>
      <c r="I1171" s="23"/>
      <c r="J1171" s="23"/>
      <c r="K1171" s="23"/>
      <c r="L1171" s="23"/>
      <c r="M1171" s="23"/>
      <c r="N1171" s="23"/>
      <c r="O1171" s="23"/>
      <c r="P1171" s="23"/>
      <c r="Q1171" s="23"/>
      <c r="R1171" s="23"/>
      <c r="S1171" s="23"/>
      <c r="T1171" s="23"/>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c r="AV1171" s="22"/>
      <c r="AW1171" s="22"/>
      <c r="AX1171" s="22"/>
    </row>
    <row r="1172" spans="1:50" x14ac:dyDescent="0.35">
      <c r="A1172" s="23"/>
      <c r="B1172" s="23"/>
      <c r="C1172" s="23"/>
      <c r="D1172" s="23"/>
      <c r="E1172" s="23"/>
      <c r="F1172" s="23"/>
      <c r="G1172" s="23"/>
      <c r="H1172" s="23"/>
      <c r="I1172" s="23"/>
      <c r="J1172" s="23"/>
      <c r="K1172" s="23"/>
      <c r="L1172" s="23"/>
      <c r="M1172" s="23"/>
      <c r="N1172" s="23"/>
      <c r="O1172" s="23"/>
      <c r="P1172" s="23"/>
      <c r="Q1172" s="23"/>
      <c r="R1172" s="23"/>
      <c r="S1172" s="23"/>
      <c r="T1172" s="23"/>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c r="AV1172" s="22"/>
      <c r="AW1172" s="22"/>
      <c r="AX1172" s="22"/>
    </row>
    <row r="1173" spans="1:50" x14ac:dyDescent="0.35">
      <c r="A1173" s="23"/>
      <c r="B1173" s="23"/>
      <c r="C1173" s="23"/>
      <c r="D1173" s="23"/>
      <c r="E1173" s="23"/>
      <c r="F1173" s="23"/>
      <c r="G1173" s="23"/>
      <c r="H1173" s="23"/>
      <c r="I1173" s="23"/>
      <c r="J1173" s="23"/>
      <c r="K1173" s="23"/>
      <c r="L1173" s="23"/>
      <c r="M1173" s="23"/>
      <c r="N1173" s="23"/>
      <c r="O1173" s="23"/>
      <c r="P1173" s="23"/>
      <c r="Q1173" s="23"/>
      <c r="R1173" s="23"/>
      <c r="S1173" s="23"/>
      <c r="T1173" s="23"/>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c r="AV1173" s="22"/>
      <c r="AW1173" s="22"/>
      <c r="AX1173" s="22"/>
    </row>
    <row r="1174" spans="1:50" x14ac:dyDescent="0.35">
      <c r="A1174" s="23"/>
      <c r="B1174" s="23"/>
      <c r="C1174" s="23"/>
      <c r="D1174" s="23"/>
      <c r="E1174" s="23"/>
      <c r="F1174" s="23"/>
      <c r="G1174" s="23"/>
      <c r="H1174" s="23"/>
      <c r="I1174" s="23"/>
      <c r="J1174" s="23"/>
      <c r="K1174" s="23"/>
      <c r="L1174" s="23"/>
      <c r="M1174" s="23"/>
      <c r="N1174" s="23"/>
      <c r="O1174" s="23"/>
      <c r="P1174" s="23"/>
      <c r="Q1174" s="23"/>
      <c r="R1174" s="23"/>
      <c r="S1174" s="23"/>
      <c r="T1174" s="23"/>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c r="AV1174" s="22"/>
      <c r="AW1174" s="22"/>
      <c r="AX1174" s="22"/>
    </row>
    <row r="1175" spans="1:50" x14ac:dyDescent="0.35">
      <c r="A1175" s="23"/>
      <c r="B1175" s="23"/>
      <c r="C1175" s="23"/>
      <c r="D1175" s="23"/>
      <c r="E1175" s="23"/>
      <c r="F1175" s="23"/>
      <c r="G1175" s="23"/>
      <c r="H1175" s="23"/>
      <c r="I1175" s="23"/>
      <c r="J1175" s="23"/>
      <c r="K1175" s="23"/>
      <c r="L1175" s="23"/>
      <c r="M1175" s="23"/>
      <c r="N1175" s="23"/>
      <c r="O1175" s="23"/>
      <c r="P1175" s="23"/>
      <c r="Q1175" s="23"/>
      <c r="R1175" s="23"/>
      <c r="S1175" s="23"/>
      <c r="T1175" s="23"/>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c r="AV1175" s="22"/>
      <c r="AW1175" s="22"/>
      <c r="AX1175" s="22"/>
    </row>
    <row r="1176" spans="1:50" x14ac:dyDescent="0.35">
      <c r="A1176" s="23"/>
      <c r="B1176" s="23"/>
      <c r="C1176" s="23"/>
      <c r="D1176" s="23"/>
      <c r="E1176" s="23"/>
      <c r="F1176" s="23"/>
      <c r="G1176" s="23"/>
      <c r="H1176" s="23"/>
      <c r="I1176" s="23"/>
      <c r="J1176" s="23"/>
      <c r="K1176" s="23"/>
      <c r="L1176" s="23"/>
      <c r="M1176" s="23"/>
      <c r="N1176" s="23"/>
      <c r="O1176" s="23"/>
      <c r="P1176" s="23"/>
      <c r="Q1176" s="23"/>
      <c r="R1176" s="23"/>
      <c r="S1176" s="23"/>
      <c r="T1176" s="23"/>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c r="AV1176" s="22"/>
      <c r="AW1176" s="22"/>
      <c r="AX1176" s="22"/>
    </row>
    <row r="1177" spans="1:50" x14ac:dyDescent="0.35">
      <c r="A1177" s="23"/>
      <c r="B1177" s="23"/>
      <c r="C1177" s="23"/>
      <c r="D1177" s="23"/>
      <c r="E1177" s="23"/>
      <c r="F1177" s="23"/>
      <c r="G1177" s="23"/>
      <c r="H1177" s="23"/>
      <c r="I1177" s="23"/>
      <c r="J1177" s="23"/>
      <c r="K1177" s="23"/>
      <c r="L1177" s="23"/>
      <c r="M1177" s="23"/>
      <c r="N1177" s="23"/>
      <c r="O1177" s="23"/>
      <c r="P1177" s="23"/>
      <c r="Q1177" s="23"/>
      <c r="R1177" s="23"/>
      <c r="S1177" s="23"/>
      <c r="T1177" s="23"/>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c r="AV1177" s="22"/>
      <c r="AW1177" s="22"/>
      <c r="AX1177" s="22"/>
    </row>
    <row r="1178" spans="1:50" x14ac:dyDescent="0.35">
      <c r="A1178" s="23"/>
      <c r="B1178" s="23"/>
      <c r="C1178" s="23"/>
      <c r="D1178" s="23"/>
      <c r="E1178" s="23"/>
      <c r="F1178" s="23"/>
      <c r="G1178" s="23"/>
      <c r="H1178" s="23"/>
      <c r="I1178" s="23"/>
      <c r="J1178" s="23"/>
      <c r="K1178" s="23"/>
      <c r="L1178" s="23"/>
      <c r="M1178" s="23"/>
      <c r="N1178" s="23"/>
      <c r="O1178" s="23"/>
      <c r="P1178" s="23"/>
      <c r="Q1178" s="23"/>
      <c r="R1178" s="23"/>
      <c r="S1178" s="23"/>
      <c r="T1178" s="23"/>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c r="AV1178" s="22"/>
      <c r="AW1178" s="22"/>
      <c r="AX1178" s="22"/>
    </row>
    <row r="1179" spans="1:50" x14ac:dyDescent="0.35">
      <c r="A1179" s="23"/>
      <c r="B1179" s="23"/>
      <c r="C1179" s="23"/>
      <c r="D1179" s="23"/>
      <c r="E1179" s="23"/>
      <c r="F1179" s="23"/>
      <c r="G1179" s="23"/>
      <c r="H1179" s="23"/>
      <c r="I1179" s="23"/>
      <c r="J1179" s="23"/>
      <c r="K1179" s="23"/>
      <c r="L1179" s="23"/>
      <c r="M1179" s="23"/>
      <c r="N1179" s="23"/>
      <c r="O1179" s="23"/>
      <c r="P1179" s="23"/>
      <c r="Q1179" s="23"/>
      <c r="R1179" s="23"/>
      <c r="S1179" s="23"/>
      <c r="T1179" s="23"/>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c r="AV1179" s="22"/>
      <c r="AW1179" s="22"/>
      <c r="AX1179" s="22"/>
    </row>
    <row r="1180" spans="1:50" x14ac:dyDescent="0.35">
      <c r="A1180" s="23"/>
      <c r="B1180" s="23"/>
      <c r="C1180" s="23"/>
      <c r="D1180" s="23"/>
      <c r="E1180" s="23"/>
      <c r="F1180" s="23"/>
      <c r="G1180" s="23"/>
      <c r="H1180" s="23"/>
      <c r="I1180" s="23"/>
      <c r="J1180" s="23"/>
      <c r="K1180" s="23"/>
      <c r="L1180" s="23"/>
      <c r="M1180" s="23"/>
      <c r="N1180" s="23"/>
      <c r="O1180" s="23"/>
      <c r="P1180" s="23"/>
      <c r="Q1180" s="23"/>
      <c r="R1180" s="23"/>
      <c r="S1180" s="23"/>
      <c r="T1180" s="23"/>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c r="AV1180" s="22"/>
      <c r="AW1180" s="22"/>
      <c r="AX1180" s="22"/>
    </row>
    <row r="1181" spans="1:50" x14ac:dyDescent="0.35">
      <c r="A1181" s="23"/>
      <c r="B1181" s="23"/>
      <c r="C1181" s="23"/>
      <c r="D1181" s="23"/>
      <c r="E1181" s="23"/>
      <c r="F1181" s="23"/>
      <c r="G1181" s="23"/>
      <c r="H1181" s="23"/>
      <c r="I1181" s="23"/>
      <c r="J1181" s="23"/>
      <c r="K1181" s="23"/>
      <c r="L1181" s="23"/>
      <c r="M1181" s="23"/>
      <c r="N1181" s="23"/>
      <c r="O1181" s="23"/>
      <c r="P1181" s="23"/>
      <c r="Q1181" s="23"/>
      <c r="R1181" s="23"/>
      <c r="S1181" s="23"/>
      <c r="T1181" s="23"/>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c r="AV1181" s="22"/>
      <c r="AW1181" s="22"/>
      <c r="AX1181" s="22"/>
    </row>
    <row r="1182" spans="1:50" x14ac:dyDescent="0.35">
      <c r="A1182" s="23"/>
      <c r="B1182" s="23"/>
      <c r="C1182" s="23"/>
      <c r="D1182" s="23"/>
      <c r="E1182" s="23"/>
      <c r="F1182" s="23"/>
      <c r="G1182" s="23"/>
      <c r="H1182" s="23"/>
      <c r="I1182" s="23"/>
      <c r="J1182" s="23"/>
      <c r="K1182" s="23"/>
      <c r="L1182" s="23"/>
      <c r="M1182" s="23"/>
      <c r="N1182" s="23"/>
      <c r="O1182" s="23"/>
      <c r="P1182" s="23"/>
      <c r="Q1182" s="23"/>
      <c r="R1182" s="23"/>
      <c r="S1182" s="23"/>
      <c r="T1182" s="23"/>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c r="AV1182" s="22"/>
      <c r="AW1182" s="22"/>
      <c r="AX1182" s="22"/>
    </row>
    <row r="1183" spans="1:50" x14ac:dyDescent="0.35">
      <c r="A1183" s="23"/>
      <c r="B1183" s="23"/>
      <c r="C1183" s="23"/>
      <c r="D1183" s="23"/>
      <c r="E1183" s="23"/>
      <c r="F1183" s="23"/>
      <c r="G1183" s="23"/>
      <c r="H1183" s="23"/>
      <c r="I1183" s="23"/>
      <c r="J1183" s="23"/>
      <c r="K1183" s="23"/>
      <c r="L1183" s="23"/>
      <c r="M1183" s="23"/>
      <c r="N1183" s="23"/>
      <c r="O1183" s="23"/>
      <c r="P1183" s="23"/>
      <c r="Q1183" s="23"/>
      <c r="R1183" s="23"/>
      <c r="S1183" s="23"/>
      <c r="T1183" s="23"/>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c r="AV1183" s="22"/>
      <c r="AW1183" s="22"/>
      <c r="AX1183" s="22"/>
    </row>
    <row r="1184" spans="1:50" x14ac:dyDescent="0.35">
      <c r="A1184" s="23"/>
      <c r="B1184" s="23"/>
      <c r="C1184" s="23"/>
      <c r="D1184" s="23"/>
      <c r="E1184" s="23"/>
      <c r="F1184" s="23"/>
      <c r="G1184" s="23"/>
      <c r="H1184" s="23"/>
      <c r="I1184" s="23"/>
      <c r="J1184" s="23"/>
      <c r="K1184" s="23"/>
      <c r="L1184" s="23"/>
      <c r="M1184" s="23"/>
      <c r="N1184" s="23"/>
      <c r="O1184" s="23"/>
      <c r="P1184" s="23"/>
      <c r="Q1184" s="23"/>
      <c r="R1184" s="23"/>
      <c r="S1184" s="23"/>
      <c r="T1184" s="23"/>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c r="AV1184" s="22"/>
      <c r="AW1184" s="22"/>
      <c r="AX1184" s="22"/>
    </row>
    <row r="1185" spans="1:50" x14ac:dyDescent="0.35">
      <c r="A1185" s="23"/>
      <c r="B1185" s="23"/>
      <c r="C1185" s="23"/>
      <c r="D1185" s="23"/>
      <c r="E1185" s="23"/>
      <c r="F1185" s="23"/>
      <c r="G1185" s="23"/>
      <c r="H1185" s="23"/>
      <c r="I1185" s="23"/>
      <c r="J1185" s="23"/>
      <c r="K1185" s="23"/>
      <c r="L1185" s="23"/>
      <c r="M1185" s="23"/>
      <c r="N1185" s="23"/>
      <c r="O1185" s="23"/>
      <c r="P1185" s="23"/>
      <c r="Q1185" s="23"/>
      <c r="R1185" s="23"/>
      <c r="S1185" s="23"/>
      <c r="T1185" s="23"/>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c r="AV1185" s="22"/>
      <c r="AW1185" s="22"/>
      <c r="AX1185" s="22"/>
    </row>
    <row r="1186" spans="1:50" x14ac:dyDescent="0.35">
      <c r="A1186" s="23"/>
      <c r="B1186" s="23"/>
      <c r="C1186" s="23"/>
      <c r="D1186" s="23"/>
      <c r="E1186" s="23"/>
      <c r="F1186" s="23"/>
      <c r="G1186" s="23"/>
      <c r="H1186" s="23"/>
      <c r="I1186" s="23"/>
      <c r="J1186" s="23"/>
      <c r="K1186" s="23"/>
      <c r="L1186" s="23"/>
      <c r="M1186" s="23"/>
      <c r="N1186" s="23"/>
      <c r="O1186" s="23"/>
      <c r="P1186" s="23"/>
      <c r="Q1186" s="23"/>
      <c r="R1186" s="23"/>
      <c r="S1186" s="23"/>
      <c r="T1186" s="23"/>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c r="AV1186" s="22"/>
      <c r="AW1186" s="22"/>
      <c r="AX1186" s="22"/>
    </row>
    <row r="1187" spans="1:50" x14ac:dyDescent="0.35">
      <c r="A1187" s="23"/>
      <c r="B1187" s="23"/>
      <c r="C1187" s="23"/>
      <c r="D1187" s="23"/>
      <c r="E1187" s="23"/>
      <c r="F1187" s="23"/>
      <c r="G1187" s="23"/>
      <c r="H1187" s="23"/>
      <c r="I1187" s="23"/>
      <c r="J1187" s="23"/>
      <c r="K1187" s="23"/>
      <c r="L1187" s="23"/>
      <c r="M1187" s="23"/>
      <c r="N1187" s="23"/>
      <c r="O1187" s="23"/>
      <c r="P1187" s="23"/>
      <c r="Q1187" s="23"/>
      <c r="R1187" s="23"/>
      <c r="S1187" s="23"/>
      <c r="T1187" s="23"/>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c r="AV1187" s="22"/>
      <c r="AW1187" s="22"/>
      <c r="AX1187" s="22"/>
    </row>
    <row r="1188" spans="1:50" x14ac:dyDescent="0.35">
      <c r="A1188" s="23"/>
      <c r="B1188" s="23"/>
      <c r="C1188" s="23"/>
      <c r="D1188" s="23"/>
      <c r="E1188" s="23"/>
      <c r="F1188" s="23"/>
      <c r="G1188" s="23"/>
      <c r="H1188" s="23"/>
      <c r="I1188" s="23"/>
      <c r="J1188" s="23"/>
      <c r="K1188" s="23"/>
      <c r="L1188" s="23"/>
      <c r="M1188" s="23"/>
      <c r="N1188" s="23"/>
      <c r="O1188" s="23"/>
      <c r="P1188" s="23"/>
      <c r="Q1188" s="23"/>
      <c r="R1188" s="23"/>
      <c r="S1188" s="23"/>
      <c r="T1188" s="23"/>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c r="AV1188" s="22"/>
      <c r="AW1188" s="22"/>
      <c r="AX1188" s="22"/>
    </row>
    <row r="1189" spans="1:50" x14ac:dyDescent="0.35">
      <c r="A1189" s="23"/>
      <c r="B1189" s="23"/>
      <c r="C1189" s="23"/>
      <c r="D1189" s="23"/>
      <c r="E1189" s="23"/>
      <c r="F1189" s="23"/>
      <c r="G1189" s="23"/>
      <c r="H1189" s="23"/>
      <c r="I1189" s="23"/>
      <c r="J1189" s="23"/>
      <c r="K1189" s="23"/>
      <c r="L1189" s="23"/>
      <c r="M1189" s="23"/>
      <c r="N1189" s="23"/>
      <c r="O1189" s="23"/>
      <c r="P1189" s="23"/>
      <c r="Q1189" s="23"/>
      <c r="R1189" s="23"/>
      <c r="S1189" s="23"/>
      <c r="T1189" s="23"/>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c r="AV1189" s="22"/>
      <c r="AW1189" s="22"/>
      <c r="AX1189" s="22"/>
    </row>
    <row r="1190" spans="1:50" x14ac:dyDescent="0.35">
      <c r="A1190" s="23"/>
      <c r="B1190" s="23"/>
      <c r="C1190" s="23"/>
      <c r="D1190" s="23"/>
      <c r="E1190" s="23"/>
      <c r="F1190" s="23"/>
      <c r="G1190" s="23"/>
      <c r="H1190" s="23"/>
      <c r="I1190" s="23"/>
      <c r="J1190" s="23"/>
      <c r="K1190" s="23"/>
      <c r="L1190" s="23"/>
      <c r="M1190" s="23"/>
      <c r="N1190" s="23"/>
      <c r="O1190" s="23"/>
      <c r="P1190" s="23"/>
      <c r="Q1190" s="23"/>
      <c r="R1190" s="23"/>
      <c r="S1190" s="23"/>
      <c r="T1190" s="23"/>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c r="AV1190" s="22"/>
      <c r="AW1190" s="22"/>
      <c r="AX1190" s="22"/>
    </row>
    <row r="1191" spans="1:50" x14ac:dyDescent="0.35">
      <c r="A1191" s="23"/>
      <c r="B1191" s="23"/>
      <c r="C1191" s="23"/>
      <c r="D1191" s="23"/>
      <c r="E1191" s="23"/>
      <c r="F1191" s="23"/>
      <c r="G1191" s="23"/>
      <c r="H1191" s="23"/>
      <c r="I1191" s="23"/>
      <c r="J1191" s="23"/>
      <c r="K1191" s="23"/>
      <c r="L1191" s="23"/>
      <c r="M1191" s="23"/>
      <c r="N1191" s="23"/>
      <c r="O1191" s="23"/>
      <c r="P1191" s="23"/>
      <c r="Q1191" s="23"/>
      <c r="R1191" s="23"/>
      <c r="S1191" s="23"/>
      <c r="T1191" s="23"/>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c r="AV1191" s="22"/>
      <c r="AW1191" s="22"/>
      <c r="AX1191" s="22"/>
    </row>
    <row r="1192" spans="1:50" x14ac:dyDescent="0.35">
      <c r="A1192" s="23"/>
      <c r="B1192" s="23"/>
      <c r="C1192" s="23"/>
      <c r="D1192" s="23"/>
      <c r="E1192" s="23"/>
      <c r="F1192" s="23"/>
      <c r="G1192" s="23"/>
      <c r="H1192" s="23"/>
      <c r="I1192" s="23"/>
      <c r="J1192" s="23"/>
      <c r="K1192" s="23"/>
      <c r="L1192" s="23"/>
      <c r="M1192" s="23"/>
      <c r="N1192" s="23"/>
      <c r="O1192" s="23"/>
      <c r="P1192" s="23"/>
      <c r="Q1192" s="23"/>
      <c r="R1192" s="23"/>
      <c r="S1192" s="23"/>
      <c r="T1192" s="23"/>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c r="AV1192" s="22"/>
      <c r="AW1192" s="22"/>
      <c r="AX1192" s="22"/>
    </row>
    <row r="1193" spans="1:50" x14ac:dyDescent="0.35">
      <c r="A1193" s="23"/>
      <c r="B1193" s="23"/>
      <c r="C1193" s="23"/>
      <c r="D1193" s="23"/>
      <c r="E1193" s="23"/>
      <c r="F1193" s="23"/>
      <c r="G1193" s="23"/>
      <c r="H1193" s="23"/>
      <c r="I1193" s="23"/>
      <c r="J1193" s="23"/>
      <c r="K1193" s="23"/>
      <c r="L1193" s="23"/>
      <c r="M1193" s="23"/>
      <c r="N1193" s="23"/>
      <c r="O1193" s="23"/>
      <c r="P1193" s="23"/>
      <c r="Q1193" s="23"/>
      <c r="R1193" s="23"/>
      <c r="S1193" s="23"/>
      <c r="T1193" s="23"/>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c r="AV1193" s="22"/>
      <c r="AW1193" s="22"/>
      <c r="AX1193" s="22"/>
    </row>
    <row r="1194" spans="1:50" x14ac:dyDescent="0.35">
      <c r="A1194" s="23"/>
      <c r="B1194" s="23"/>
      <c r="C1194" s="23"/>
      <c r="D1194" s="23"/>
      <c r="E1194" s="23"/>
      <c r="F1194" s="23"/>
      <c r="G1194" s="23"/>
      <c r="H1194" s="23"/>
      <c r="I1194" s="23"/>
      <c r="J1194" s="23"/>
      <c r="K1194" s="23"/>
      <c r="L1194" s="23"/>
      <c r="M1194" s="23"/>
      <c r="N1194" s="23"/>
      <c r="O1194" s="23"/>
      <c r="P1194" s="23"/>
      <c r="Q1194" s="23"/>
      <c r="R1194" s="23"/>
      <c r="S1194" s="23"/>
      <c r="T1194" s="23"/>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c r="AV1194" s="22"/>
      <c r="AW1194" s="22"/>
      <c r="AX1194" s="22"/>
    </row>
    <row r="1195" spans="1:50" x14ac:dyDescent="0.35">
      <c r="A1195" s="23"/>
      <c r="B1195" s="23"/>
      <c r="C1195" s="23"/>
      <c r="D1195" s="23"/>
      <c r="E1195" s="23"/>
      <c r="F1195" s="23"/>
      <c r="G1195" s="23"/>
      <c r="H1195" s="23"/>
      <c r="I1195" s="23"/>
      <c r="J1195" s="23"/>
      <c r="K1195" s="23"/>
      <c r="L1195" s="23"/>
      <c r="M1195" s="23"/>
      <c r="N1195" s="23"/>
      <c r="O1195" s="23"/>
      <c r="P1195" s="23"/>
      <c r="Q1195" s="23"/>
      <c r="R1195" s="23"/>
      <c r="S1195" s="23"/>
      <c r="T1195" s="23"/>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c r="AV1195" s="22"/>
      <c r="AW1195" s="22"/>
      <c r="AX1195" s="22"/>
    </row>
    <row r="1196" spans="1:50" x14ac:dyDescent="0.35">
      <c r="A1196" s="23"/>
      <c r="B1196" s="23"/>
      <c r="C1196" s="23"/>
      <c r="D1196" s="23"/>
      <c r="E1196" s="23"/>
      <c r="F1196" s="23"/>
      <c r="G1196" s="23"/>
      <c r="H1196" s="23"/>
      <c r="I1196" s="23"/>
      <c r="J1196" s="23"/>
      <c r="K1196" s="23"/>
      <c r="L1196" s="23"/>
      <c r="M1196" s="23"/>
      <c r="N1196" s="23"/>
      <c r="O1196" s="23"/>
      <c r="P1196" s="23"/>
      <c r="Q1196" s="23"/>
      <c r="R1196" s="23"/>
      <c r="S1196" s="23"/>
      <c r="T1196" s="23"/>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c r="AV1196" s="22"/>
      <c r="AW1196" s="22"/>
      <c r="AX1196" s="22"/>
    </row>
    <row r="1197" spans="1:50" x14ac:dyDescent="0.35">
      <c r="A1197" s="23"/>
      <c r="B1197" s="23"/>
      <c r="C1197" s="23"/>
      <c r="D1197" s="23"/>
      <c r="E1197" s="23"/>
      <c r="F1197" s="23"/>
      <c r="G1197" s="23"/>
      <c r="H1197" s="23"/>
      <c r="I1197" s="23"/>
      <c r="J1197" s="23"/>
      <c r="K1197" s="23"/>
      <c r="L1197" s="23"/>
      <c r="M1197" s="23"/>
      <c r="N1197" s="23"/>
      <c r="O1197" s="23"/>
      <c r="P1197" s="23"/>
      <c r="Q1197" s="23"/>
      <c r="R1197" s="23"/>
      <c r="S1197" s="23"/>
      <c r="T1197" s="23"/>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c r="AV1197" s="22"/>
      <c r="AW1197" s="22"/>
      <c r="AX1197" s="22"/>
    </row>
    <row r="1198" spans="1:50" x14ac:dyDescent="0.35">
      <c r="A1198" s="23"/>
      <c r="B1198" s="23"/>
      <c r="C1198" s="23"/>
      <c r="D1198" s="23"/>
      <c r="E1198" s="23"/>
      <c r="F1198" s="23"/>
      <c r="G1198" s="23"/>
      <c r="H1198" s="23"/>
      <c r="I1198" s="23"/>
      <c r="J1198" s="23"/>
      <c r="K1198" s="23"/>
      <c r="L1198" s="23"/>
      <c r="M1198" s="23"/>
      <c r="N1198" s="23"/>
      <c r="O1198" s="23"/>
      <c r="P1198" s="23"/>
      <c r="Q1198" s="23"/>
      <c r="R1198" s="23"/>
      <c r="S1198" s="23"/>
      <c r="T1198" s="23"/>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c r="AV1198" s="22"/>
      <c r="AW1198" s="22"/>
      <c r="AX1198" s="22"/>
    </row>
    <row r="1199" spans="1:50" x14ac:dyDescent="0.35">
      <c r="A1199" s="23"/>
      <c r="B1199" s="23"/>
      <c r="C1199" s="23"/>
      <c r="D1199" s="23"/>
      <c r="E1199" s="23"/>
      <c r="F1199" s="23"/>
      <c r="G1199" s="23"/>
      <c r="H1199" s="23"/>
      <c r="I1199" s="23"/>
      <c r="J1199" s="23"/>
      <c r="K1199" s="23"/>
      <c r="L1199" s="23"/>
      <c r="M1199" s="23"/>
      <c r="N1199" s="23"/>
      <c r="O1199" s="23"/>
      <c r="P1199" s="23"/>
      <c r="Q1199" s="23"/>
      <c r="R1199" s="23"/>
      <c r="S1199" s="23"/>
      <c r="T1199" s="23"/>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c r="AV1199" s="22"/>
      <c r="AW1199" s="22"/>
      <c r="AX1199" s="22"/>
    </row>
    <row r="1200" spans="1:50" x14ac:dyDescent="0.35">
      <c r="A1200" s="23"/>
      <c r="B1200" s="23"/>
      <c r="C1200" s="23"/>
      <c r="D1200" s="23"/>
      <c r="E1200" s="23"/>
      <c r="F1200" s="23"/>
      <c r="G1200" s="23"/>
      <c r="H1200" s="23"/>
      <c r="I1200" s="23"/>
      <c r="J1200" s="23"/>
      <c r="K1200" s="23"/>
      <c r="L1200" s="23"/>
      <c r="M1200" s="23"/>
      <c r="N1200" s="23"/>
      <c r="O1200" s="23"/>
      <c r="P1200" s="23"/>
      <c r="Q1200" s="23"/>
      <c r="R1200" s="23"/>
      <c r="S1200" s="23"/>
      <c r="T1200" s="23"/>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c r="AV1200" s="22"/>
      <c r="AW1200" s="22"/>
      <c r="AX1200" s="22"/>
    </row>
    <row r="1201" spans="1:50" x14ac:dyDescent="0.35">
      <c r="A1201" s="23"/>
      <c r="B1201" s="23"/>
      <c r="C1201" s="23"/>
      <c r="D1201" s="23"/>
      <c r="E1201" s="23"/>
      <c r="F1201" s="23"/>
      <c r="G1201" s="23"/>
      <c r="H1201" s="23"/>
      <c r="I1201" s="23"/>
      <c r="J1201" s="23"/>
      <c r="K1201" s="23"/>
      <c r="L1201" s="23"/>
      <c r="M1201" s="23"/>
      <c r="N1201" s="23"/>
      <c r="O1201" s="23"/>
      <c r="P1201" s="23"/>
      <c r="Q1201" s="23"/>
      <c r="R1201" s="23"/>
      <c r="S1201" s="23"/>
      <c r="T1201" s="23"/>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c r="AV1201" s="22"/>
      <c r="AW1201" s="22"/>
      <c r="AX1201" s="22"/>
    </row>
    <row r="1202" spans="1:50" x14ac:dyDescent="0.35">
      <c r="A1202" s="23"/>
      <c r="B1202" s="23"/>
      <c r="C1202" s="23"/>
      <c r="D1202" s="23"/>
      <c r="E1202" s="23"/>
      <c r="F1202" s="23"/>
      <c r="G1202" s="23"/>
      <c r="H1202" s="23"/>
      <c r="I1202" s="23"/>
      <c r="J1202" s="23"/>
      <c r="K1202" s="23"/>
      <c r="L1202" s="23"/>
      <c r="M1202" s="23"/>
      <c r="N1202" s="23"/>
      <c r="O1202" s="23"/>
      <c r="P1202" s="23"/>
      <c r="Q1202" s="23"/>
      <c r="R1202" s="23"/>
      <c r="S1202" s="23"/>
      <c r="T1202" s="23"/>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c r="AV1202" s="22"/>
      <c r="AW1202" s="22"/>
      <c r="AX1202" s="22"/>
    </row>
    <row r="1203" spans="1:50" x14ac:dyDescent="0.35">
      <c r="A1203" s="23"/>
      <c r="B1203" s="23"/>
      <c r="C1203" s="23"/>
      <c r="D1203" s="23"/>
      <c r="E1203" s="23"/>
      <c r="F1203" s="23"/>
      <c r="G1203" s="23"/>
      <c r="H1203" s="23"/>
      <c r="I1203" s="23"/>
      <c r="J1203" s="23"/>
      <c r="K1203" s="23"/>
      <c r="L1203" s="23"/>
      <c r="M1203" s="23"/>
      <c r="N1203" s="23"/>
      <c r="O1203" s="23"/>
      <c r="P1203" s="23"/>
      <c r="Q1203" s="23"/>
      <c r="R1203" s="23"/>
      <c r="S1203" s="23"/>
      <c r="T1203" s="23"/>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c r="AV1203" s="22"/>
      <c r="AW1203" s="22"/>
      <c r="AX1203" s="22"/>
    </row>
    <row r="1204" spans="1:50" x14ac:dyDescent="0.35">
      <c r="A1204" s="23"/>
      <c r="B1204" s="23"/>
      <c r="C1204" s="23"/>
      <c r="D1204" s="23"/>
      <c r="E1204" s="23"/>
      <c r="F1204" s="23"/>
      <c r="G1204" s="23"/>
      <c r="H1204" s="23"/>
      <c r="I1204" s="23"/>
      <c r="J1204" s="23"/>
      <c r="K1204" s="23"/>
      <c r="L1204" s="23"/>
      <c r="M1204" s="23"/>
      <c r="N1204" s="23"/>
      <c r="O1204" s="23"/>
      <c r="P1204" s="23"/>
      <c r="Q1204" s="23"/>
      <c r="R1204" s="23"/>
      <c r="S1204" s="23"/>
      <c r="T1204" s="23"/>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c r="AV1204" s="22"/>
      <c r="AW1204" s="22"/>
      <c r="AX1204" s="22"/>
    </row>
    <row r="1205" spans="1:50" x14ac:dyDescent="0.35">
      <c r="A1205" s="23"/>
      <c r="B1205" s="23"/>
      <c r="C1205" s="23"/>
      <c r="D1205" s="23"/>
      <c r="E1205" s="23"/>
      <c r="F1205" s="23"/>
      <c r="G1205" s="23"/>
      <c r="H1205" s="23"/>
      <c r="I1205" s="23"/>
      <c r="J1205" s="23"/>
      <c r="K1205" s="23"/>
      <c r="L1205" s="23"/>
      <c r="M1205" s="23"/>
      <c r="N1205" s="23"/>
      <c r="O1205" s="23"/>
      <c r="P1205" s="23"/>
      <c r="Q1205" s="23"/>
      <c r="R1205" s="23"/>
      <c r="S1205" s="23"/>
      <c r="T1205" s="23"/>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c r="AV1205" s="22"/>
      <c r="AW1205" s="22"/>
      <c r="AX1205" s="22"/>
    </row>
    <row r="1206" spans="1:50" x14ac:dyDescent="0.35">
      <c r="A1206" s="23"/>
      <c r="B1206" s="23"/>
      <c r="C1206" s="23"/>
      <c r="D1206" s="23"/>
      <c r="E1206" s="23"/>
      <c r="F1206" s="23"/>
      <c r="G1206" s="23"/>
      <c r="H1206" s="23"/>
      <c r="I1206" s="23"/>
      <c r="J1206" s="23"/>
      <c r="K1206" s="23"/>
      <c r="L1206" s="23"/>
      <c r="M1206" s="23"/>
      <c r="N1206" s="23"/>
      <c r="O1206" s="23"/>
      <c r="P1206" s="23"/>
      <c r="Q1206" s="23"/>
      <c r="R1206" s="23"/>
      <c r="S1206" s="23"/>
      <c r="T1206" s="23"/>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c r="AV1206" s="22"/>
      <c r="AW1206" s="22"/>
      <c r="AX1206" s="22"/>
    </row>
    <row r="1207" spans="1:50" x14ac:dyDescent="0.35">
      <c r="A1207" s="23"/>
      <c r="B1207" s="23"/>
      <c r="C1207" s="23"/>
      <c r="D1207" s="23"/>
      <c r="E1207" s="23"/>
      <c r="F1207" s="23"/>
      <c r="G1207" s="23"/>
      <c r="H1207" s="23"/>
      <c r="I1207" s="23"/>
      <c r="J1207" s="23"/>
      <c r="K1207" s="23"/>
      <c r="L1207" s="23"/>
      <c r="M1207" s="23"/>
      <c r="N1207" s="23"/>
      <c r="O1207" s="23"/>
      <c r="P1207" s="23"/>
      <c r="Q1207" s="23"/>
      <c r="R1207" s="23"/>
      <c r="S1207" s="23"/>
      <c r="T1207" s="23"/>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c r="AV1207" s="22"/>
      <c r="AW1207" s="22"/>
      <c r="AX1207" s="22"/>
    </row>
    <row r="1208" spans="1:50" x14ac:dyDescent="0.35">
      <c r="A1208" s="23"/>
      <c r="B1208" s="23"/>
      <c r="C1208" s="23"/>
      <c r="D1208" s="23"/>
      <c r="E1208" s="23"/>
      <c r="F1208" s="23"/>
      <c r="G1208" s="23"/>
      <c r="H1208" s="23"/>
      <c r="I1208" s="23"/>
      <c r="J1208" s="23"/>
      <c r="K1208" s="23"/>
      <c r="L1208" s="23"/>
      <c r="M1208" s="23"/>
      <c r="N1208" s="23"/>
      <c r="O1208" s="23"/>
      <c r="P1208" s="23"/>
      <c r="Q1208" s="23"/>
      <c r="R1208" s="23"/>
      <c r="S1208" s="23"/>
      <c r="T1208" s="23"/>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c r="AV1208" s="22"/>
      <c r="AW1208" s="22"/>
      <c r="AX1208" s="22"/>
    </row>
    <row r="1209" spans="1:50" x14ac:dyDescent="0.35">
      <c r="A1209" s="23"/>
      <c r="B1209" s="23"/>
      <c r="C1209" s="23"/>
      <c r="D1209" s="23"/>
      <c r="E1209" s="23"/>
      <c r="F1209" s="23"/>
      <c r="G1209" s="23"/>
      <c r="H1209" s="23"/>
      <c r="I1209" s="23"/>
      <c r="J1209" s="23"/>
      <c r="K1209" s="23"/>
      <c r="L1209" s="23"/>
      <c r="M1209" s="23"/>
      <c r="N1209" s="23"/>
      <c r="O1209" s="23"/>
      <c r="P1209" s="23"/>
      <c r="Q1209" s="23"/>
      <c r="R1209" s="23"/>
      <c r="S1209" s="23"/>
      <c r="T1209" s="23"/>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c r="AV1209" s="22"/>
      <c r="AW1209" s="22"/>
      <c r="AX1209" s="22"/>
    </row>
    <row r="1210" spans="1:50" x14ac:dyDescent="0.35">
      <c r="A1210" s="23"/>
      <c r="B1210" s="23"/>
      <c r="C1210" s="23"/>
      <c r="D1210" s="23"/>
      <c r="E1210" s="23"/>
      <c r="F1210" s="23"/>
      <c r="G1210" s="23"/>
      <c r="H1210" s="23"/>
      <c r="I1210" s="23"/>
      <c r="J1210" s="23"/>
      <c r="K1210" s="23"/>
      <c r="L1210" s="23"/>
      <c r="M1210" s="23"/>
      <c r="N1210" s="23"/>
      <c r="O1210" s="23"/>
      <c r="P1210" s="23"/>
      <c r="Q1210" s="23"/>
      <c r="R1210" s="23"/>
      <c r="S1210" s="23"/>
      <c r="T1210" s="23"/>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c r="AV1210" s="22"/>
      <c r="AW1210" s="22"/>
      <c r="AX1210" s="22"/>
    </row>
    <row r="1211" spans="1:50" x14ac:dyDescent="0.35">
      <c r="A1211" s="23"/>
      <c r="B1211" s="23"/>
      <c r="C1211" s="23"/>
      <c r="D1211" s="23"/>
      <c r="E1211" s="23"/>
      <c r="F1211" s="23"/>
      <c r="G1211" s="23"/>
      <c r="H1211" s="23"/>
      <c r="I1211" s="23"/>
      <c r="J1211" s="23"/>
      <c r="K1211" s="23"/>
      <c r="L1211" s="23"/>
      <c r="M1211" s="23"/>
      <c r="N1211" s="23"/>
      <c r="O1211" s="23"/>
      <c r="P1211" s="23"/>
      <c r="Q1211" s="23"/>
      <c r="R1211" s="23"/>
      <c r="S1211" s="23"/>
      <c r="T1211" s="23"/>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c r="AV1211" s="22"/>
      <c r="AW1211" s="22"/>
      <c r="AX1211" s="22"/>
    </row>
    <row r="1212" spans="1:50" x14ac:dyDescent="0.35">
      <c r="A1212" s="23"/>
      <c r="B1212" s="23"/>
      <c r="C1212" s="23"/>
      <c r="D1212" s="23"/>
      <c r="E1212" s="23"/>
      <c r="F1212" s="23"/>
      <c r="G1212" s="23"/>
      <c r="H1212" s="23"/>
      <c r="I1212" s="23"/>
      <c r="J1212" s="23"/>
      <c r="K1212" s="23"/>
      <c r="L1212" s="23"/>
      <c r="M1212" s="23"/>
      <c r="N1212" s="23"/>
      <c r="O1212" s="23"/>
      <c r="P1212" s="23"/>
      <c r="Q1212" s="23"/>
      <c r="R1212" s="23"/>
      <c r="S1212" s="23"/>
      <c r="T1212" s="23"/>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c r="AV1212" s="22"/>
      <c r="AW1212" s="22"/>
      <c r="AX1212" s="22"/>
    </row>
    <row r="1213" spans="1:50" x14ac:dyDescent="0.35">
      <c r="A1213" s="23"/>
      <c r="B1213" s="23"/>
      <c r="C1213" s="23"/>
      <c r="D1213" s="23"/>
      <c r="E1213" s="23"/>
      <c r="F1213" s="23"/>
      <c r="G1213" s="23"/>
      <c r="H1213" s="23"/>
      <c r="I1213" s="23"/>
      <c r="J1213" s="23"/>
      <c r="K1213" s="23"/>
      <c r="L1213" s="23"/>
      <c r="M1213" s="23"/>
      <c r="N1213" s="23"/>
      <c r="O1213" s="23"/>
      <c r="P1213" s="23"/>
      <c r="Q1213" s="23"/>
      <c r="R1213" s="23"/>
      <c r="S1213" s="23"/>
      <c r="T1213" s="23"/>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c r="AV1213" s="22"/>
      <c r="AW1213" s="22"/>
      <c r="AX1213" s="22"/>
    </row>
    <row r="1214" spans="1:50" x14ac:dyDescent="0.35">
      <c r="A1214" s="23"/>
      <c r="B1214" s="23"/>
      <c r="C1214" s="23"/>
      <c r="D1214" s="23"/>
      <c r="E1214" s="23"/>
      <c r="F1214" s="23"/>
      <c r="G1214" s="23"/>
      <c r="H1214" s="23"/>
      <c r="I1214" s="23"/>
      <c r="J1214" s="23"/>
      <c r="K1214" s="23"/>
      <c r="L1214" s="23"/>
      <c r="M1214" s="23"/>
      <c r="N1214" s="23"/>
      <c r="O1214" s="23"/>
      <c r="P1214" s="23"/>
      <c r="Q1214" s="23"/>
      <c r="R1214" s="23"/>
      <c r="S1214" s="23"/>
      <c r="T1214" s="23"/>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c r="AV1214" s="22"/>
      <c r="AW1214" s="22"/>
      <c r="AX1214" s="22"/>
    </row>
    <row r="1215" spans="1:50" x14ac:dyDescent="0.35">
      <c r="A1215" s="23"/>
      <c r="B1215" s="23"/>
      <c r="C1215" s="23"/>
      <c r="D1215" s="23"/>
      <c r="E1215" s="23"/>
      <c r="F1215" s="23"/>
      <c r="G1215" s="23"/>
      <c r="H1215" s="23"/>
      <c r="I1215" s="23"/>
      <c r="J1215" s="23"/>
      <c r="K1215" s="23"/>
      <c r="L1215" s="23"/>
      <c r="M1215" s="23"/>
      <c r="N1215" s="23"/>
      <c r="O1215" s="23"/>
      <c r="P1215" s="23"/>
      <c r="Q1215" s="23"/>
      <c r="R1215" s="23"/>
      <c r="S1215" s="23"/>
      <c r="T1215" s="23"/>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c r="AV1215" s="22"/>
      <c r="AW1215" s="22"/>
      <c r="AX1215" s="22"/>
    </row>
    <row r="1216" spans="1:50" x14ac:dyDescent="0.35">
      <c r="A1216" s="23"/>
      <c r="B1216" s="23"/>
      <c r="C1216" s="23"/>
      <c r="D1216" s="23"/>
      <c r="E1216" s="23"/>
      <c r="F1216" s="23"/>
      <c r="G1216" s="23"/>
      <c r="H1216" s="23"/>
      <c r="I1216" s="23"/>
      <c r="J1216" s="23"/>
      <c r="K1216" s="23"/>
      <c r="L1216" s="23"/>
      <c r="M1216" s="23"/>
      <c r="N1216" s="23"/>
      <c r="O1216" s="23"/>
      <c r="P1216" s="23"/>
      <c r="Q1216" s="23"/>
      <c r="R1216" s="23"/>
      <c r="S1216" s="23"/>
      <c r="T1216" s="23"/>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c r="AV1216" s="22"/>
      <c r="AW1216" s="22"/>
      <c r="AX1216" s="22"/>
    </row>
    <row r="1217" spans="1:50" x14ac:dyDescent="0.35">
      <c r="A1217" s="23"/>
      <c r="B1217" s="23"/>
      <c r="C1217" s="23"/>
      <c r="D1217" s="23"/>
      <c r="E1217" s="23"/>
      <c r="F1217" s="23"/>
      <c r="G1217" s="23"/>
      <c r="H1217" s="23"/>
      <c r="I1217" s="23"/>
      <c r="J1217" s="23"/>
      <c r="K1217" s="23"/>
      <c r="L1217" s="23"/>
      <c r="M1217" s="23"/>
      <c r="N1217" s="23"/>
      <c r="O1217" s="23"/>
      <c r="P1217" s="23"/>
      <c r="Q1217" s="23"/>
      <c r="R1217" s="23"/>
      <c r="S1217" s="23"/>
      <c r="T1217" s="23"/>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c r="AV1217" s="22"/>
      <c r="AW1217" s="22"/>
      <c r="AX1217" s="22"/>
    </row>
    <row r="1218" spans="1:50" x14ac:dyDescent="0.35">
      <c r="A1218" s="23"/>
      <c r="B1218" s="23"/>
      <c r="C1218" s="23"/>
      <c r="D1218" s="23"/>
      <c r="E1218" s="23"/>
      <c r="F1218" s="23"/>
      <c r="G1218" s="23"/>
      <c r="H1218" s="23"/>
      <c r="I1218" s="23"/>
      <c r="J1218" s="23"/>
      <c r="K1218" s="23"/>
      <c r="L1218" s="23"/>
      <c r="M1218" s="23"/>
      <c r="N1218" s="23"/>
      <c r="O1218" s="23"/>
      <c r="P1218" s="23"/>
      <c r="Q1218" s="23"/>
      <c r="R1218" s="23"/>
      <c r="S1218" s="23"/>
      <c r="T1218" s="23"/>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c r="AV1218" s="22"/>
      <c r="AW1218" s="22"/>
      <c r="AX1218" s="22"/>
    </row>
    <row r="1219" spans="1:50" x14ac:dyDescent="0.35">
      <c r="A1219" s="23"/>
      <c r="B1219" s="23"/>
      <c r="C1219" s="23"/>
      <c r="D1219" s="23"/>
      <c r="E1219" s="23"/>
      <c r="F1219" s="23"/>
      <c r="G1219" s="23"/>
      <c r="H1219" s="23"/>
      <c r="I1219" s="23"/>
      <c r="J1219" s="23"/>
      <c r="K1219" s="23"/>
      <c r="L1219" s="23"/>
      <c r="M1219" s="23"/>
      <c r="N1219" s="23"/>
      <c r="O1219" s="23"/>
      <c r="P1219" s="23"/>
      <c r="Q1219" s="23"/>
      <c r="R1219" s="23"/>
      <c r="S1219" s="23"/>
      <c r="T1219" s="23"/>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c r="AV1219" s="22"/>
      <c r="AW1219" s="22"/>
      <c r="AX1219" s="22"/>
    </row>
    <row r="1220" spans="1:50" x14ac:dyDescent="0.35">
      <c r="A1220" s="23"/>
      <c r="B1220" s="23"/>
      <c r="C1220" s="23"/>
      <c r="D1220" s="23"/>
      <c r="E1220" s="23"/>
      <c r="F1220" s="23"/>
      <c r="G1220" s="23"/>
      <c r="H1220" s="23"/>
      <c r="I1220" s="23"/>
      <c r="J1220" s="23"/>
      <c r="K1220" s="23"/>
      <c r="L1220" s="23"/>
      <c r="M1220" s="23"/>
      <c r="N1220" s="23"/>
      <c r="O1220" s="23"/>
      <c r="P1220" s="23"/>
      <c r="Q1220" s="23"/>
      <c r="R1220" s="23"/>
      <c r="S1220" s="23"/>
      <c r="T1220" s="23"/>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c r="AV1220" s="22"/>
      <c r="AW1220" s="22"/>
      <c r="AX1220" s="22"/>
    </row>
    <row r="1221" spans="1:50" x14ac:dyDescent="0.35">
      <c r="A1221" s="23"/>
      <c r="B1221" s="23"/>
      <c r="C1221" s="23"/>
      <c r="D1221" s="23"/>
      <c r="E1221" s="23"/>
      <c r="F1221" s="23"/>
      <c r="G1221" s="23"/>
      <c r="H1221" s="23"/>
      <c r="I1221" s="23"/>
      <c r="J1221" s="23"/>
      <c r="K1221" s="23"/>
      <c r="L1221" s="23"/>
      <c r="M1221" s="23"/>
      <c r="N1221" s="23"/>
      <c r="O1221" s="23"/>
      <c r="P1221" s="23"/>
      <c r="Q1221" s="23"/>
      <c r="R1221" s="23"/>
      <c r="S1221" s="23"/>
      <c r="T1221" s="23"/>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c r="AV1221" s="22"/>
      <c r="AW1221" s="22"/>
      <c r="AX1221" s="22"/>
    </row>
    <row r="1222" spans="1:50" x14ac:dyDescent="0.35">
      <c r="A1222" s="23"/>
      <c r="B1222" s="23"/>
      <c r="C1222" s="23"/>
      <c r="D1222" s="23"/>
      <c r="E1222" s="23"/>
      <c r="F1222" s="23"/>
      <c r="G1222" s="23"/>
      <c r="H1222" s="23"/>
      <c r="I1222" s="23"/>
      <c r="J1222" s="23"/>
      <c r="K1222" s="23"/>
      <c r="L1222" s="23"/>
      <c r="M1222" s="23"/>
      <c r="N1222" s="23"/>
      <c r="O1222" s="23"/>
      <c r="P1222" s="23"/>
      <c r="Q1222" s="23"/>
      <c r="R1222" s="23"/>
      <c r="S1222" s="23"/>
      <c r="T1222" s="23"/>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c r="AV1222" s="22"/>
      <c r="AW1222" s="22"/>
      <c r="AX1222" s="22"/>
    </row>
    <row r="1223" spans="1:50" x14ac:dyDescent="0.35">
      <c r="A1223" s="23"/>
      <c r="B1223" s="23"/>
      <c r="C1223" s="23"/>
      <c r="D1223" s="23"/>
      <c r="E1223" s="23"/>
      <c r="F1223" s="23"/>
      <c r="G1223" s="23"/>
      <c r="H1223" s="23"/>
      <c r="I1223" s="23"/>
      <c r="J1223" s="23"/>
      <c r="K1223" s="23"/>
      <c r="L1223" s="23"/>
      <c r="M1223" s="23"/>
      <c r="N1223" s="23"/>
      <c r="O1223" s="23"/>
      <c r="P1223" s="23"/>
      <c r="Q1223" s="23"/>
      <c r="R1223" s="23"/>
      <c r="S1223" s="23"/>
      <c r="T1223" s="23"/>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c r="AV1223" s="22"/>
      <c r="AW1223" s="22"/>
      <c r="AX1223" s="22"/>
    </row>
    <row r="1224" spans="1:50" x14ac:dyDescent="0.35">
      <c r="A1224" s="23"/>
      <c r="B1224" s="23"/>
      <c r="C1224" s="23"/>
      <c r="D1224" s="23"/>
      <c r="E1224" s="23"/>
      <c r="F1224" s="23"/>
      <c r="G1224" s="23"/>
      <c r="H1224" s="23"/>
      <c r="I1224" s="23"/>
      <c r="J1224" s="23"/>
      <c r="K1224" s="23"/>
      <c r="L1224" s="23"/>
      <c r="M1224" s="23"/>
      <c r="N1224" s="23"/>
      <c r="O1224" s="23"/>
      <c r="P1224" s="23"/>
      <c r="Q1224" s="23"/>
      <c r="R1224" s="23"/>
      <c r="S1224" s="23"/>
      <c r="T1224" s="23"/>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c r="AV1224" s="22"/>
      <c r="AW1224" s="22"/>
      <c r="AX1224" s="22"/>
    </row>
    <row r="1225" spans="1:50" x14ac:dyDescent="0.35">
      <c r="A1225" s="23"/>
      <c r="B1225" s="23"/>
      <c r="C1225" s="23"/>
      <c r="D1225" s="23"/>
      <c r="E1225" s="23"/>
      <c r="F1225" s="23"/>
      <c r="G1225" s="23"/>
      <c r="H1225" s="23"/>
      <c r="I1225" s="23"/>
      <c r="J1225" s="23"/>
      <c r="K1225" s="23"/>
      <c r="L1225" s="23"/>
      <c r="M1225" s="23"/>
      <c r="N1225" s="23"/>
      <c r="O1225" s="23"/>
      <c r="P1225" s="23"/>
      <c r="Q1225" s="23"/>
      <c r="R1225" s="23"/>
      <c r="S1225" s="23"/>
      <c r="T1225" s="23"/>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c r="AV1225" s="22"/>
      <c r="AW1225" s="22"/>
      <c r="AX1225" s="22"/>
    </row>
    <row r="1226" spans="1:50" x14ac:dyDescent="0.35">
      <c r="A1226" s="23"/>
      <c r="B1226" s="23"/>
      <c r="C1226" s="23"/>
      <c r="D1226" s="23"/>
      <c r="E1226" s="23"/>
      <c r="F1226" s="23"/>
      <c r="G1226" s="23"/>
      <c r="H1226" s="23"/>
      <c r="I1226" s="23"/>
      <c r="J1226" s="23"/>
      <c r="K1226" s="23"/>
      <c r="L1226" s="23"/>
      <c r="M1226" s="23"/>
      <c r="N1226" s="23"/>
      <c r="O1226" s="23"/>
      <c r="P1226" s="23"/>
      <c r="Q1226" s="23"/>
      <c r="R1226" s="23"/>
      <c r="S1226" s="23"/>
      <c r="T1226" s="23"/>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c r="AV1226" s="22"/>
      <c r="AW1226" s="22"/>
      <c r="AX1226" s="22"/>
    </row>
    <row r="1227" spans="1:50" x14ac:dyDescent="0.35">
      <c r="A1227" s="23"/>
      <c r="B1227" s="23"/>
      <c r="C1227" s="23"/>
      <c r="D1227" s="23"/>
      <c r="E1227" s="23"/>
      <c r="F1227" s="23"/>
      <c r="G1227" s="23"/>
      <c r="H1227" s="23"/>
      <c r="I1227" s="23"/>
      <c r="J1227" s="23"/>
      <c r="K1227" s="23"/>
      <c r="L1227" s="23"/>
      <c r="M1227" s="23"/>
      <c r="N1227" s="23"/>
      <c r="O1227" s="23"/>
      <c r="P1227" s="23"/>
      <c r="Q1227" s="23"/>
      <c r="R1227" s="23"/>
      <c r="S1227" s="23"/>
      <c r="T1227" s="23"/>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c r="AV1227" s="22"/>
      <c r="AW1227" s="22"/>
      <c r="AX1227" s="22"/>
    </row>
    <row r="1228" spans="1:50" x14ac:dyDescent="0.35">
      <c r="A1228" s="23"/>
      <c r="B1228" s="23"/>
      <c r="C1228" s="23"/>
      <c r="D1228" s="23"/>
      <c r="E1228" s="23"/>
      <c r="F1228" s="23"/>
      <c r="G1228" s="23"/>
      <c r="H1228" s="23"/>
      <c r="I1228" s="23"/>
      <c r="J1228" s="23"/>
      <c r="K1228" s="23"/>
      <c r="L1228" s="23"/>
      <c r="M1228" s="23"/>
      <c r="N1228" s="23"/>
      <c r="O1228" s="23"/>
      <c r="P1228" s="23"/>
      <c r="Q1228" s="23"/>
      <c r="R1228" s="23"/>
      <c r="S1228" s="23"/>
      <c r="T1228" s="23"/>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c r="AV1228" s="22"/>
      <c r="AW1228" s="22"/>
      <c r="AX1228" s="22"/>
    </row>
    <row r="1229" spans="1:50" x14ac:dyDescent="0.35">
      <c r="A1229" s="23"/>
      <c r="B1229" s="23"/>
      <c r="C1229" s="23"/>
      <c r="D1229" s="23"/>
      <c r="E1229" s="23"/>
      <c r="F1229" s="23"/>
      <c r="G1229" s="23"/>
      <c r="H1229" s="23"/>
      <c r="I1229" s="23"/>
      <c r="J1229" s="23"/>
      <c r="K1229" s="23"/>
      <c r="L1229" s="23"/>
      <c r="M1229" s="23"/>
      <c r="N1229" s="23"/>
      <c r="O1229" s="23"/>
      <c r="P1229" s="23"/>
      <c r="Q1229" s="23"/>
      <c r="R1229" s="23"/>
      <c r="S1229" s="23"/>
      <c r="T1229" s="23"/>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c r="AV1229" s="22"/>
      <c r="AW1229" s="22"/>
      <c r="AX1229" s="22"/>
    </row>
    <row r="1230" spans="1:50" x14ac:dyDescent="0.35">
      <c r="A1230" s="23"/>
      <c r="B1230" s="23"/>
      <c r="C1230" s="23"/>
      <c r="D1230" s="23"/>
      <c r="E1230" s="23"/>
      <c r="F1230" s="23"/>
      <c r="G1230" s="23"/>
      <c r="H1230" s="23"/>
      <c r="I1230" s="23"/>
      <c r="J1230" s="23"/>
      <c r="K1230" s="23"/>
      <c r="L1230" s="23"/>
      <c r="M1230" s="23"/>
      <c r="N1230" s="23"/>
      <c r="O1230" s="23"/>
      <c r="P1230" s="23"/>
      <c r="Q1230" s="23"/>
      <c r="R1230" s="23"/>
      <c r="S1230" s="23"/>
      <c r="T1230" s="23"/>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c r="AV1230" s="22"/>
      <c r="AW1230" s="22"/>
      <c r="AX1230" s="22"/>
    </row>
    <row r="1231" spans="1:50" x14ac:dyDescent="0.35">
      <c r="A1231" s="23"/>
      <c r="B1231" s="23"/>
      <c r="C1231" s="23"/>
      <c r="D1231" s="23"/>
      <c r="E1231" s="23"/>
      <c r="F1231" s="23"/>
      <c r="G1231" s="23"/>
      <c r="H1231" s="23"/>
      <c r="I1231" s="23"/>
      <c r="J1231" s="23"/>
      <c r="K1231" s="23"/>
      <c r="L1231" s="23"/>
      <c r="M1231" s="23"/>
      <c r="N1231" s="23"/>
      <c r="O1231" s="23"/>
      <c r="P1231" s="23"/>
      <c r="Q1231" s="23"/>
      <c r="R1231" s="23"/>
      <c r="S1231" s="23"/>
      <c r="T1231" s="23"/>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c r="AV1231" s="22"/>
      <c r="AW1231" s="22"/>
      <c r="AX1231" s="22"/>
    </row>
    <row r="1232" spans="1:50" x14ac:dyDescent="0.35">
      <c r="A1232" s="23"/>
      <c r="B1232" s="23"/>
      <c r="C1232" s="23"/>
      <c r="D1232" s="23"/>
      <c r="E1232" s="23"/>
      <c r="F1232" s="23"/>
      <c r="G1232" s="23"/>
      <c r="H1232" s="23"/>
      <c r="I1232" s="23"/>
      <c r="J1232" s="23"/>
      <c r="K1232" s="23"/>
      <c r="L1232" s="23"/>
      <c r="M1232" s="23"/>
      <c r="N1232" s="23"/>
      <c r="O1232" s="23"/>
      <c r="P1232" s="23"/>
      <c r="Q1232" s="23"/>
      <c r="R1232" s="23"/>
      <c r="S1232" s="23"/>
      <c r="T1232" s="23"/>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c r="AV1232" s="22"/>
      <c r="AW1232" s="22"/>
      <c r="AX1232" s="22"/>
    </row>
    <row r="1233" spans="1:50" x14ac:dyDescent="0.35">
      <c r="A1233" s="23"/>
      <c r="B1233" s="23"/>
      <c r="C1233" s="23"/>
      <c r="D1233" s="23"/>
      <c r="E1233" s="23"/>
      <c r="F1233" s="23"/>
      <c r="G1233" s="23"/>
      <c r="H1233" s="23"/>
      <c r="I1233" s="23"/>
      <c r="J1233" s="23"/>
      <c r="K1233" s="23"/>
      <c r="L1233" s="23"/>
      <c r="M1233" s="23"/>
      <c r="N1233" s="23"/>
      <c r="O1233" s="23"/>
      <c r="P1233" s="23"/>
      <c r="Q1233" s="23"/>
      <c r="R1233" s="23"/>
      <c r="S1233" s="23"/>
      <c r="T1233" s="23"/>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c r="AV1233" s="22"/>
      <c r="AW1233" s="22"/>
      <c r="AX1233" s="22"/>
    </row>
    <row r="1234" spans="1:50" x14ac:dyDescent="0.35">
      <c r="A1234" s="23"/>
      <c r="B1234" s="23"/>
      <c r="C1234" s="23"/>
      <c r="D1234" s="23"/>
      <c r="E1234" s="23"/>
      <c r="F1234" s="23"/>
      <c r="G1234" s="23"/>
      <c r="H1234" s="23"/>
      <c r="I1234" s="23"/>
      <c r="J1234" s="23"/>
      <c r="K1234" s="23"/>
      <c r="L1234" s="23"/>
      <c r="M1234" s="23"/>
      <c r="N1234" s="23"/>
      <c r="O1234" s="23"/>
      <c r="P1234" s="23"/>
      <c r="Q1234" s="23"/>
      <c r="R1234" s="23"/>
      <c r="S1234" s="23"/>
      <c r="T1234" s="23"/>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c r="AV1234" s="22"/>
      <c r="AW1234" s="22"/>
      <c r="AX1234" s="22"/>
    </row>
    <row r="1235" spans="1:50" x14ac:dyDescent="0.35">
      <c r="A1235" s="23"/>
      <c r="B1235" s="23"/>
      <c r="C1235" s="23"/>
      <c r="D1235" s="23"/>
      <c r="E1235" s="23"/>
      <c r="F1235" s="23"/>
      <c r="G1235" s="23"/>
      <c r="H1235" s="23"/>
      <c r="I1235" s="23"/>
      <c r="J1235" s="23"/>
      <c r="K1235" s="23"/>
      <c r="L1235" s="23"/>
      <c r="M1235" s="23"/>
      <c r="N1235" s="23"/>
      <c r="O1235" s="23"/>
      <c r="P1235" s="23"/>
      <c r="Q1235" s="23"/>
      <c r="R1235" s="23"/>
      <c r="S1235" s="23"/>
      <c r="T1235" s="23"/>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c r="AV1235" s="22"/>
      <c r="AW1235" s="22"/>
      <c r="AX1235" s="22"/>
    </row>
    <row r="1236" spans="1:50" x14ac:dyDescent="0.35">
      <c r="A1236" s="23"/>
      <c r="B1236" s="23"/>
      <c r="C1236" s="23"/>
      <c r="D1236" s="23"/>
      <c r="E1236" s="23"/>
      <c r="F1236" s="23"/>
      <c r="G1236" s="23"/>
      <c r="H1236" s="23"/>
      <c r="I1236" s="23"/>
      <c r="J1236" s="23"/>
      <c r="K1236" s="23"/>
      <c r="L1236" s="23"/>
      <c r="M1236" s="23"/>
      <c r="N1236" s="23"/>
      <c r="O1236" s="23"/>
      <c r="P1236" s="23"/>
      <c r="Q1236" s="23"/>
      <c r="R1236" s="23"/>
      <c r="S1236" s="23"/>
      <c r="T1236" s="23"/>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c r="AV1236" s="22"/>
      <c r="AW1236" s="22"/>
      <c r="AX1236" s="22"/>
    </row>
    <row r="1237" spans="1:50" x14ac:dyDescent="0.35">
      <c r="A1237" s="23"/>
      <c r="B1237" s="23"/>
      <c r="C1237" s="23"/>
      <c r="D1237" s="23"/>
      <c r="E1237" s="23"/>
      <c r="F1237" s="23"/>
      <c r="G1237" s="23"/>
      <c r="H1237" s="23"/>
      <c r="I1237" s="23"/>
      <c r="J1237" s="23"/>
      <c r="K1237" s="23"/>
      <c r="L1237" s="23"/>
      <c r="M1237" s="23"/>
      <c r="N1237" s="23"/>
      <c r="O1237" s="23"/>
      <c r="P1237" s="23"/>
      <c r="Q1237" s="23"/>
      <c r="R1237" s="23"/>
      <c r="S1237" s="23"/>
      <c r="T1237" s="23"/>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c r="AV1237" s="22"/>
      <c r="AW1237" s="22"/>
      <c r="AX1237" s="22"/>
    </row>
    <row r="1238" spans="1:50" x14ac:dyDescent="0.35">
      <c r="A1238" s="23"/>
      <c r="B1238" s="23"/>
      <c r="C1238" s="23"/>
      <c r="D1238" s="23"/>
      <c r="E1238" s="23"/>
      <c r="F1238" s="23"/>
      <c r="G1238" s="23"/>
      <c r="H1238" s="23"/>
      <c r="I1238" s="23"/>
      <c r="J1238" s="23"/>
      <c r="K1238" s="23"/>
      <c r="L1238" s="23"/>
      <c r="M1238" s="23"/>
      <c r="N1238" s="23"/>
      <c r="O1238" s="23"/>
      <c r="P1238" s="23"/>
      <c r="Q1238" s="23"/>
      <c r="R1238" s="23"/>
      <c r="S1238" s="23"/>
      <c r="T1238" s="23"/>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c r="AV1238" s="22"/>
      <c r="AW1238" s="22"/>
      <c r="AX1238" s="22"/>
    </row>
    <row r="1239" spans="1:50" x14ac:dyDescent="0.35">
      <c r="A1239" s="23"/>
      <c r="B1239" s="23"/>
      <c r="C1239" s="23"/>
      <c r="D1239" s="23"/>
      <c r="E1239" s="23"/>
      <c r="F1239" s="23"/>
      <c r="G1239" s="23"/>
      <c r="H1239" s="23"/>
      <c r="I1239" s="23"/>
      <c r="J1239" s="23"/>
      <c r="K1239" s="23"/>
      <c r="L1239" s="23"/>
      <c r="M1239" s="23"/>
      <c r="N1239" s="23"/>
      <c r="O1239" s="23"/>
      <c r="P1239" s="23"/>
      <c r="Q1239" s="23"/>
      <c r="R1239" s="23"/>
      <c r="S1239" s="23"/>
      <c r="T1239" s="23"/>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c r="AV1239" s="22"/>
      <c r="AW1239" s="22"/>
      <c r="AX1239" s="22"/>
    </row>
    <row r="1240" spans="1:50" x14ac:dyDescent="0.35">
      <c r="A1240" s="23"/>
      <c r="B1240" s="23"/>
      <c r="C1240" s="23"/>
      <c r="D1240" s="23"/>
      <c r="E1240" s="23"/>
      <c r="F1240" s="23"/>
      <c r="G1240" s="23"/>
      <c r="H1240" s="23"/>
      <c r="I1240" s="23"/>
      <c r="J1240" s="23"/>
      <c r="K1240" s="23"/>
      <c r="L1240" s="23"/>
      <c r="M1240" s="23"/>
      <c r="N1240" s="23"/>
      <c r="O1240" s="23"/>
      <c r="P1240" s="23"/>
      <c r="Q1240" s="23"/>
      <c r="R1240" s="23"/>
      <c r="S1240" s="23"/>
      <c r="T1240" s="23"/>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c r="AV1240" s="22"/>
      <c r="AW1240" s="22"/>
      <c r="AX1240" s="22"/>
    </row>
    <row r="1241" spans="1:50" x14ac:dyDescent="0.35">
      <c r="A1241" s="23"/>
      <c r="B1241" s="23"/>
      <c r="C1241" s="23"/>
      <c r="D1241" s="23"/>
      <c r="E1241" s="23"/>
      <c r="F1241" s="23"/>
      <c r="G1241" s="23"/>
      <c r="H1241" s="23"/>
      <c r="I1241" s="23"/>
      <c r="J1241" s="23"/>
      <c r="K1241" s="23"/>
      <c r="L1241" s="23"/>
      <c r="M1241" s="23"/>
      <c r="N1241" s="23"/>
      <c r="O1241" s="23"/>
      <c r="P1241" s="23"/>
      <c r="Q1241" s="23"/>
      <c r="R1241" s="23"/>
      <c r="S1241" s="23"/>
      <c r="T1241" s="23"/>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c r="AV1241" s="22"/>
      <c r="AW1241" s="22"/>
      <c r="AX1241" s="22"/>
    </row>
    <row r="1242" spans="1:50" x14ac:dyDescent="0.35">
      <c r="A1242" s="23"/>
      <c r="B1242" s="23"/>
      <c r="C1242" s="23"/>
      <c r="D1242" s="23"/>
      <c r="E1242" s="23"/>
      <c r="F1242" s="23"/>
      <c r="G1242" s="23"/>
      <c r="H1242" s="23"/>
      <c r="I1242" s="23"/>
      <c r="J1242" s="23"/>
      <c r="K1242" s="23"/>
      <c r="L1242" s="23"/>
      <c r="M1242" s="23"/>
      <c r="N1242" s="23"/>
      <c r="O1242" s="23"/>
      <c r="P1242" s="23"/>
      <c r="Q1242" s="23"/>
      <c r="R1242" s="23"/>
      <c r="S1242" s="23"/>
      <c r="T1242" s="23"/>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c r="AV1242" s="22"/>
      <c r="AW1242" s="22"/>
      <c r="AX1242" s="22"/>
    </row>
    <row r="1243" spans="1:50" x14ac:dyDescent="0.35">
      <c r="A1243" s="23"/>
      <c r="B1243" s="23"/>
      <c r="C1243" s="23"/>
      <c r="D1243" s="23"/>
      <c r="E1243" s="23"/>
      <c r="F1243" s="23"/>
      <c r="G1243" s="23"/>
      <c r="H1243" s="23"/>
      <c r="I1243" s="23"/>
      <c r="J1243" s="23"/>
      <c r="K1243" s="23"/>
      <c r="L1243" s="23"/>
      <c r="M1243" s="23"/>
      <c r="N1243" s="23"/>
      <c r="O1243" s="23"/>
      <c r="P1243" s="23"/>
      <c r="Q1243" s="23"/>
      <c r="R1243" s="23"/>
      <c r="S1243" s="23"/>
      <c r="T1243" s="23"/>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c r="AV1243" s="22"/>
      <c r="AW1243" s="22"/>
      <c r="AX1243" s="22"/>
    </row>
    <row r="1244" spans="1:50" x14ac:dyDescent="0.35">
      <c r="A1244" s="23"/>
      <c r="B1244" s="23"/>
      <c r="C1244" s="23"/>
      <c r="D1244" s="23"/>
      <c r="E1244" s="23"/>
      <c r="F1244" s="23"/>
      <c r="G1244" s="23"/>
      <c r="H1244" s="23"/>
      <c r="I1244" s="23"/>
      <c r="J1244" s="23"/>
      <c r="K1244" s="23"/>
      <c r="L1244" s="23"/>
      <c r="M1244" s="23"/>
      <c r="N1244" s="23"/>
      <c r="O1244" s="23"/>
      <c r="P1244" s="23"/>
      <c r="Q1244" s="23"/>
      <c r="R1244" s="23"/>
      <c r="S1244" s="23"/>
      <c r="T1244" s="23"/>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c r="AV1244" s="22"/>
      <c r="AW1244" s="22"/>
      <c r="AX1244" s="22"/>
    </row>
    <row r="1245" spans="1:50" x14ac:dyDescent="0.35">
      <c r="A1245" s="23"/>
      <c r="B1245" s="23"/>
      <c r="C1245" s="23"/>
      <c r="D1245" s="23"/>
      <c r="E1245" s="23"/>
      <c r="F1245" s="23"/>
      <c r="G1245" s="23"/>
      <c r="H1245" s="23"/>
      <c r="I1245" s="23"/>
      <c r="J1245" s="23"/>
      <c r="K1245" s="23"/>
      <c r="L1245" s="23"/>
      <c r="M1245" s="23"/>
      <c r="N1245" s="23"/>
      <c r="O1245" s="23"/>
      <c r="P1245" s="23"/>
      <c r="Q1245" s="23"/>
      <c r="R1245" s="23"/>
      <c r="S1245" s="23"/>
      <c r="T1245" s="23"/>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c r="AV1245" s="22"/>
      <c r="AW1245" s="22"/>
      <c r="AX1245" s="22"/>
    </row>
    <row r="1246" spans="1:50" x14ac:dyDescent="0.35">
      <c r="A1246" s="23"/>
      <c r="B1246" s="23"/>
      <c r="C1246" s="23"/>
      <c r="D1246" s="23"/>
      <c r="E1246" s="23"/>
      <c r="F1246" s="23"/>
      <c r="G1246" s="23"/>
      <c r="H1246" s="23"/>
      <c r="I1246" s="23"/>
      <c r="J1246" s="23"/>
      <c r="K1246" s="23"/>
      <c r="L1246" s="23"/>
      <c r="M1246" s="23"/>
      <c r="N1246" s="23"/>
      <c r="O1246" s="23"/>
      <c r="P1246" s="23"/>
      <c r="Q1246" s="23"/>
      <c r="R1246" s="23"/>
      <c r="S1246" s="23"/>
      <c r="T1246" s="23"/>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c r="AV1246" s="22"/>
      <c r="AW1246" s="22"/>
      <c r="AX1246" s="22"/>
    </row>
    <row r="1247" spans="1:50" x14ac:dyDescent="0.35">
      <c r="A1247" s="23"/>
      <c r="B1247" s="23"/>
      <c r="C1247" s="23"/>
      <c r="D1247" s="23"/>
      <c r="E1247" s="23"/>
      <c r="F1247" s="23"/>
      <c r="G1247" s="23"/>
      <c r="H1247" s="23"/>
      <c r="I1247" s="23"/>
      <c r="J1247" s="23"/>
      <c r="K1247" s="23"/>
      <c r="L1247" s="23"/>
      <c r="M1247" s="23"/>
      <c r="N1247" s="23"/>
      <c r="O1247" s="23"/>
      <c r="P1247" s="23"/>
      <c r="Q1247" s="23"/>
      <c r="R1247" s="23"/>
      <c r="S1247" s="23"/>
      <c r="T1247" s="23"/>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c r="AV1247" s="22"/>
      <c r="AW1247" s="22"/>
      <c r="AX1247" s="22"/>
    </row>
    <row r="1248" spans="1:50" x14ac:dyDescent="0.35">
      <c r="A1248" s="23"/>
      <c r="B1248" s="23"/>
      <c r="C1248" s="23"/>
      <c r="D1248" s="23"/>
      <c r="E1248" s="23"/>
      <c r="F1248" s="23"/>
      <c r="G1248" s="23"/>
      <c r="H1248" s="23"/>
      <c r="I1248" s="23"/>
      <c r="J1248" s="23"/>
      <c r="K1248" s="23"/>
      <c r="L1248" s="23"/>
      <c r="M1248" s="23"/>
      <c r="N1248" s="23"/>
      <c r="O1248" s="23"/>
      <c r="P1248" s="23"/>
      <c r="Q1248" s="23"/>
      <c r="R1248" s="23"/>
      <c r="S1248" s="23"/>
      <c r="T1248" s="23"/>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c r="AV1248" s="22"/>
      <c r="AW1248" s="22"/>
      <c r="AX1248" s="22"/>
    </row>
    <row r="1249" spans="1:50" x14ac:dyDescent="0.35">
      <c r="A1249" s="23"/>
      <c r="B1249" s="23"/>
      <c r="C1249" s="23"/>
      <c r="D1249" s="23"/>
      <c r="E1249" s="23"/>
      <c r="F1249" s="23"/>
      <c r="G1249" s="23"/>
      <c r="H1249" s="23"/>
      <c r="I1249" s="23"/>
      <c r="J1249" s="23"/>
      <c r="K1249" s="23"/>
      <c r="L1249" s="23"/>
      <c r="M1249" s="23"/>
      <c r="N1249" s="23"/>
      <c r="O1249" s="23"/>
      <c r="P1249" s="23"/>
      <c r="Q1249" s="23"/>
      <c r="R1249" s="23"/>
      <c r="S1249" s="23"/>
      <c r="T1249" s="23"/>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c r="AV1249" s="22"/>
      <c r="AW1249" s="22"/>
      <c r="AX1249" s="22"/>
    </row>
    <row r="1250" spans="1:50" x14ac:dyDescent="0.35">
      <c r="A1250" s="23"/>
      <c r="B1250" s="23"/>
      <c r="C1250" s="23"/>
      <c r="D1250" s="23"/>
      <c r="E1250" s="23"/>
      <c r="F1250" s="23"/>
      <c r="G1250" s="23"/>
      <c r="H1250" s="23"/>
      <c r="I1250" s="23"/>
      <c r="J1250" s="23"/>
      <c r="K1250" s="23"/>
      <c r="L1250" s="23"/>
      <c r="M1250" s="23"/>
      <c r="N1250" s="23"/>
      <c r="O1250" s="23"/>
      <c r="P1250" s="23"/>
      <c r="Q1250" s="23"/>
      <c r="R1250" s="23"/>
      <c r="S1250" s="23"/>
      <c r="T1250" s="23"/>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c r="AV1250" s="22"/>
      <c r="AW1250" s="22"/>
      <c r="AX1250" s="22"/>
    </row>
    <row r="1251" spans="1:50" x14ac:dyDescent="0.35">
      <c r="A1251" s="23"/>
      <c r="B1251" s="23"/>
      <c r="C1251" s="23"/>
      <c r="D1251" s="23"/>
      <c r="E1251" s="23"/>
      <c r="F1251" s="23"/>
      <c r="G1251" s="23"/>
      <c r="H1251" s="23"/>
      <c r="I1251" s="23"/>
      <c r="J1251" s="23"/>
      <c r="K1251" s="23"/>
      <c r="L1251" s="23"/>
      <c r="M1251" s="23"/>
      <c r="N1251" s="23"/>
      <c r="O1251" s="23"/>
      <c r="P1251" s="23"/>
      <c r="Q1251" s="23"/>
      <c r="R1251" s="23"/>
      <c r="S1251" s="23"/>
      <c r="T1251" s="23"/>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c r="AV1251" s="22"/>
      <c r="AW1251" s="22"/>
      <c r="AX1251" s="22"/>
    </row>
    <row r="1252" spans="1:50" x14ac:dyDescent="0.35">
      <c r="A1252" s="23"/>
      <c r="B1252" s="23"/>
      <c r="C1252" s="23"/>
      <c r="D1252" s="23"/>
      <c r="E1252" s="23"/>
      <c r="F1252" s="23"/>
      <c r="G1252" s="23"/>
      <c r="H1252" s="23"/>
      <c r="I1252" s="23"/>
      <c r="J1252" s="23"/>
      <c r="K1252" s="23"/>
      <c r="L1252" s="23"/>
      <c r="M1252" s="23"/>
      <c r="N1252" s="23"/>
      <c r="O1252" s="23"/>
      <c r="P1252" s="23"/>
      <c r="Q1252" s="23"/>
      <c r="R1252" s="23"/>
      <c r="S1252" s="23"/>
      <c r="T1252" s="23"/>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c r="AV1252" s="22"/>
      <c r="AW1252" s="22"/>
      <c r="AX1252" s="22"/>
    </row>
    <row r="1253" spans="1:50" x14ac:dyDescent="0.35">
      <c r="A1253" s="23"/>
      <c r="B1253" s="23"/>
      <c r="C1253" s="23"/>
      <c r="D1253" s="23"/>
      <c r="E1253" s="23"/>
      <c r="F1253" s="23"/>
      <c r="G1253" s="23"/>
      <c r="H1253" s="23"/>
      <c r="I1253" s="23"/>
      <c r="J1253" s="23"/>
      <c r="K1253" s="23"/>
      <c r="L1253" s="23"/>
      <c r="M1253" s="23"/>
      <c r="N1253" s="23"/>
      <c r="O1253" s="23"/>
      <c r="P1253" s="23"/>
      <c r="Q1253" s="23"/>
      <c r="R1253" s="23"/>
      <c r="S1253" s="23"/>
      <c r="T1253" s="23"/>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c r="AV1253" s="22"/>
      <c r="AW1253" s="22"/>
      <c r="AX1253" s="22"/>
    </row>
    <row r="1254" spans="1:50" x14ac:dyDescent="0.35">
      <c r="A1254" s="23"/>
      <c r="B1254" s="23"/>
      <c r="C1254" s="23"/>
      <c r="D1254" s="23"/>
      <c r="E1254" s="23"/>
      <c r="F1254" s="23"/>
      <c r="G1254" s="23"/>
      <c r="H1254" s="23"/>
      <c r="I1254" s="23"/>
      <c r="J1254" s="23"/>
      <c r="K1254" s="23"/>
      <c r="L1254" s="23"/>
      <c r="M1254" s="23"/>
      <c r="N1254" s="23"/>
      <c r="O1254" s="23"/>
      <c r="P1254" s="23"/>
      <c r="Q1254" s="23"/>
      <c r="R1254" s="23"/>
      <c r="S1254" s="23"/>
      <c r="T1254" s="23"/>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c r="AV1254" s="22"/>
      <c r="AW1254" s="22"/>
      <c r="AX1254" s="22"/>
    </row>
    <row r="1255" spans="1:50" x14ac:dyDescent="0.35">
      <c r="A1255" s="23"/>
      <c r="B1255" s="23"/>
      <c r="C1255" s="23"/>
      <c r="D1255" s="23"/>
      <c r="E1255" s="23"/>
      <c r="F1255" s="23"/>
      <c r="G1255" s="23"/>
      <c r="H1255" s="23"/>
      <c r="I1255" s="23"/>
      <c r="J1255" s="23"/>
      <c r="K1255" s="23"/>
      <c r="L1255" s="23"/>
      <c r="M1255" s="23"/>
      <c r="N1255" s="23"/>
      <c r="O1255" s="23"/>
      <c r="P1255" s="23"/>
      <c r="Q1255" s="23"/>
      <c r="R1255" s="23"/>
      <c r="S1255" s="23"/>
      <c r="T1255" s="23"/>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c r="AV1255" s="22"/>
      <c r="AW1255" s="22"/>
      <c r="AX1255" s="22"/>
    </row>
    <row r="1256" spans="1:50" x14ac:dyDescent="0.35">
      <c r="A1256" s="23"/>
      <c r="B1256" s="23"/>
      <c r="C1256" s="23"/>
      <c r="D1256" s="23"/>
      <c r="E1256" s="23"/>
      <c r="F1256" s="23"/>
      <c r="G1256" s="23"/>
      <c r="H1256" s="23"/>
      <c r="I1256" s="23"/>
      <c r="J1256" s="23"/>
      <c r="K1256" s="23"/>
      <c r="L1256" s="23"/>
      <c r="M1256" s="23"/>
      <c r="N1256" s="23"/>
      <c r="O1256" s="23"/>
      <c r="P1256" s="23"/>
      <c r="Q1256" s="23"/>
      <c r="R1256" s="23"/>
      <c r="S1256" s="23"/>
      <c r="T1256" s="23"/>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c r="AV1256" s="22"/>
      <c r="AW1256" s="22"/>
      <c r="AX1256" s="22"/>
    </row>
    <row r="1257" spans="1:50" x14ac:dyDescent="0.35">
      <c r="A1257" s="23"/>
      <c r="B1257" s="23"/>
      <c r="C1257" s="23"/>
      <c r="D1257" s="23"/>
      <c r="E1257" s="23"/>
      <c r="F1257" s="23"/>
      <c r="G1257" s="23"/>
      <c r="H1257" s="23"/>
      <c r="I1257" s="23"/>
      <c r="J1257" s="23"/>
      <c r="K1257" s="23"/>
      <c r="L1257" s="23"/>
      <c r="M1257" s="23"/>
      <c r="N1257" s="23"/>
      <c r="O1257" s="23"/>
      <c r="P1257" s="23"/>
      <c r="Q1257" s="23"/>
      <c r="R1257" s="23"/>
      <c r="S1257" s="23"/>
      <c r="T1257" s="23"/>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c r="AV1257" s="22"/>
      <c r="AW1257" s="22"/>
      <c r="AX1257" s="22"/>
    </row>
    <row r="1258" spans="1:50" x14ac:dyDescent="0.35">
      <c r="A1258" s="23"/>
      <c r="B1258" s="23"/>
      <c r="C1258" s="23"/>
      <c r="D1258" s="23"/>
      <c r="E1258" s="23"/>
      <c r="F1258" s="23"/>
      <c r="G1258" s="23"/>
      <c r="H1258" s="23"/>
      <c r="I1258" s="23"/>
      <c r="J1258" s="23"/>
      <c r="K1258" s="23"/>
      <c r="L1258" s="23"/>
      <c r="M1258" s="23"/>
      <c r="N1258" s="23"/>
      <c r="O1258" s="23"/>
      <c r="P1258" s="23"/>
      <c r="Q1258" s="23"/>
      <c r="R1258" s="23"/>
      <c r="S1258" s="23"/>
      <c r="T1258" s="23"/>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c r="AV1258" s="22"/>
      <c r="AW1258" s="22"/>
      <c r="AX1258" s="22"/>
    </row>
    <row r="1259" spans="1:50" x14ac:dyDescent="0.35">
      <c r="A1259" s="23"/>
      <c r="B1259" s="23"/>
      <c r="C1259" s="23"/>
      <c r="D1259" s="23"/>
      <c r="E1259" s="23"/>
      <c r="F1259" s="23"/>
      <c r="G1259" s="23"/>
      <c r="H1259" s="23"/>
      <c r="I1259" s="23"/>
      <c r="J1259" s="23"/>
      <c r="K1259" s="23"/>
      <c r="L1259" s="23"/>
      <c r="M1259" s="23"/>
      <c r="N1259" s="23"/>
      <c r="O1259" s="23"/>
      <c r="P1259" s="23"/>
      <c r="Q1259" s="23"/>
      <c r="R1259" s="23"/>
      <c r="S1259" s="23"/>
      <c r="T1259" s="23"/>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c r="AV1259" s="22"/>
      <c r="AW1259" s="22"/>
      <c r="AX1259" s="22"/>
    </row>
    <row r="1260" spans="1:50" x14ac:dyDescent="0.35">
      <c r="A1260" s="23"/>
      <c r="B1260" s="23"/>
      <c r="C1260" s="23"/>
      <c r="D1260" s="23"/>
      <c r="E1260" s="23"/>
      <c r="F1260" s="23"/>
      <c r="G1260" s="23"/>
      <c r="H1260" s="23"/>
      <c r="I1260" s="23"/>
      <c r="J1260" s="23"/>
      <c r="K1260" s="23"/>
      <c r="L1260" s="23"/>
      <c r="M1260" s="23"/>
      <c r="N1260" s="23"/>
      <c r="O1260" s="23"/>
      <c r="P1260" s="23"/>
      <c r="Q1260" s="23"/>
      <c r="R1260" s="23"/>
      <c r="S1260" s="23"/>
      <c r="T1260" s="23"/>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c r="AV1260" s="22"/>
      <c r="AW1260" s="22"/>
      <c r="AX1260" s="22"/>
    </row>
    <row r="1261" spans="1:50" x14ac:dyDescent="0.35">
      <c r="A1261" s="23"/>
      <c r="B1261" s="23"/>
      <c r="C1261" s="23"/>
      <c r="D1261" s="23"/>
      <c r="E1261" s="23"/>
      <c r="F1261" s="23"/>
      <c r="G1261" s="23"/>
      <c r="H1261" s="23"/>
      <c r="I1261" s="23"/>
      <c r="J1261" s="23"/>
      <c r="K1261" s="23"/>
      <c r="L1261" s="23"/>
      <c r="M1261" s="23"/>
      <c r="N1261" s="23"/>
      <c r="O1261" s="23"/>
      <c r="P1261" s="23"/>
      <c r="Q1261" s="23"/>
      <c r="R1261" s="23"/>
      <c r="S1261" s="23"/>
      <c r="T1261" s="23"/>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c r="AV1261" s="22"/>
      <c r="AW1261" s="22"/>
      <c r="AX1261" s="22"/>
    </row>
    <row r="1262" spans="1:50" x14ac:dyDescent="0.35">
      <c r="A1262" s="23"/>
      <c r="B1262" s="23"/>
      <c r="C1262" s="23"/>
      <c r="D1262" s="23"/>
      <c r="E1262" s="23"/>
      <c r="F1262" s="23"/>
      <c r="G1262" s="23"/>
      <c r="H1262" s="23"/>
      <c r="I1262" s="23"/>
      <c r="J1262" s="23"/>
      <c r="K1262" s="23"/>
      <c r="L1262" s="23"/>
      <c r="M1262" s="23"/>
      <c r="N1262" s="23"/>
      <c r="O1262" s="23"/>
      <c r="P1262" s="23"/>
      <c r="Q1262" s="23"/>
      <c r="R1262" s="23"/>
      <c r="S1262" s="23"/>
      <c r="T1262" s="23"/>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c r="AV1262" s="22"/>
      <c r="AW1262" s="22"/>
      <c r="AX1262" s="22"/>
    </row>
    <row r="1263" spans="1:50" x14ac:dyDescent="0.35">
      <c r="A1263" s="23"/>
      <c r="B1263" s="23"/>
      <c r="C1263" s="23"/>
      <c r="D1263" s="23"/>
      <c r="E1263" s="23"/>
      <c r="F1263" s="23"/>
      <c r="G1263" s="23"/>
      <c r="H1263" s="23"/>
      <c r="I1263" s="23"/>
      <c r="J1263" s="23"/>
      <c r="K1263" s="23"/>
      <c r="L1263" s="23"/>
      <c r="M1263" s="23"/>
      <c r="N1263" s="23"/>
      <c r="O1263" s="23"/>
      <c r="P1263" s="23"/>
      <c r="Q1263" s="23"/>
      <c r="R1263" s="23"/>
      <c r="S1263" s="23"/>
      <c r="T1263" s="23"/>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c r="AV1263" s="22"/>
      <c r="AW1263" s="22"/>
      <c r="AX1263" s="22"/>
    </row>
    <row r="1264" spans="1:50" x14ac:dyDescent="0.35">
      <c r="A1264" s="23"/>
      <c r="B1264" s="23"/>
      <c r="C1264" s="23"/>
      <c r="D1264" s="23"/>
      <c r="E1264" s="23"/>
      <c r="F1264" s="23"/>
      <c r="G1264" s="23"/>
      <c r="H1264" s="23"/>
      <c r="I1264" s="23"/>
      <c r="J1264" s="23"/>
      <c r="K1264" s="23"/>
      <c r="L1264" s="23"/>
      <c r="M1264" s="23"/>
      <c r="N1264" s="23"/>
      <c r="O1264" s="23"/>
      <c r="P1264" s="23"/>
      <c r="Q1264" s="23"/>
      <c r="R1264" s="23"/>
      <c r="S1264" s="23"/>
      <c r="T1264" s="23"/>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c r="AV1264" s="22"/>
      <c r="AW1264" s="22"/>
      <c r="AX1264" s="22"/>
    </row>
    <row r="1265" spans="1:50" x14ac:dyDescent="0.35">
      <c r="A1265" s="23"/>
      <c r="B1265" s="23"/>
      <c r="C1265" s="23"/>
      <c r="D1265" s="23"/>
      <c r="E1265" s="23"/>
      <c r="F1265" s="23"/>
      <c r="G1265" s="23"/>
      <c r="H1265" s="23"/>
      <c r="I1265" s="23"/>
      <c r="J1265" s="23"/>
      <c r="K1265" s="23"/>
      <c r="L1265" s="23"/>
      <c r="M1265" s="23"/>
      <c r="N1265" s="23"/>
      <c r="O1265" s="23"/>
      <c r="P1265" s="23"/>
      <c r="Q1265" s="23"/>
      <c r="R1265" s="23"/>
      <c r="S1265" s="23"/>
      <c r="T1265" s="23"/>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c r="AV1265" s="22"/>
      <c r="AW1265" s="22"/>
      <c r="AX1265" s="22"/>
    </row>
    <row r="1266" spans="1:50" x14ac:dyDescent="0.35">
      <c r="A1266" s="23"/>
      <c r="B1266" s="23"/>
      <c r="C1266" s="23"/>
      <c r="D1266" s="23"/>
      <c r="E1266" s="23"/>
      <c r="F1266" s="23"/>
      <c r="G1266" s="23"/>
      <c r="H1266" s="23"/>
      <c r="I1266" s="23"/>
      <c r="J1266" s="23"/>
      <c r="K1266" s="23"/>
      <c r="L1266" s="23"/>
      <c r="M1266" s="23"/>
      <c r="N1266" s="23"/>
      <c r="O1266" s="23"/>
      <c r="P1266" s="23"/>
      <c r="Q1266" s="23"/>
      <c r="R1266" s="23"/>
      <c r="S1266" s="23"/>
      <c r="T1266" s="23"/>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c r="AV1266" s="22"/>
      <c r="AW1266" s="22"/>
      <c r="AX1266" s="22"/>
    </row>
    <row r="1267" spans="1:50" x14ac:dyDescent="0.35">
      <c r="A1267" s="23"/>
      <c r="B1267" s="23"/>
      <c r="C1267" s="23"/>
      <c r="D1267" s="23"/>
      <c r="E1267" s="23"/>
      <c r="F1267" s="23"/>
      <c r="G1267" s="23"/>
      <c r="H1267" s="23"/>
      <c r="I1267" s="23"/>
      <c r="J1267" s="23"/>
      <c r="K1267" s="23"/>
      <c r="L1267" s="23"/>
      <c r="M1267" s="23"/>
      <c r="N1267" s="23"/>
      <c r="O1267" s="23"/>
      <c r="P1267" s="23"/>
      <c r="Q1267" s="23"/>
      <c r="R1267" s="23"/>
      <c r="S1267" s="23"/>
      <c r="T1267" s="23"/>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c r="AV1267" s="22"/>
      <c r="AW1267" s="22"/>
      <c r="AX1267" s="22"/>
    </row>
    <row r="1268" spans="1:50" x14ac:dyDescent="0.35">
      <c r="A1268" s="23"/>
      <c r="B1268" s="23"/>
      <c r="C1268" s="23"/>
      <c r="D1268" s="23"/>
      <c r="E1268" s="23"/>
      <c r="F1268" s="23"/>
      <c r="G1268" s="23"/>
      <c r="H1268" s="23"/>
      <c r="I1268" s="23"/>
      <c r="J1268" s="23"/>
      <c r="K1268" s="23"/>
      <c r="L1268" s="23"/>
      <c r="M1268" s="23"/>
      <c r="N1268" s="23"/>
      <c r="O1268" s="23"/>
      <c r="P1268" s="23"/>
      <c r="Q1268" s="23"/>
      <c r="R1268" s="23"/>
      <c r="S1268" s="23"/>
      <c r="T1268" s="23"/>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c r="AV1268" s="22"/>
      <c r="AW1268" s="22"/>
      <c r="AX1268" s="22"/>
    </row>
    <row r="1269" spans="1:50" x14ac:dyDescent="0.35">
      <c r="A1269" s="23"/>
      <c r="B1269" s="23"/>
      <c r="C1269" s="23"/>
      <c r="D1269" s="23"/>
      <c r="E1269" s="23"/>
      <c r="F1269" s="23"/>
      <c r="G1269" s="23"/>
      <c r="H1269" s="23"/>
      <c r="I1269" s="23"/>
      <c r="J1269" s="23"/>
      <c r="K1269" s="23"/>
      <c r="L1269" s="23"/>
      <c r="M1269" s="23"/>
      <c r="N1269" s="23"/>
      <c r="O1269" s="23"/>
      <c r="P1269" s="23"/>
      <c r="Q1269" s="23"/>
      <c r="R1269" s="23"/>
      <c r="S1269" s="23"/>
      <c r="T1269" s="23"/>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c r="AV1269" s="22"/>
      <c r="AW1269" s="22"/>
      <c r="AX1269" s="22"/>
    </row>
    <row r="1270" spans="1:50" x14ac:dyDescent="0.35">
      <c r="A1270" s="23"/>
      <c r="B1270" s="23"/>
      <c r="C1270" s="23"/>
      <c r="D1270" s="23"/>
      <c r="E1270" s="23"/>
      <c r="F1270" s="23"/>
      <c r="G1270" s="23"/>
      <c r="H1270" s="23"/>
      <c r="I1270" s="23"/>
      <c r="J1270" s="23"/>
      <c r="K1270" s="23"/>
      <c r="L1270" s="23"/>
      <c r="M1270" s="23"/>
      <c r="N1270" s="23"/>
      <c r="O1270" s="23"/>
      <c r="P1270" s="23"/>
      <c r="Q1270" s="23"/>
      <c r="R1270" s="23"/>
      <c r="S1270" s="23"/>
      <c r="T1270" s="23"/>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c r="AV1270" s="22"/>
      <c r="AW1270" s="22"/>
      <c r="AX1270" s="22"/>
    </row>
    <row r="1271" spans="1:50" x14ac:dyDescent="0.35">
      <c r="A1271" s="23"/>
      <c r="B1271" s="23"/>
      <c r="C1271" s="23"/>
      <c r="D1271" s="23"/>
      <c r="E1271" s="23"/>
      <c r="F1271" s="23"/>
      <c r="G1271" s="23"/>
      <c r="H1271" s="23"/>
      <c r="I1271" s="23"/>
      <c r="J1271" s="23"/>
      <c r="K1271" s="23"/>
      <c r="L1271" s="23"/>
      <c r="M1271" s="23"/>
      <c r="N1271" s="23"/>
      <c r="O1271" s="23"/>
      <c r="P1271" s="23"/>
      <c r="Q1271" s="23"/>
      <c r="R1271" s="23"/>
      <c r="S1271" s="23"/>
      <c r="T1271" s="23"/>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c r="AV1271" s="22"/>
      <c r="AW1271" s="22"/>
      <c r="AX1271" s="22"/>
    </row>
    <row r="1272" spans="1:50" x14ac:dyDescent="0.35">
      <c r="A1272" s="23"/>
      <c r="B1272" s="23"/>
      <c r="C1272" s="23"/>
      <c r="D1272" s="23"/>
      <c r="E1272" s="23"/>
      <c r="F1272" s="23"/>
      <c r="G1272" s="23"/>
      <c r="H1272" s="23"/>
      <c r="I1272" s="23"/>
      <c r="J1272" s="23"/>
      <c r="K1272" s="23"/>
      <c r="L1272" s="23"/>
      <c r="M1272" s="23"/>
      <c r="N1272" s="23"/>
      <c r="O1272" s="23"/>
      <c r="P1272" s="23"/>
      <c r="Q1272" s="23"/>
      <c r="R1272" s="23"/>
      <c r="S1272" s="23"/>
      <c r="T1272" s="23"/>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c r="AV1272" s="22"/>
      <c r="AW1272" s="22"/>
      <c r="AX1272" s="22"/>
    </row>
    <row r="1273" spans="1:50" x14ac:dyDescent="0.35">
      <c r="A1273" s="23"/>
      <c r="B1273" s="23"/>
      <c r="C1273" s="23"/>
      <c r="D1273" s="23"/>
      <c r="E1273" s="23"/>
      <c r="F1273" s="23"/>
      <c r="G1273" s="23"/>
      <c r="H1273" s="23"/>
      <c r="I1273" s="23"/>
      <c r="J1273" s="23"/>
      <c r="K1273" s="23"/>
      <c r="L1273" s="23"/>
      <c r="M1273" s="23"/>
      <c r="N1273" s="23"/>
      <c r="O1273" s="23"/>
      <c r="P1273" s="23"/>
      <c r="Q1273" s="23"/>
      <c r="R1273" s="23"/>
      <c r="S1273" s="23"/>
      <c r="T1273" s="23"/>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c r="AV1273" s="22"/>
      <c r="AW1273" s="22"/>
      <c r="AX1273" s="22"/>
    </row>
    <row r="1274" spans="1:50" x14ac:dyDescent="0.35">
      <c r="A1274" s="23"/>
      <c r="B1274" s="23"/>
      <c r="C1274" s="23"/>
      <c r="D1274" s="23"/>
      <c r="E1274" s="23"/>
      <c r="F1274" s="23"/>
      <c r="G1274" s="23"/>
      <c r="H1274" s="23"/>
      <c r="I1274" s="23"/>
      <c r="J1274" s="23"/>
      <c r="K1274" s="23"/>
      <c r="L1274" s="23"/>
      <c r="M1274" s="23"/>
      <c r="N1274" s="23"/>
      <c r="O1274" s="23"/>
      <c r="P1274" s="23"/>
      <c r="Q1274" s="23"/>
      <c r="R1274" s="23"/>
      <c r="S1274" s="23"/>
      <c r="T1274" s="23"/>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c r="AV1274" s="22"/>
      <c r="AW1274" s="22"/>
      <c r="AX1274" s="22"/>
    </row>
    <row r="1275" spans="1:50" x14ac:dyDescent="0.35">
      <c r="A1275" s="23"/>
      <c r="B1275" s="23"/>
      <c r="C1275" s="23"/>
      <c r="D1275" s="23"/>
      <c r="E1275" s="23"/>
      <c r="F1275" s="23"/>
      <c r="G1275" s="23"/>
      <c r="H1275" s="23"/>
      <c r="I1275" s="23"/>
      <c r="J1275" s="23"/>
      <c r="K1275" s="23"/>
      <c r="L1275" s="23"/>
      <c r="M1275" s="23"/>
      <c r="N1275" s="23"/>
      <c r="O1275" s="23"/>
      <c r="P1275" s="23"/>
      <c r="Q1275" s="23"/>
      <c r="R1275" s="23"/>
      <c r="S1275" s="23"/>
      <c r="T1275" s="23"/>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c r="AV1275" s="22"/>
      <c r="AW1275" s="22"/>
      <c r="AX1275" s="22"/>
    </row>
    <row r="1276" spans="1:50" x14ac:dyDescent="0.35">
      <c r="A1276" s="23"/>
      <c r="B1276" s="23"/>
      <c r="C1276" s="23"/>
      <c r="D1276" s="23"/>
      <c r="E1276" s="23"/>
      <c r="F1276" s="23"/>
      <c r="G1276" s="23"/>
      <c r="H1276" s="23"/>
      <c r="I1276" s="23"/>
      <c r="J1276" s="23"/>
      <c r="K1276" s="23"/>
      <c r="L1276" s="23"/>
      <c r="M1276" s="23"/>
      <c r="N1276" s="23"/>
      <c r="O1276" s="23"/>
      <c r="P1276" s="23"/>
      <c r="Q1276" s="23"/>
      <c r="R1276" s="23"/>
      <c r="S1276" s="23"/>
      <c r="T1276" s="23"/>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c r="AV1276" s="22"/>
      <c r="AW1276" s="22"/>
      <c r="AX1276" s="22"/>
    </row>
    <row r="1277" spans="1:50" x14ac:dyDescent="0.35">
      <c r="A1277" s="23"/>
      <c r="B1277" s="23"/>
      <c r="C1277" s="23"/>
      <c r="D1277" s="23"/>
      <c r="E1277" s="23"/>
      <c r="F1277" s="23"/>
      <c r="G1277" s="23"/>
      <c r="H1277" s="23"/>
      <c r="I1277" s="23"/>
      <c r="J1277" s="23"/>
      <c r="K1277" s="23"/>
      <c r="L1277" s="23"/>
      <c r="M1277" s="23"/>
      <c r="N1277" s="23"/>
      <c r="O1277" s="23"/>
      <c r="P1277" s="23"/>
      <c r="Q1277" s="23"/>
      <c r="R1277" s="23"/>
      <c r="S1277" s="23"/>
      <c r="T1277" s="23"/>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c r="AV1277" s="22"/>
      <c r="AW1277" s="22"/>
      <c r="AX1277" s="22"/>
    </row>
    <row r="1278" spans="1:50" x14ac:dyDescent="0.35">
      <c r="A1278" s="23"/>
      <c r="B1278" s="23"/>
      <c r="C1278" s="23"/>
      <c r="D1278" s="23"/>
      <c r="E1278" s="23"/>
      <c r="F1278" s="23"/>
      <c r="G1278" s="23"/>
      <c r="H1278" s="23"/>
      <c r="I1278" s="23"/>
      <c r="J1278" s="23"/>
      <c r="K1278" s="23"/>
      <c r="L1278" s="23"/>
      <c r="M1278" s="23"/>
      <c r="N1278" s="23"/>
      <c r="O1278" s="23"/>
      <c r="P1278" s="23"/>
      <c r="Q1278" s="23"/>
      <c r="R1278" s="23"/>
      <c r="S1278" s="23"/>
      <c r="T1278" s="23"/>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c r="AV1278" s="22"/>
      <c r="AW1278" s="22"/>
      <c r="AX1278" s="22"/>
    </row>
    <row r="1279" spans="1:50" x14ac:dyDescent="0.35">
      <c r="A1279" s="23"/>
      <c r="B1279" s="23"/>
      <c r="C1279" s="23"/>
      <c r="D1279" s="23"/>
      <c r="E1279" s="23"/>
      <c r="F1279" s="23"/>
      <c r="G1279" s="23"/>
      <c r="H1279" s="23"/>
      <c r="I1279" s="23"/>
      <c r="J1279" s="23"/>
      <c r="K1279" s="23"/>
      <c r="L1279" s="23"/>
      <c r="M1279" s="23"/>
      <c r="N1279" s="23"/>
      <c r="O1279" s="23"/>
      <c r="P1279" s="23"/>
      <c r="Q1279" s="23"/>
      <c r="R1279" s="23"/>
      <c r="S1279" s="23"/>
      <c r="T1279" s="23"/>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c r="AV1279" s="22"/>
      <c r="AW1279" s="22"/>
      <c r="AX1279" s="22"/>
    </row>
    <row r="1280" spans="1:50" x14ac:dyDescent="0.35">
      <c r="A1280" s="23"/>
      <c r="B1280" s="23"/>
      <c r="C1280" s="23"/>
      <c r="D1280" s="23"/>
      <c r="E1280" s="23"/>
      <c r="F1280" s="23"/>
      <c r="G1280" s="23"/>
      <c r="H1280" s="23"/>
      <c r="I1280" s="23"/>
      <c r="J1280" s="23"/>
      <c r="K1280" s="23"/>
      <c r="L1280" s="23"/>
      <c r="M1280" s="23"/>
      <c r="N1280" s="23"/>
      <c r="O1280" s="23"/>
      <c r="P1280" s="23"/>
      <c r="Q1280" s="23"/>
      <c r="R1280" s="23"/>
      <c r="S1280" s="23"/>
      <c r="T1280" s="23"/>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c r="AV1280" s="22"/>
      <c r="AW1280" s="22"/>
      <c r="AX1280" s="22"/>
    </row>
    <row r="1281" spans="1:50" x14ac:dyDescent="0.35">
      <c r="A1281" s="23"/>
      <c r="B1281" s="23"/>
      <c r="C1281" s="23"/>
      <c r="D1281" s="23"/>
      <c r="E1281" s="23"/>
      <c r="F1281" s="23"/>
      <c r="G1281" s="23"/>
      <c r="H1281" s="23"/>
      <c r="I1281" s="23"/>
      <c r="J1281" s="23"/>
      <c r="K1281" s="23"/>
      <c r="L1281" s="23"/>
      <c r="M1281" s="23"/>
      <c r="N1281" s="23"/>
      <c r="O1281" s="23"/>
      <c r="P1281" s="23"/>
      <c r="Q1281" s="23"/>
      <c r="R1281" s="23"/>
      <c r="S1281" s="23"/>
      <c r="T1281" s="23"/>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c r="AV1281" s="22"/>
      <c r="AW1281" s="22"/>
      <c r="AX1281" s="22"/>
    </row>
    <row r="1282" spans="1:50" x14ac:dyDescent="0.35">
      <c r="A1282" s="23"/>
      <c r="B1282" s="23"/>
      <c r="C1282" s="23"/>
      <c r="D1282" s="23"/>
      <c r="E1282" s="23"/>
      <c r="F1282" s="23"/>
      <c r="G1282" s="23"/>
      <c r="H1282" s="23"/>
      <c r="I1282" s="23"/>
      <c r="J1282" s="23"/>
      <c r="K1282" s="23"/>
      <c r="L1282" s="23"/>
      <c r="M1282" s="23"/>
      <c r="N1282" s="23"/>
      <c r="O1282" s="23"/>
      <c r="P1282" s="23"/>
      <c r="Q1282" s="23"/>
      <c r="R1282" s="23"/>
      <c r="S1282" s="23"/>
      <c r="T1282" s="23"/>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c r="AV1282" s="22"/>
      <c r="AW1282" s="22"/>
      <c r="AX1282" s="22"/>
    </row>
    <row r="1283" spans="1:50" x14ac:dyDescent="0.35">
      <c r="A1283" s="23"/>
      <c r="B1283" s="23"/>
      <c r="C1283" s="23"/>
      <c r="D1283" s="23"/>
      <c r="E1283" s="23"/>
      <c r="F1283" s="23"/>
      <c r="G1283" s="23"/>
      <c r="H1283" s="23"/>
      <c r="I1283" s="23"/>
      <c r="J1283" s="23"/>
      <c r="K1283" s="23"/>
      <c r="L1283" s="23"/>
      <c r="M1283" s="23"/>
      <c r="N1283" s="23"/>
      <c r="O1283" s="23"/>
      <c r="P1283" s="23"/>
      <c r="Q1283" s="23"/>
      <c r="R1283" s="23"/>
      <c r="S1283" s="23"/>
      <c r="T1283" s="23"/>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c r="AV1283" s="22"/>
      <c r="AW1283" s="22"/>
      <c r="AX1283" s="22"/>
    </row>
    <row r="1284" spans="1:50" x14ac:dyDescent="0.35">
      <c r="A1284" s="23"/>
      <c r="B1284" s="23"/>
      <c r="C1284" s="23"/>
      <c r="D1284" s="23"/>
      <c r="E1284" s="23"/>
      <c r="F1284" s="23"/>
      <c r="G1284" s="23"/>
      <c r="H1284" s="23"/>
      <c r="I1284" s="23"/>
      <c r="J1284" s="23"/>
      <c r="K1284" s="23"/>
      <c r="L1284" s="23"/>
      <c r="M1284" s="23"/>
      <c r="N1284" s="23"/>
      <c r="O1284" s="23"/>
      <c r="P1284" s="23"/>
      <c r="Q1284" s="23"/>
      <c r="R1284" s="23"/>
      <c r="S1284" s="23"/>
      <c r="T1284" s="23"/>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c r="AV1284" s="22"/>
      <c r="AW1284" s="22"/>
      <c r="AX1284" s="22"/>
    </row>
    <row r="1285" spans="1:50" x14ac:dyDescent="0.35">
      <c r="A1285" s="23"/>
      <c r="B1285" s="23"/>
      <c r="C1285" s="23"/>
      <c r="D1285" s="23"/>
      <c r="E1285" s="23"/>
      <c r="F1285" s="23"/>
      <c r="G1285" s="23"/>
      <c r="H1285" s="23"/>
      <c r="I1285" s="23"/>
      <c r="J1285" s="23"/>
      <c r="K1285" s="23"/>
      <c r="L1285" s="23"/>
      <c r="M1285" s="23"/>
      <c r="N1285" s="23"/>
      <c r="O1285" s="23"/>
      <c r="P1285" s="23"/>
      <c r="Q1285" s="23"/>
      <c r="R1285" s="23"/>
      <c r="S1285" s="23"/>
      <c r="T1285" s="23"/>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c r="AV1285" s="22"/>
      <c r="AW1285" s="22"/>
      <c r="AX1285" s="22"/>
    </row>
    <row r="1286" spans="1:50" x14ac:dyDescent="0.35">
      <c r="A1286" s="23"/>
      <c r="B1286" s="23"/>
      <c r="C1286" s="23"/>
      <c r="D1286" s="23"/>
      <c r="E1286" s="23"/>
      <c r="F1286" s="23"/>
      <c r="G1286" s="23"/>
      <c r="H1286" s="23"/>
      <c r="I1286" s="23"/>
      <c r="J1286" s="23"/>
      <c r="K1286" s="23"/>
      <c r="L1286" s="23"/>
      <c r="M1286" s="23"/>
      <c r="N1286" s="23"/>
      <c r="O1286" s="23"/>
      <c r="P1286" s="23"/>
      <c r="Q1286" s="23"/>
      <c r="R1286" s="23"/>
      <c r="S1286" s="23"/>
      <c r="T1286" s="23"/>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c r="AV1286" s="22"/>
      <c r="AW1286" s="22"/>
      <c r="AX1286" s="22"/>
    </row>
    <row r="1287" spans="1:50" x14ac:dyDescent="0.35">
      <c r="A1287" s="23"/>
      <c r="B1287" s="23"/>
      <c r="C1287" s="23"/>
      <c r="D1287" s="23"/>
      <c r="E1287" s="23"/>
      <c r="F1287" s="23"/>
      <c r="G1287" s="23"/>
      <c r="H1287" s="23"/>
      <c r="I1287" s="23"/>
      <c r="J1287" s="23"/>
      <c r="K1287" s="23"/>
      <c r="L1287" s="23"/>
      <c r="M1287" s="23"/>
      <c r="N1287" s="23"/>
      <c r="O1287" s="23"/>
      <c r="P1287" s="23"/>
      <c r="Q1287" s="23"/>
      <c r="R1287" s="23"/>
      <c r="S1287" s="23"/>
      <c r="T1287" s="23"/>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c r="AV1287" s="22"/>
      <c r="AW1287" s="22"/>
      <c r="AX1287" s="22"/>
    </row>
    <row r="1288" spans="1:50" x14ac:dyDescent="0.35">
      <c r="A1288" s="23"/>
      <c r="B1288" s="23"/>
      <c r="C1288" s="23"/>
      <c r="D1288" s="23"/>
      <c r="E1288" s="23"/>
      <c r="F1288" s="23"/>
      <c r="G1288" s="23"/>
      <c r="H1288" s="23"/>
      <c r="I1288" s="23"/>
      <c r="J1288" s="23"/>
      <c r="K1288" s="23"/>
      <c r="L1288" s="23"/>
      <c r="M1288" s="23"/>
      <c r="N1288" s="23"/>
      <c r="O1288" s="23"/>
      <c r="P1288" s="23"/>
      <c r="Q1288" s="23"/>
      <c r="R1288" s="23"/>
      <c r="S1288" s="23"/>
      <c r="T1288" s="23"/>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c r="AV1288" s="22"/>
      <c r="AW1288" s="22"/>
      <c r="AX1288" s="22"/>
    </row>
    <row r="1289" spans="1:50" x14ac:dyDescent="0.35">
      <c r="A1289" s="23"/>
      <c r="B1289" s="23"/>
      <c r="C1289" s="23"/>
      <c r="D1289" s="23"/>
      <c r="E1289" s="23"/>
      <c r="F1289" s="23"/>
      <c r="G1289" s="23"/>
      <c r="H1289" s="23"/>
      <c r="I1289" s="23"/>
      <c r="J1289" s="23"/>
      <c r="K1289" s="23"/>
      <c r="L1289" s="23"/>
      <c r="M1289" s="23"/>
      <c r="N1289" s="23"/>
      <c r="O1289" s="23"/>
      <c r="P1289" s="23"/>
      <c r="Q1289" s="23"/>
      <c r="R1289" s="23"/>
      <c r="S1289" s="23"/>
      <c r="T1289" s="23"/>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c r="AV1289" s="22"/>
      <c r="AW1289" s="22"/>
      <c r="AX1289" s="22"/>
    </row>
    <row r="1290" spans="1:50" x14ac:dyDescent="0.35">
      <c r="A1290" s="23"/>
      <c r="B1290" s="23"/>
      <c r="C1290" s="23"/>
      <c r="D1290" s="23"/>
      <c r="E1290" s="23"/>
      <c r="F1290" s="23"/>
      <c r="G1290" s="23"/>
      <c r="H1290" s="23"/>
      <c r="I1290" s="23"/>
      <c r="J1290" s="23"/>
      <c r="K1290" s="23"/>
      <c r="L1290" s="23"/>
      <c r="M1290" s="23"/>
      <c r="N1290" s="23"/>
      <c r="O1290" s="23"/>
      <c r="P1290" s="23"/>
      <c r="Q1290" s="23"/>
      <c r="R1290" s="23"/>
      <c r="S1290" s="23"/>
      <c r="T1290" s="23"/>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c r="AV1290" s="22"/>
      <c r="AW1290" s="22"/>
      <c r="AX1290" s="22"/>
    </row>
    <row r="1291" spans="1:50" x14ac:dyDescent="0.35">
      <c r="A1291" s="23"/>
      <c r="B1291" s="23"/>
      <c r="C1291" s="23"/>
      <c r="D1291" s="23"/>
      <c r="E1291" s="23"/>
      <c r="F1291" s="23"/>
      <c r="G1291" s="23"/>
      <c r="H1291" s="23"/>
      <c r="I1291" s="23"/>
      <c r="J1291" s="23"/>
      <c r="K1291" s="23"/>
      <c r="L1291" s="23"/>
      <c r="M1291" s="23"/>
      <c r="N1291" s="23"/>
      <c r="O1291" s="23"/>
      <c r="P1291" s="23"/>
      <c r="Q1291" s="23"/>
      <c r="R1291" s="23"/>
      <c r="S1291" s="23"/>
      <c r="T1291" s="23"/>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c r="AV1291" s="22"/>
      <c r="AW1291" s="22"/>
      <c r="AX1291" s="22"/>
    </row>
    <row r="1292" spans="1:50" x14ac:dyDescent="0.35">
      <c r="A1292" s="23"/>
      <c r="B1292" s="23"/>
      <c r="C1292" s="23"/>
      <c r="D1292" s="23"/>
      <c r="E1292" s="23"/>
      <c r="F1292" s="23"/>
      <c r="G1292" s="23"/>
      <c r="H1292" s="23"/>
      <c r="I1292" s="23"/>
      <c r="J1292" s="23"/>
      <c r="K1292" s="23"/>
      <c r="L1292" s="23"/>
      <c r="M1292" s="23"/>
      <c r="N1292" s="23"/>
      <c r="O1292" s="23"/>
      <c r="P1292" s="23"/>
      <c r="Q1292" s="23"/>
      <c r="R1292" s="23"/>
      <c r="S1292" s="23"/>
      <c r="T1292" s="23"/>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c r="AV1292" s="22"/>
      <c r="AW1292" s="22"/>
      <c r="AX1292" s="22"/>
    </row>
    <row r="1293" spans="1:50" x14ac:dyDescent="0.35">
      <c r="A1293" s="23"/>
      <c r="B1293" s="23"/>
      <c r="C1293" s="23"/>
      <c r="D1293" s="23"/>
      <c r="E1293" s="23"/>
      <c r="F1293" s="23"/>
      <c r="G1293" s="23"/>
      <c r="H1293" s="23"/>
      <c r="I1293" s="23"/>
      <c r="J1293" s="23"/>
      <c r="K1293" s="23"/>
      <c r="L1293" s="23"/>
      <c r="M1293" s="23"/>
      <c r="N1293" s="23"/>
      <c r="O1293" s="23"/>
      <c r="P1293" s="23"/>
      <c r="Q1293" s="23"/>
      <c r="R1293" s="23"/>
      <c r="S1293" s="23"/>
      <c r="T1293" s="23"/>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c r="AV1293" s="22"/>
      <c r="AW1293" s="22"/>
      <c r="AX1293" s="22"/>
    </row>
    <row r="1294" spans="1:50" x14ac:dyDescent="0.35">
      <c r="A1294" s="23"/>
      <c r="B1294" s="23"/>
      <c r="C1294" s="23"/>
      <c r="D1294" s="23"/>
      <c r="E1294" s="23"/>
      <c r="F1294" s="23"/>
      <c r="G1294" s="23"/>
      <c r="H1294" s="23"/>
      <c r="I1294" s="23"/>
      <c r="J1294" s="23"/>
      <c r="K1294" s="23"/>
      <c r="L1294" s="23"/>
      <c r="M1294" s="23"/>
      <c r="N1294" s="23"/>
      <c r="O1294" s="23"/>
      <c r="P1294" s="23"/>
      <c r="Q1294" s="23"/>
      <c r="R1294" s="23"/>
      <c r="S1294" s="23"/>
      <c r="T1294" s="23"/>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c r="AV1294" s="22"/>
      <c r="AW1294" s="22"/>
      <c r="AX1294" s="22"/>
    </row>
    <row r="1295" spans="1:50" x14ac:dyDescent="0.35">
      <c r="A1295" s="23"/>
      <c r="B1295" s="23"/>
      <c r="C1295" s="23"/>
      <c r="D1295" s="23"/>
      <c r="E1295" s="23"/>
      <c r="F1295" s="23"/>
      <c r="G1295" s="23"/>
      <c r="H1295" s="23"/>
      <c r="I1295" s="23"/>
      <c r="J1295" s="23"/>
      <c r="K1295" s="23"/>
      <c r="L1295" s="23"/>
      <c r="M1295" s="23"/>
      <c r="N1295" s="23"/>
      <c r="O1295" s="23"/>
      <c r="P1295" s="23"/>
      <c r="Q1295" s="23"/>
      <c r="R1295" s="23"/>
      <c r="S1295" s="23"/>
      <c r="T1295" s="23"/>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c r="AV1295" s="22"/>
      <c r="AW1295" s="22"/>
      <c r="AX1295" s="22"/>
    </row>
    <row r="1296" spans="1:50" x14ac:dyDescent="0.35">
      <c r="A1296" s="23"/>
      <c r="B1296" s="23"/>
      <c r="C1296" s="23"/>
      <c r="D1296" s="23"/>
      <c r="E1296" s="23"/>
      <c r="F1296" s="23"/>
      <c r="G1296" s="23"/>
      <c r="H1296" s="23"/>
      <c r="I1296" s="23"/>
      <c r="J1296" s="23"/>
      <c r="K1296" s="23"/>
      <c r="L1296" s="23"/>
      <c r="M1296" s="23"/>
      <c r="N1296" s="23"/>
      <c r="O1296" s="23"/>
      <c r="P1296" s="23"/>
      <c r="Q1296" s="23"/>
      <c r="R1296" s="23"/>
      <c r="S1296" s="23"/>
      <c r="T1296" s="23"/>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c r="AV1296" s="22"/>
      <c r="AW1296" s="22"/>
      <c r="AX1296" s="22"/>
    </row>
    <row r="1297" spans="1:50" x14ac:dyDescent="0.35">
      <c r="A1297" s="23"/>
      <c r="B1297" s="23"/>
      <c r="C1297" s="23"/>
      <c r="D1297" s="23"/>
      <c r="E1297" s="23"/>
      <c r="F1297" s="23"/>
      <c r="G1297" s="23"/>
      <c r="H1297" s="23"/>
      <c r="I1297" s="23"/>
      <c r="J1297" s="23"/>
      <c r="K1297" s="23"/>
      <c r="L1297" s="23"/>
      <c r="M1297" s="23"/>
      <c r="N1297" s="23"/>
      <c r="O1297" s="23"/>
      <c r="P1297" s="23"/>
      <c r="Q1297" s="23"/>
      <c r="R1297" s="23"/>
      <c r="S1297" s="23"/>
      <c r="T1297" s="23"/>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c r="AV1297" s="22"/>
      <c r="AW1297" s="22"/>
      <c r="AX1297" s="22"/>
    </row>
    <row r="1298" spans="1:50" x14ac:dyDescent="0.35">
      <c r="A1298" s="23"/>
      <c r="B1298" s="23"/>
      <c r="C1298" s="23"/>
      <c r="D1298" s="23"/>
      <c r="E1298" s="23"/>
      <c r="F1298" s="23"/>
      <c r="G1298" s="23"/>
      <c r="H1298" s="23"/>
      <c r="I1298" s="23"/>
      <c r="J1298" s="23"/>
      <c r="K1298" s="23"/>
      <c r="L1298" s="23"/>
      <c r="M1298" s="23"/>
      <c r="N1298" s="23"/>
      <c r="O1298" s="23"/>
      <c r="P1298" s="23"/>
      <c r="Q1298" s="23"/>
      <c r="R1298" s="23"/>
      <c r="S1298" s="23"/>
      <c r="T1298" s="23"/>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c r="AV1298" s="22"/>
      <c r="AW1298" s="22"/>
      <c r="AX1298" s="22"/>
    </row>
    <row r="1299" spans="1:50" x14ac:dyDescent="0.35">
      <c r="A1299" s="23"/>
      <c r="B1299" s="23"/>
      <c r="C1299" s="23"/>
      <c r="D1299" s="23"/>
      <c r="E1299" s="23"/>
      <c r="F1299" s="23"/>
      <c r="G1299" s="23"/>
      <c r="H1299" s="23"/>
      <c r="I1299" s="23"/>
      <c r="J1299" s="23"/>
      <c r="K1299" s="23"/>
      <c r="L1299" s="23"/>
      <c r="M1299" s="23"/>
      <c r="N1299" s="23"/>
      <c r="O1299" s="23"/>
      <c r="P1299" s="23"/>
      <c r="Q1299" s="23"/>
      <c r="R1299" s="23"/>
      <c r="S1299" s="23"/>
      <c r="T1299" s="23"/>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c r="AV1299" s="22"/>
      <c r="AW1299" s="22"/>
      <c r="AX1299" s="22"/>
    </row>
    <row r="1300" spans="1:50" x14ac:dyDescent="0.35">
      <c r="A1300" s="23"/>
      <c r="B1300" s="23"/>
      <c r="C1300" s="23"/>
      <c r="D1300" s="23"/>
      <c r="E1300" s="23"/>
      <c r="F1300" s="23"/>
      <c r="G1300" s="23"/>
      <c r="H1300" s="23"/>
      <c r="I1300" s="23"/>
      <c r="J1300" s="23"/>
      <c r="K1300" s="23"/>
      <c r="L1300" s="23"/>
      <c r="M1300" s="23"/>
      <c r="N1300" s="23"/>
      <c r="O1300" s="23"/>
      <c r="P1300" s="23"/>
      <c r="Q1300" s="23"/>
      <c r="R1300" s="23"/>
      <c r="S1300" s="23"/>
      <c r="T1300" s="23"/>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c r="AV1300" s="22"/>
      <c r="AW1300" s="22"/>
      <c r="AX1300" s="22"/>
    </row>
    <row r="1301" spans="1:50" x14ac:dyDescent="0.35">
      <c r="A1301" s="23"/>
      <c r="B1301" s="23"/>
      <c r="C1301" s="23"/>
      <c r="D1301" s="23"/>
      <c r="E1301" s="23"/>
      <c r="F1301" s="23"/>
      <c r="G1301" s="23"/>
      <c r="H1301" s="23"/>
      <c r="I1301" s="23"/>
      <c r="J1301" s="23"/>
      <c r="K1301" s="23"/>
      <c r="L1301" s="23"/>
      <c r="M1301" s="23"/>
      <c r="N1301" s="23"/>
      <c r="O1301" s="23"/>
      <c r="P1301" s="23"/>
      <c r="Q1301" s="23"/>
      <c r="R1301" s="23"/>
      <c r="S1301" s="23"/>
      <c r="T1301" s="23"/>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c r="AV1301" s="22"/>
      <c r="AW1301" s="22"/>
      <c r="AX1301" s="22"/>
    </row>
    <row r="1302" spans="1:50" x14ac:dyDescent="0.35">
      <c r="A1302" s="23"/>
      <c r="B1302" s="23"/>
      <c r="C1302" s="23"/>
      <c r="D1302" s="23"/>
      <c r="E1302" s="23"/>
      <c r="F1302" s="23"/>
      <c r="G1302" s="23"/>
      <c r="H1302" s="23"/>
      <c r="I1302" s="23"/>
      <c r="J1302" s="23"/>
      <c r="K1302" s="23"/>
      <c r="L1302" s="23"/>
      <c r="M1302" s="23"/>
      <c r="N1302" s="23"/>
      <c r="O1302" s="23"/>
      <c r="P1302" s="23"/>
      <c r="Q1302" s="23"/>
      <c r="R1302" s="23"/>
      <c r="S1302" s="23"/>
      <c r="T1302" s="23"/>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c r="AV1302" s="22"/>
      <c r="AW1302" s="22"/>
      <c r="AX1302" s="22"/>
    </row>
    <row r="1303" spans="1:50" x14ac:dyDescent="0.35">
      <c r="A1303" s="23"/>
      <c r="B1303" s="23"/>
      <c r="C1303" s="23"/>
      <c r="D1303" s="23"/>
      <c r="E1303" s="23"/>
      <c r="F1303" s="23"/>
      <c r="G1303" s="23"/>
      <c r="H1303" s="23"/>
      <c r="I1303" s="23"/>
      <c r="J1303" s="23"/>
      <c r="K1303" s="23"/>
      <c r="L1303" s="23"/>
      <c r="M1303" s="23"/>
      <c r="N1303" s="23"/>
      <c r="O1303" s="23"/>
      <c r="P1303" s="23"/>
      <c r="Q1303" s="23"/>
      <c r="R1303" s="23"/>
      <c r="S1303" s="23"/>
      <c r="T1303" s="23"/>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c r="AV1303" s="22"/>
      <c r="AW1303" s="22"/>
      <c r="AX1303" s="22"/>
    </row>
    <row r="1304" spans="1:50" x14ac:dyDescent="0.35">
      <c r="A1304" s="23"/>
      <c r="B1304" s="23"/>
      <c r="C1304" s="23"/>
      <c r="D1304" s="23"/>
      <c r="E1304" s="23"/>
      <c r="F1304" s="23"/>
      <c r="G1304" s="23"/>
      <c r="H1304" s="23"/>
      <c r="I1304" s="23"/>
      <c r="J1304" s="23"/>
      <c r="K1304" s="23"/>
      <c r="L1304" s="23"/>
      <c r="M1304" s="23"/>
      <c r="N1304" s="23"/>
      <c r="O1304" s="23"/>
      <c r="P1304" s="23"/>
      <c r="Q1304" s="23"/>
      <c r="R1304" s="23"/>
      <c r="S1304" s="23"/>
      <c r="T1304" s="23"/>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c r="AV1304" s="22"/>
      <c r="AW1304" s="22"/>
      <c r="AX1304" s="22"/>
    </row>
    <row r="1305" spans="1:50" x14ac:dyDescent="0.35">
      <c r="A1305" s="23"/>
      <c r="B1305" s="23"/>
      <c r="C1305" s="23"/>
      <c r="D1305" s="23"/>
      <c r="E1305" s="23"/>
      <c r="F1305" s="23"/>
      <c r="G1305" s="23"/>
      <c r="H1305" s="23"/>
      <c r="I1305" s="23"/>
      <c r="J1305" s="23"/>
      <c r="K1305" s="23"/>
      <c r="L1305" s="23"/>
      <c r="M1305" s="23"/>
      <c r="N1305" s="23"/>
      <c r="O1305" s="23"/>
      <c r="P1305" s="23"/>
      <c r="Q1305" s="23"/>
      <c r="R1305" s="23"/>
      <c r="S1305" s="23"/>
      <c r="T1305" s="23"/>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c r="AV1305" s="22"/>
      <c r="AW1305" s="22"/>
      <c r="AX1305" s="22"/>
    </row>
    <row r="1306" spans="1:50" x14ac:dyDescent="0.35">
      <c r="A1306" s="23"/>
      <c r="B1306" s="23"/>
      <c r="C1306" s="23"/>
      <c r="D1306" s="23"/>
      <c r="E1306" s="23"/>
      <c r="F1306" s="23"/>
      <c r="G1306" s="23"/>
      <c r="H1306" s="23"/>
      <c r="I1306" s="23"/>
      <c r="J1306" s="23"/>
      <c r="K1306" s="23"/>
      <c r="L1306" s="23"/>
      <c r="M1306" s="23"/>
      <c r="N1306" s="23"/>
      <c r="O1306" s="23"/>
      <c r="P1306" s="23"/>
      <c r="Q1306" s="23"/>
      <c r="R1306" s="23"/>
      <c r="S1306" s="23"/>
      <c r="T1306" s="23"/>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c r="AV1306" s="22"/>
      <c r="AW1306" s="22"/>
      <c r="AX1306" s="22"/>
    </row>
    <row r="1307" spans="1:50" x14ac:dyDescent="0.35">
      <c r="A1307" s="23"/>
      <c r="B1307" s="23"/>
      <c r="C1307" s="23"/>
      <c r="D1307" s="23"/>
      <c r="E1307" s="23"/>
      <c r="F1307" s="23"/>
      <c r="G1307" s="23"/>
      <c r="H1307" s="23"/>
      <c r="I1307" s="23"/>
      <c r="J1307" s="23"/>
      <c r="K1307" s="23"/>
      <c r="L1307" s="23"/>
      <c r="M1307" s="23"/>
      <c r="N1307" s="23"/>
      <c r="O1307" s="23"/>
      <c r="P1307" s="23"/>
      <c r="Q1307" s="23"/>
      <c r="R1307" s="23"/>
      <c r="S1307" s="23"/>
      <c r="T1307" s="23"/>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c r="AV1307" s="22"/>
      <c r="AW1307" s="22"/>
      <c r="AX1307" s="22"/>
    </row>
    <row r="1308" spans="1:50" x14ac:dyDescent="0.35">
      <c r="A1308" s="23"/>
      <c r="B1308" s="23"/>
      <c r="C1308" s="23"/>
      <c r="D1308" s="23"/>
      <c r="E1308" s="23"/>
      <c r="F1308" s="23"/>
      <c r="G1308" s="23"/>
      <c r="H1308" s="23"/>
      <c r="I1308" s="23"/>
      <c r="J1308" s="23"/>
      <c r="K1308" s="23"/>
      <c r="L1308" s="23"/>
      <c r="M1308" s="23"/>
      <c r="N1308" s="23"/>
      <c r="O1308" s="23"/>
      <c r="P1308" s="23"/>
      <c r="Q1308" s="23"/>
      <c r="R1308" s="23"/>
      <c r="S1308" s="23"/>
      <c r="T1308" s="23"/>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c r="AV1308" s="22"/>
      <c r="AW1308" s="22"/>
      <c r="AX1308" s="22"/>
    </row>
    <row r="1309" spans="1:50" x14ac:dyDescent="0.35">
      <c r="A1309" s="23"/>
      <c r="B1309" s="23"/>
      <c r="C1309" s="23"/>
      <c r="D1309" s="23"/>
      <c r="E1309" s="23"/>
      <c r="F1309" s="23"/>
      <c r="G1309" s="23"/>
      <c r="H1309" s="23"/>
      <c r="I1309" s="23"/>
      <c r="J1309" s="23"/>
      <c r="K1309" s="23"/>
      <c r="L1309" s="23"/>
      <c r="M1309" s="23"/>
      <c r="N1309" s="23"/>
      <c r="O1309" s="23"/>
      <c r="P1309" s="23"/>
      <c r="Q1309" s="23"/>
      <c r="R1309" s="23"/>
      <c r="S1309" s="23"/>
      <c r="T1309" s="23"/>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c r="AV1309" s="22"/>
      <c r="AW1309" s="22"/>
      <c r="AX1309" s="22"/>
    </row>
    <row r="1310" spans="1:50" x14ac:dyDescent="0.35">
      <c r="A1310" s="23"/>
      <c r="B1310" s="23"/>
      <c r="C1310" s="23"/>
      <c r="D1310" s="23"/>
      <c r="E1310" s="23"/>
      <c r="F1310" s="23"/>
      <c r="G1310" s="23"/>
      <c r="H1310" s="23"/>
      <c r="I1310" s="23"/>
      <c r="J1310" s="23"/>
      <c r="K1310" s="23"/>
      <c r="L1310" s="23"/>
      <c r="M1310" s="23"/>
      <c r="N1310" s="23"/>
      <c r="O1310" s="23"/>
      <c r="P1310" s="23"/>
      <c r="Q1310" s="23"/>
      <c r="R1310" s="23"/>
      <c r="S1310" s="23"/>
      <c r="T1310" s="23"/>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c r="AV1310" s="22"/>
      <c r="AW1310" s="22"/>
      <c r="AX1310" s="22"/>
    </row>
    <row r="1311" spans="1:50" x14ac:dyDescent="0.35">
      <c r="A1311" s="23"/>
      <c r="B1311" s="23"/>
      <c r="C1311" s="23"/>
      <c r="D1311" s="23"/>
      <c r="E1311" s="23"/>
      <c r="F1311" s="23"/>
      <c r="G1311" s="23"/>
      <c r="H1311" s="23"/>
      <c r="I1311" s="23"/>
      <c r="J1311" s="23"/>
      <c r="K1311" s="23"/>
      <c r="L1311" s="23"/>
      <c r="M1311" s="23"/>
      <c r="N1311" s="23"/>
      <c r="O1311" s="23"/>
      <c r="P1311" s="23"/>
      <c r="Q1311" s="23"/>
      <c r="R1311" s="23"/>
      <c r="S1311" s="23"/>
      <c r="T1311" s="23"/>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c r="AV1311" s="22"/>
      <c r="AW1311" s="22"/>
      <c r="AX1311" s="22"/>
    </row>
    <row r="1312" spans="1:50" x14ac:dyDescent="0.35">
      <c r="A1312" s="23"/>
      <c r="B1312" s="23"/>
      <c r="C1312" s="23"/>
      <c r="D1312" s="23"/>
      <c r="E1312" s="23"/>
      <c r="F1312" s="23"/>
      <c r="G1312" s="23"/>
      <c r="H1312" s="23"/>
      <c r="I1312" s="23"/>
      <c r="J1312" s="23"/>
      <c r="K1312" s="23"/>
      <c r="L1312" s="23"/>
      <c r="M1312" s="23"/>
      <c r="N1312" s="23"/>
      <c r="O1312" s="23"/>
      <c r="P1312" s="23"/>
      <c r="Q1312" s="23"/>
      <c r="R1312" s="23"/>
      <c r="S1312" s="23"/>
      <c r="T1312" s="23"/>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c r="AV1312" s="22"/>
      <c r="AW1312" s="22"/>
      <c r="AX1312" s="22"/>
    </row>
    <row r="1313" spans="1:50" x14ac:dyDescent="0.35">
      <c r="A1313" s="23"/>
      <c r="B1313" s="23"/>
      <c r="C1313" s="23"/>
      <c r="D1313" s="23"/>
      <c r="E1313" s="23"/>
      <c r="F1313" s="23"/>
      <c r="G1313" s="23"/>
      <c r="H1313" s="23"/>
      <c r="I1313" s="23"/>
      <c r="J1313" s="23"/>
      <c r="K1313" s="23"/>
      <c r="L1313" s="23"/>
      <c r="M1313" s="23"/>
      <c r="N1313" s="23"/>
      <c r="O1313" s="23"/>
      <c r="P1313" s="23"/>
      <c r="Q1313" s="23"/>
      <c r="R1313" s="23"/>
      <c r="S1313" s="23"/>
      <c r="T1313" s="23"/>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c r="AV1313" s="22"/>
      <c r="AW1313" s="22"/>
      <c r="AX1313" s="22"/>
    </row>
    <row r="1314" spans="1:50" x14ac:dyDescent="0.35">
      <c r="A1314" s="23"/>
      <c r="B1314" s="23"/>
      <c r="C1314" s="23"/>
      <c r="D1314" s="23"/>
      <c r="E1314" s="23"/>
      <c r="F1314" s="23"/>
      <c r="G1314" s="23"/>
      <c r="H1314" s="23"/>
      <c r="I1314" s="23"/>
      <c r="J1314" s="23"/>
      <c r="K1314" s="23"/>
      <c r="L1314" s="23"/>
      <c r="M1314" s="23"/>
      <c r="N1314" s="23"/>
      <c r="O1314" s="23"/>
      <c r="P1314" s="23"/>
      <c r="Q1314" s="23"/>
      <c r="R1314" s="23"/>
      <c r="S1314" s="23"/>
      <c r="T1314" s="23"/>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c r="AV1314" s="22"/>
      <c r="AW1314" s="22"/>
      <c r="AX1314" s="22"/>
    </row>
    <row r="1315" spans="1:50" x14ac:dyDescent="0.35">
      <c r="A1315" s="23"/>
      <c r="B1315" s="23"/>
      <c r="C1315" s="23"/>
      <c r="D1315" s="23"/>
      <c r="E1315" s="23"/>
      <c r="F1315" s="23"/>
      <c r="G1315" s="23"/>
      <c r="H1315" s="23"/>
      <c r="I1315" s="23"/>
      <c r="J1315" s="23"/>
      <c r="K1315" s="23"/>
      <c r="L1315" s="23"/>
      <c r="M1315" s="23"/>
      <c r="N1315" s="23"/>
      <c r="O1315" s="23"/>
      <c r="P1315" s="23"/>
      <c r="Q1315" s="23"/>
      <c r="R1315" s="23"/>
      <c r="S1315" s="23"/>
      <c r="T1315" s="23"/>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c r="AV1315" s="22"/>
      <c r="AW1315" s="22"/>
      <c r="AX1315" s="22"/>
    </row>
    <row r="1316" spans="1:50" x14ac:dyDescent="0.35">
      <c r="A1316" s="23"/>
      <c r="B1316" s="23"/>
      <c r="C1316" s="23"/>
      <c r="D1316" s="23"/>
      <c r="E1316" s="23"/>
      <c r="F1316" s="23"/>
      <c r="G1316" s="23"/>
      <c r="H1316" s="23"/>
      <c r="I1316" s="23"/>
      <c r="J1316" s="23"/>
      <c r="K1316" s="23"/>
      <c r="L1316" s="23"/>
      <c r="M1316" s="23"/>
      <c r="N1316" s="23"/>
      <c r="O1316" s="23"/>
      <c r="P1316" s="23"/>
      <c r="Q1316" s="23"/>
      <c r="R1316" s="23"/>
      <c r="S1316" s="23"/>
      <c r="T1316" s="23"/>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c r="AV1316" s="22"/>
      <c r="AW1316" s="22"/>
      <c r="AX1316" s="22"/>
    </row>
    <row r="1317" spans="1:50" x14ac:dyDescent="0.35">
      <c r="A1317" s="23"/>
      <c r="B1317" s="23"/>
      <c r="C1317" s="23"/>
      <c r="D1317" s="23"/>
      <c r="E1317" s="23"/>
      <c r="F1317" s="23"/>
      <c r="G1317" s="23"/>
      <c r="H1317" s="23"/>
      <c r="I1317" s="23"/>
      <c r="J1317" s="23"/>
      <c r="K1317" s="23"/>
      <c r="L1317" s="23"/>
      <c r="M1317" s="23"/>
      <c r="N1317" s="23"/>
      <c r="O1317" s="23"/>
      <c r="P1317" s="23"/>
      <c r="Q1317" s="23"/>
      <c r="R1317" s="23"/>
      <c r="S1317" s="23"/>
      <c r="T1317" s="23"/>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c r="AV1317" s="22"/>
      <c r="AW1317" s="22"/>
      <c r="AX1317" s="22"/>
    </row>
    <row r="1318" spans="1:50" x14ac:dyDescent="0.35">
      <c r="A1318" s="23"/>
      <c r="B1318" s="23"/>
      <c r="C1318" s="23"/>
      <c r="D1318" s="23"/>
      <c r="E1318" s="23"/>
      <c r="F1318" s="23"/>
      <c r="G1318" s="23"/>
      <c r="H1318" s="23"/>
      <c r="I1318" s="23"/>
      <c r="J1318" s="23"/>
      <c r="K1318" s="23"/>
      <c r="L1318" s="23"/>
      <c r="M1318" s="23"/>
      <c r="N1318" s="23"/>
      <c r="O1318" s="23"/>
      <c r="P1318" s="23"/>
      <c r="Q1318" s="23"/>
      <c r="R1318" s="23"/>
      <c r="S1318" s="23"/>
      <c r="T1318" s="23"/>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c r="AV1318" s="22"/>
      <c r="AW1318" s="22"/>
      <c r="AX1318" s="22"/>
    </row>
    <row r="1319" spans="1:50" x14ac:dyDescent="0.35">
      <c r="A1319" s="23"/>
      <c r="B1319" s="23"/>
      <c r="C1319" s="23"/>
      <c r="D1319" s="23"/>
      <c r="E1319" s="23"/>
      <c r="F1319" s="23"/>
      <c r="G1319" s="23"/>
      <c r="H1319" s="23"/>
      <c r="I1319" s="23"/>
      <c r="J1319" s="23"/>
      <c r="K1319" s="23"/>
      <c r="L1319" s="23"/>
      <c r="M1319" s="23"/>
      <c r="N1319" s="23"/>
      <c r="O1319" s="23"/>
      <c r="P1319" s="23"/>
      <c r="Q1319" s="23"/>
      <c r="R1319" s="23"/>
      <c r="S1319" s="23"/>
      <c r="T1319" s="23"/>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c r="AV1319" s="22"/>
      <c r="AW1319" s="22"/>
      <c r="AX1319" s="22"/>
    </row>
    <row r="1320" spans="1:50" x14ac:dyDescent="0.35">
      <c r="A1320" s="23"/>
      <c r="B1320" s="23"/>
      <c r="C1320" s="23"/>
      <c r="D1320" s="23"/>
      <c r="E1320" s="23"/>
      <c r="F1320" s="23"/>
      <c r="G1320" s="23"/>
      <c r="H1320" s="23"/>
      <c r="I1320" s="23"/>
      <c r="J1320" s="23"/>
      <c r="K1320" s="23"/>
      <c r="L1320" s="23"/>
      <c r="M1320" s="23"/>
      <c r="N1320" s="23"/>
      <c r="O1320" s="23"/>
      <c r="P1320" s="23"/>
      <c r="Q1320" s="23"/>
      <c r="R1320" s="23"/>
      <c r="S1320" s="23"/>
      <c r="T1320" s="23"/>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c r="AV1320" s="22"/>
      <c r="AW1320" s="22"/>
      <c r="AX1320" s="22"/>
    </row>
    <row r="1321" spans="1:50" x14ac:dyDescent="0.35">
      <c r="A1321" s="23"/>
      <c r="B1321" s="23"/>
      <c r="C1321" s="23"/>
      <c r="D1321" s="23"/>
      <c r="E1321" s="23"/>
      <c r="F1321" s="23"/>
      <c r="G1321" s="23"/>
      <c r="H1321" s="23"/>
      <c r="I1321" s="23"/>
      <c r="J1321" s="23"/>
      <c r="K1321" s="23"/>
      <c r="L1321" s="23"/>
      <c r="M1321" s="23"/>
      <c r="N1321" s="23"/>
      <c r="O1321" s="23"/>
      <c r="P1321" s="23"/>
      <c r="Q1321" s="23"/>
      <c r="R1321" s="23"/>
      <c r="S1321" s="23"/>
      <c r="T1321" s="23"/>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c r="AV1321" s="22"/>
      <c r="AW1321" s="22"/>
      <c r="AX1321" s="22"/>
    </row>
    <row r="1322" spans="1:50" x14ac:dyDescent="0.35">
      <c r="A1322" s="23"/>
      <c r="B1322" s="23"/>
      <c r="C1322" s="23"/>
      <c r="D1322" s="23"/>
      <c r="E1322" s="23"/>
      <c r="F1322" s="23"/>
      <c r="G1322" s="23"/>
      <c r="H1322" s="23"/>
      <c r="I1322" s="23"/>
      <c r="J1322" s="23"/>
      <c r="K1322" s="23"/>
      <c r="L1322" s="23"/>
      <c r="M1322" s="23"/>
      <c r="N1322" s="23"/>
      <c r="O1322" s="23"/>
      <c r="P1322" s="23"/>
      <c r="Q1322" s="23"/>
      <c r="R1322" s="23"/>
      <c r="S1322" s="23"/>
      <c r="T1322" s="23"/>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c r="AV1322" s="22"/>
      <c r="AW1322" s="22"/>
      <c r="AX1322" s="22"/>
    </row>
    <row r="1323" spans="1:50" x14ac:dyDescent="0.35">
      <c r="A1323" s="23"/>
      <c r="B1323" s="23"/>
      <c r="C1323" s="23"/>
      <c r="D1323" s="23"/>
      <c r="E1323" s="23"/>
      <c r="F1323" s="23"/>
      <c r="G1323" s="23"/>
      <c r="H1323" s="23"/>
      <c r="I1323" s="23"/>
      <c r="J1323" s="23"/>
      <c r="K1323" s="23"/>
      <c r="L1323" s="23"/>
      <c r="M1323" s="23"/>
      <c r="N1323" s="23"/>
      <c r="O1323" s="23"/>
      <c r="P1323" s="23"/>
      <c r="Q1323" s="23"/>
      <c r="R1323" s="23"/>
      <c r="S1323" s="23"/>
      <c r="T1323" s="23"/>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c r="AV1323" s="22"/>
      <c r="AW1323" s="22"/>
      <c r="AX1323" s="22"/>
    </row>
    <row r="1324" spans="1:50" x14ac:dyDescent="0.35">
      <c r="A1324" s="23"/>
      <c r="B1324" s="23"/>
      <c r="C1324" s="23"/>
      <c r="D1324" s="23"/>
      <c r="E1324" s="23"/>
      <c r="F1324" s="23"/>
      <c r="G1324" s="23"/>
      <c r="H1324" s="23"/>
      <c r="I1324" s="23"/>
      <c r="J1324" s="23"/>
      <c r="K1324" s="23"/>
      <c r="L1324" s="23"/>
      <c r="M1324" s="23"/>
      <c r="N1324" s="23"/>
      <c r="O1324" s="23"/>
      <c r="P1324" s="23"/>
      <c r="Q1324" s="23"/>
      <c r="R1324" s="23"/>
      <c r="S1324" s="23"/>
      <c r="T1324" s="23"/>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c r="AV1324" s="22"/>
      <c r="AW1324" s="22"/>
      <c r="AX1324" s="22"/>
    </row>
    <row r="1325" spans="1:50" x14ac:dyDescent="0.35">
      <c r="A1325" s="23"/>
      <c r="B1325" s="23"/>
      <c r="C1325" s="23"/>
      <c r="D1325" s="23"/>
      <c r="E1325" s="23"/>
      <c r="F1325" s="23"/>
      <c r="G1325" s="23"/>
      <c r="H1325" s="23"/>
      <c r="I1325" s="23"/>
      <c r="J1325" s="23"/>
      <c r="K1325" s="23"/>
      <c r="L1325" s="23"/>
      <c r="M1325" s="23"/>
      <c r="N1325" s="23"/>
      <c r="O1325" s="23"/>
      <c r="P1325" s="23"/>
      <c r="Q1325" s="23"/>
      <c r="R1325" s="23"/>
      <c r="S1325" s="23"/>
      <c r="T1325" s="23"/>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c r="AV1325" s="22"/>
      <c r="AW1325" s="22"/>
      <c r="AX1325" s="22"/>
    </row>
    <row r="1326" spans="1:50" x14ac:dyDescent="0.35">
      <c r="A1326" s="23"/>
      <c r="B1326" s="23"/>
      <c r="C1326" s="23"/>
      <c r="D1326" s="23"/>
      <c r="E1326" s="23"/>
      <c r="F1326" s="23"/>
      <c r="G1326" s="23"/>
      <c r="H1326" s="23"/>
      <c r="I1326" s="23"/>
      <c r="J1326" s="23"/>
      <c r="K1326" s="23"/>
      <c r="L1326" s="23"/>
      <c r="M1326" s="23"/>
      <c r="N1326" s="23"/>
      <c r="O1326" s="23"/>
      <c r="P1326" s="23"/>
      <c r="Q1326" s="23"/>
      <c r="R1326" s="23"/>
      <c r="S1326" s="23"/>
      <c r="T1326" s="23"/>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c r="AV1326" s="22"/>
      <c r="AW1326" s="22"/>
      <c r="AX1326" s="22"/>
    </row>
    <row r="1327" spans="1:50" x14ac:dyDescent="0.35">
      <c r="A1327" s="23"/>
      <c r="B1327" s="23"/>
      <c r="C1327" s="23"/>
      <c r="D1327" s="23"/>
      <c r="E1327" s="23"/>
      <c r="F1327" s="23"/>
      <c r="G1327" s="23"/>
      <c r="H1327" s="23"/>
      <c r="I1327" s="23"/>
      <c r="J1327" s="23"/>
      <c r="K1327" s="23"/>
      <c r="L1327" s="23"/>
      <c r="M1327" s="23"/>
      <c r="N1327" s="23"/>
      <c r="O1327" s="23"/>
      <c r="P1327" s="23"/>
      <c r="Q1327" s="23"/>
      <c r="R1327" s="23"/>
      <c r="S1327" s="23"/>
      <c r="T1327" s="23"/>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c r="AV1327" s="22"/>
      <c r="AW1327" s="22"/>
      <c r="AX1327" s="22"/>
    </row>
    <row r="1328" spans="1:50" x14ac:dyDescent="0.35">
      <c r="A1328" s="23"/>
      <c r="B1328" s="23"/>
      <c r="C1328" s="23"/>
      <c r="D1328" s="23"/>
      <c r="E1328" s="23"/>
      <c r="F1328" s="23"/>
      <c r="G1328" s="23"/>
      <c r="H1328" s="23"/>
      <c r="I1328" s="23"/>
      <c r="J1328" s="23"/>
      <c r="K1328" s="23"/>
      <c r="L1328" s="23"/>
      <c r="M1328" s="23"/>
      <c r="N1328" s="23"/>
      <c r="O1328" s="23"/>
      <c r="P1328" s="23"/>
      <c r="Q1328" s="23"/>
      <c r="R1328" s="23"/>
      <c r="S1328" s="23"/>
      <c r="T1328" s="23"/>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c r="AV1328" s="22"/>
      <c r="AW1328" s="22"/>
      <c r="AX1328" s="22"/>
    </row>
    <row r="1329" spans="1:50" x14ac:dyDescent="0.35">
      <c r="A1329" s="23"/>
      <c r="B1329" s="23"/>
      <c r="C1329" s="23"/>
      <c r="D1329" s="23"/>
      <c r="E1329" s="23"/>
      <c r="F1329" s="23"/>
      <c r="G1329" s="23"/>
      <c r="H1329" s="23"/>
      <c r="I1329" s="23"/>
      <c r="J1329" s="23"/>
      <c r="K1329" s="23"/>
      <c r="L1329" s="23"/>
      <c r="M1329" s="23"/>
      <c r="N1329" s="23"/>
      <c r="O1329" s="23"/>
      <c r="P1329" s="23"/>
      <c r="Q1329" s="23"/>
      <c r="R1329" s="23"/>
      <c r="S1329" s="23"/>
      <c r="T1329" s="23"/>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c r="AV1329" s="22"/>
      <c r="AW1329" s="22"/>
      <c r="AX1329" s="22"/>
    </row>
    <row r="1330" spans="1:50" x14ac:dyDescent="0.35">
      <c r="A1330" s="23"/>
      <c r="B1330" s="23"/>
      <c r="C1330" s="23"/>
      <c r="D1330" s="23"/>
      <c r="E1330" s="23"/>
      <c r="F1330" s="23"/>
      <c r="G1330" s="23"/>
      <c r="H1330" s="23"/>
      <c r="I1330" s="23"/>
      <c r="J1330" s="23"/>
      <c r="K1330" s="23"/>
      <c r="L1330" s="23"/>
      <c r="M1330" s="23"/>
      <c r="N1330" s="23"/>
      <c r="O1330" s="23"/>
      <c r="P1330" s="23"/>
      <c r="Q1330" s="23"/>
      <c r="R1330" s="23"/>
      <c r="S1330" s="23"/>
      <c r="T1330" s="23"/>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c r="AV1330" s="22"/>
      <c r="AW1330" s="22"/>
      <c r="AX1330" s="22"/>
    </row>
    <row r="1331" spans="1:50" x14ac:dyDescent="0.35">
      <c r="A1331" s="23"/>
      <c r="B1331" s="23"/>
      <c r="C1331" s="23"/>
      <c r="D1331" s="23"/>
      <c r="E1331" s="23"/>
      <c r="F1331" s="23"/>
      <c r="G1331" s="23"/>
      <c r="H1331" s="23"/>
      <c r="I1331" s="23"/>
      <c r="J1331" s="23"/>
      <c r="K1331" s="23"/>
      <c r="L1331" s="23"/>
      <c r="M1331" s="23"/>
      <c r="N1331" s="23"/>
      <c r="O1331" s="23"/>
      <c r="P1331" s="23"/>
      <c r="Q1331" s="23"/>
      <c r="R1331" s="23"/>
      <c r="S1331" s="23"/>
      <c r="T1331" s="23"/>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c r="AV1331" s="22"/>
      <c r="AW1331" s="22"/>
      <c r="AX1331" s="22"/>
    </row>
    <row r="1332" spans="1:50" x14ac:dyDescent="0.35">
      <c r="A1332" s="23"/>
      <c r="B1332" s="23"/>
      <c r="C1332" s="23"/>
      <c r="D1332" s="23"/>
      <c r="E1332" s="23"/>
      <c r="F1332" s="23"/>
      <c r="G1332" s="23"/>
      <c r="H1332" s="23"/>
      <c r="I1332" s="23"/>
      <c r="J1332" s="23"/>
      <c r="K1332" s="23"/>
      <c r="L1332" s="23"/>
      <c r="M1332" s="23"/>
      <c r="N1332" s="23"/>
      <c r="O1332" s="23"/>
      <c r="P1332" s="23"/>
      <c r="Q1332" s="23"/>
      <c r="R1332" s="23"/>
      <c r="S1332" s="23"/>
      <c r="T1332" s="23"/>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c r="AV1332" s="22"/>
      <c r="AW1332" s="22"/>
      <c r="AX1332" s="22"/>
    </row>
    <row r="1333" spans="1:50" x14ac:dyDescent="0.35">
      <c r="A1333" s="23"/>
      <c r="B1333" s="23"/>
      <c r="C1333" s="23"/>
      <c r="D1333" s="23"/>
      <c r="E1333" s="23"/>
      <c r="F1333" s="23"/>
      <c r="G1333" s="23"/>
      <c r="H1333" s="23"/>
      <c r="I1333" s="23"/>
      <c r="J1333" s="23"/>
      <c r="K1333" s="23"/>
      <c r="L1333" s="23"/>
      <c r="M1333" s="23"/>
      <c r="N1333" s="23"/>
      <c r="O1333" s="23"/>
      <c r="P1333" s="23"/>
      <c r="Q1333" s="23"/>
      <c r="R1333" s="23"/>
      <c r="S1333" s="23"/>
      <c r="T1333" s="23"/>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c r="AV1333" s="22"/>
      <c r="AW1333" s="22"/>
      <c r="AX1333" s="22"/>
    </row>
    <row r="1334" spans="1:50" x14ac:dyDescent="0.35">
      <c r="A1334" s="23"/>
      <c r="B1334" s="23"/>
      <c r="C1334" s="23"/>
      <c r="D1334" s="23"/>
      <c r="E1334" s="23"/>
      <c r="F1334" s="23"/>
      <c r="G1334" s="23"/>
      <c r="H1334" s="23"/>
      <c r="I1334" s="23"/>
      <c r="J1334" s="23"/>
      <c r="K1334" s="23"/>
      <c r="L1334" s="23"/>
      <c r="M1334" s="23"/>
      <c r="N1334" s="23"/>
      <c r="O1334" s="23"/>
      <c r="P1334" s="23"/>
      <c r="Q1334" s="23"/>
      <c r="R1334" s="23"/>
      <c r="S1334" s="23"/>
      <c r="T1334" s="23"/>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c r="AV1334" s="22"/>
      <c r="AW1334" s="22"/>
      <c r="AX1334" s="22"/>
    </row>
    <row r="1335" spans="1:50" x14ac:dyDescent="0.35">
      <c r="A1335" s="23"/>
      <c r="B1335" s="23"/>
      <c r="C1335" s="23"/>
      <c r="D1335" s="23"/>
      <c r="E1335" s="23"/>
      <c r="F1335" s="23"/>
      <c r="G1335" s="23"/>
      <c r="H1335" s="23"/>
      <c r="I1335" s="23"/>
      <c r="J1335" s="23"/>
      <c r="K1335" s="23"/>
      <c r="L1335" s="23"/>
      <c r="M1335" s="23"/>
      <c r="N1335" s="23"/>
      <c r="O1335" s="23"/>
      <c r="P1335" s="23"/>
      <c r="Q1335" s="23"/>
      <c r="R1335" s="23"/>
      <c r="S1335" s="23"/>
      <c r="T1335" s="23"/>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c r="AV1335" s="22"/>
      <c r="AW1335" s="22"/>
      <c r="AX1335" s="22"/>
    </row>
    <row r="1336" spans="1:50" x14ac:dyDescent="0.35">
      <c r="A1336" s="23"/>
      <c r="B1336" s="23"/>
      <c r="C1336" s="23"/>
      <c r="D1336" s="23"/>
      <c r="E1336" s="23"/>
      <c r="F1336" s="23"/>
      <c r="G1336" s="23"/>
      <c r="H1336" s="23"/>
      <c r="I1336" s="23"/>
      <c r="J1336" s="23"/>
      <c r="K1336" s="23"/>
      <c r="L1336" s="23"/>
      <c r="M1336" s="23"/>
      <c r="N1336" s="23"/>
      <c r="O1336" s="23"/>
      <c r="P1336" s="23"/>
      <c r="Q1336" s="23"/>
      <c r="R1336" s="23"/>
      <c r="S1336" s="23"/>
      <c r="T1336" s="23"/>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c r="AV1336" s="22"/>
      <c r="AW1336" s="22"/>
      <c r="AX1336" s="22"/>
    </row>
    <row r="1337" spans="1:50" x14ac:dyDescent="0.35">
      <c r="A1337" s="23"/>
      <c r="B1337" s="23"/>
      <c r="C1337" s="23"/>
      <c r="D1337" s="23"/>
      <c r="E1337" s="23"/>
      <c r="F1337" s="23"/>
      <c r="G1337" s="23"/>
      <c r="H1337" s="23"/>
      <c r="I1337" s="23"/>
      <c r="J1337" s="23"/>
      <c r="K1337" s="23"/>
      <c r="L1337" s="23"/>
      <c r="M1337" s="23"/>
      <c r="N1337" s="23"/>
      <c r="O1337" s="23"/>
      <c r="P1337" s="23"/>
      <c r="Q1337" s="23"/>
      <c r="R1337" s="23"/>
      <c r="S1337" s="23"/>
      <c r="T1337" s="23"/>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c r="AV1337" s="22"/>
      <c r="AW1337" s="22"/>
      <c r="AX1337" s="22"/>
    </row>
    <row r="1338" spans="1:50" x14ac:dyDescent="0.35">
      <c r="A1338" s="23"/>
      <c r="B1338" s="23"/>
      <c r="C1338" s="23"/>
      <c r="D1338" s="23"/>
      <c r="E1338" s="23"/>
      <c r="F1338" s="23"/>
      <c r="G1338" s="23"/>
      <c r="H1338" s="23"/>
      <c r="I1338" s="23"/>
      <c r="J1338" s="23"/>
      <c r="K1338" s="23"/>
      <c r="L1338" s="23"/>
      <c r="M1338" s="23"/>
      <c r="N1338" s="23"/>
      <c r="O1338" s="23"/>
      <c r="P1338" s="23"/>
      <c r="Q1338" s="23"/>
      <c r="R1338" s="23"/>
      <c r="S1338" s="23"/>
      <c r="T1338" s="23"/>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c r="AV1338" s="22"/>
      <c r="AW1338" s="22"/>
      <c r="AX1338" s="22"/>
    </row>
    <row r="1339" spans="1:50" x14ac:dyDescent="0.35">
      <c r="A1339" s="23"/>
      <c r="B1339" s="23"/>
      <c r="C1339" s="23"/>
      <c r="D1339" s="23"/>
      <c r="E1339" s="23"/>
      <c r="F1339" s="23"/>
      <c r="G1339" s="23"/>
      <c r="H1339" s="23"/>
      <c r="I1339" s="23"/>
      <c r="J1339" s="23"/>
      <c r="K1339" s="23"/>
      <c r="L1339" s="23"/>
      <c r="M1339" s="23"/>
      <c r="N1339" s="23"/>
      <c r="O1339" s="23"/>
      <c r="P1339" s="23"/>
      <c r="Q1339" s="23"/>
      <c r="R1339" s="23"/>
      <c r="S1339" s="23"/>
      <c r="T1339" s="23"/>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c r="AV1339" s="22"/>
      <c r="AW1339" s="22"/>
      <c r="AX1339" s="22"/>
    </row>
    <row r="1340" spans="1:50" x14ac:dyDescent="0.35">
      <c r="A1340" s="23"/>
      <c r="B1340" s="23"/>
      <c r="C1340" s="23"/>
      <c r="D1340" s="23"/>
      <c r="E1340" s="23"/>
      <c r="F1340" s="23"/>
      <c r="G1340" s="23"/>
      <c r="H1340" s="23"/>
      <c r="I1340" s="23"/>
      <c r="J1340" s="23"/>
      <c r="K1340" s="23"/>
      <c r="L1340" s="23"/>
      <c r="M1340" s="23"/>
      <c r="N1340" s="23"/>
      <c r="O1340" s="23"/>
      <c r="P1340" s="23"/>
      <c r="Q1340" s="23"/>
      <c r="R1340" s="23"/>
      <c r="S1340" s="23"/>
      <c r="T1340" s="23"/>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c r="AV1340" s="22"/>
      <c r="AW1340" s="22"/>
      <c r="AX1340" s="22"/>
    </row>
    <row r="1341" spans="1:50" x14ac:dyDescent="0.35">
      <c r="A1341" s="23"/>
      <c r="B1341" s="23"/>
      <c r="C1341" s="23"/>
      <c r="D1341" s="23"/>
      <c r="E1341" s="23"/>
      <c r="F1341" s="23"/>
      <c r="G1341" s="23"/>
      <c r="H1341" s="23"/>
      <c r="I1341" s="23"/>
      <c r="J1341" s="23"/>
      <c r="K1341" s="23"/>
      <c r="L1341" s="23"/>
      <c r="M1341" s="23"/>
      <c r="N1341" s="23"/>
      <c r="O1341" s="23"/>
      <c r="P1341" s="23"/>
      <c r="Q1341" s="23"/>
      <c r="R1341" s="23"/>
      <c r="S1341" s="23"/>
      <c r="T1341" s="23"/>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c r="AV1341" s="22"/>
      <c r="AW1341" s="22"/>
      <c r="AX1341" s="22"/>
    </row>
    <row r="1342" spans="1:50" x14ac:dyDescent="0.35">
      <c r="A1342" s="23"/>
      <c r="B1342" s="23"/>
      <c r="C1342" s="23"/>
      <c r="D1342" s="23"/>
      <c r="E1342" s="23"/>
      <c r="F1342" s="23"/>
      <c r="G1342" s="23"/>
      <c r="H1342" s="23"/>
      <c r="I1342" s="23"/>
      <c r="J1342" s="23"/>
      <c r="K1342" s="23"/>
      <c r="L1342" s="23"/>
      <c r="M1342" s="23"/>
      <c r="N1342" s="23"/>
      <c r="O1342" s="23"/>
      <c r="P1342" s="23"/>
      <c r="Q1342" s="23"/>
      <c r="R1342" s="23"/>
      <c r="S1342" s="23"/>
      <c r="T1342" s="23"/>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c r="AV1342" s="22"/>
      <c r="AW1342" s="22"/>
      <c r="AX1342" s="22"/>
    </row>
    <row r="1343" spans="1:50" x14ac:dyDescent="0.35">
      <c r="A1343" s="23"/>
      <c r="B1343" s="23"/>
      <c r="C1343" s="23"/>
      <c r="D1343" s="23"/>
      <c r="E1343" s="23"/>
      <c r="F1343" s="23"/>
      <c r="G1343" s="23"/>
      <c r="H1343" s="23"/>
      <c r="I1343" s="23"/>
      <c r="J1343" s="23"/>
      <c r="K1343" s="23"/>
      <c r="L1343" s="23"/>
      <c r="M1343" s="23"/>
      <c r="N1343" s="23"/>
      <c r="O1343" s="23"/>
      <c r="P1343" s="23"/>
      <c r="Q1343" s="23"/>
      <c r="R1343" s="23"/>
      <c r="S1343" s="23"/>
      <c r="T1343" s="23"/>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c r="AV1343" s="22"/>
      <c r="AW1343" s="22"/>
      <c r="AX1343" s="22"/>
    </row>
    <row r="1344" spans="1:50" x14ac:dyDescent="0.35">
      <c r="A1344" s="23"/>
      <c r="B1344" s="23"/>
      <c r="C1344" s="23"/>
      <c r="D1344" s="23"/>
      <c r="E1344" s="23"/>
      <c r="F1344" s="23"/>
      <c r="G1344" s="23"/>
      <c r="H1344" s="23"/>
      <c r="I1344" s="23"/>
      <c r="J1344" s="23"/>
      <c r="K1344" s="23"/>
      <c r="L1344" s="23"/>
      <c r="M1344" s="23"/>
      <c r="N1344" s="23"/>
      <c r="O1344" s="23"/>
      <c r="P1344" s="23"/>
      <c r="Q1344" s="23"/>
      <c r="R1344" s="23"/>
      <c r="S1344" s="23"/>
      <c r="T1344" s="23"/>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c r="AV1344" s="22"/>
      <c r="AW1344" s="22"/>
      <c r="AX1344" s="22"/>
    </row>
    <row r="1345" spans="1:50" x14ac:dyDescent="0.35">
      <c r="A1345" s="23"/>
      <c r="B1345" s="23"/>
      <c r="C1345" s="23"/>
      <c r="D1345" s="23"/>
      <c r="E1345" s="23"/>
      <c r="F1345" s="23"/>
      <c r="G1345" s="23"/>
      <c r="H1345" s="23"/>
      <c r="I1345" s="23"/>
      <c r="J1345" s="23"/>
      <c r="K1345" s="23"/>
      <c r="L1345" s="23"/>
      <c r="M1345" s="23"/>
      <c r="N1345" s="23"/>
      <c r="O1345" s="23"/>
      <c r="P1345" s="23"/>
      <c r="Q1345" s="23"/>
      <c r="R1345" s="23"/>
      <c r="S1345" s="23"/>
      <c r="T1345" s="23"/>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c r="AV1345" s="22"/>
      <c r="AW1345" s="22"/>
      <c r="AX1345" s="22"/>
    </row>
    <row r="1346" spans="1:50" x14ac:dyDescent="0.35">
      <c r="A1346" s="23"/>
      <c r="B1346" s="23"/>
      <c r="C1346" s="23"/>
      <c r="D1346" s="23"/>
      <c r="E1346" s="23"/>
      <c r="F1346" s="23"/>
      <c r="G1346" s="23"/>
      <c r="H1346" s="23"/>
      <c r="I1346" s="23"/>
      <c r="J1346" s="23"/>
      <c r="K1346" s="23"/>
      <c r="L1346" s="23"/>
      <c r="M1346" s="23"/>
      <c r="N1346" s="23"/>
      <c r="O1346" s="23"/>
      <c r="P1346" s="23"/>
      <c r="Q1346" s="23"/>
      <c r="R1346" s="23"/>
      <c r="S1346" s="23"/>
      <c r="T1346" s="23"/>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c r="AV1346" s="22"/>
      <c r="AW1346" s="22"/>
      <c r="AX1346" s="22"/>
    </row>
    <row r="1347" spans="1:50" x14ac:dyDescent="0.35">
      <c r="A1347" s="23"/>
      <c r="B1347" s="23"/>
      <c r="C1347" s="23"/>
      <c r="D1347" s="23"/>
      <c r="E1347" s="23"/>
      <c r="F1347" s="23"/>
      <c r="G1347" s="23"/>
      <c r="H1347" s="23"/>
      <c r="I1347" s="23"/>
      <c r="J1347" s="23"/>
      <c r="K1347" s="23"/>
      <c r="L1347" s="23"/>
      <c r="M1347" s="23"/>
      <c r="N1347" s="23"/>
      <c r="O1347" s="23"/>
      <c r="P1347" s="23"/>
      <c r="Q1347" s="23"/>
      <c r="R1347" s="23"/>
      <c r="S1347" s="23"/>
      <c r="T1347" s="23"/>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c r="AV1347" s="22"/>
      <c r="AW1347" s="22"/>
      <c r="AX1347" s="22"/>
    </row>
    <row r="1348" spans="1:50" x14ac:dyDescent="0.35">
      <c r="A1348" s="23"/>
      <c r="B1348" s="23"/>
      <c r="C1348" s="23"/>
      <c r="D1348" s="23"/>
      <c r="E1348" s="23"/>
      <c r="F1348" s="23"/>
      <c r="G1348" s="23"/>
      <c r="H1348" s="23"/>
      <c r="I1348" s="23"/>
      <c r="J1348" s="23"/>
      <c r="K1348" s="23"/>
      <c r="L1348" s="23"/>
      <c r="M1348" s="23"/>
      <c r="N1348" s="23"/>
      <c r="O1348" s="23"/>
      <c r="P1348" s="23"/>
      <c r="Q1348" s="23"/>
      <c r="R1348" s="23"/>
      <c r="S1348" s="23"/>
      <c r="T1348" s="23"/>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c r="AV1348" s="22"/>
      <c r="AW1348" s="22"/>
      <c r="AX1348" s="22"/>
    </row>
    <row r="1349" spans="1:50" x14ac:dyDescent="0.35">
      <c r="A1349" s="23"/>
      <c r="B1349" s="23"/>
      <c r="C1349" s="23"/>
      <c r="D1349" s="23"/>
      <c r="E1349" s="23"/>
      <c r="F1349" s="23"/>
      <c r="G1349" s="23"/>
      <c r="H1349" s="23"/>
      <c r="I1349" s="23"/>
      <c r="J1349" s="23"/>
      <c r="K1349" s="23"/>
      <c r="L1349" s="23"/>
      <c r="M1349" s="23"/>
      <c r="N1349" s="23"/>
      <c r="O1349" s="23"/>
      <c r="P1349" s="23"/>
      <c r="Q1349" s="23"/>
      <c r="R1349" s="23"/>
      <c r="S1349" s="23"/>
      <c r="T1349" s="23"/>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c r="AV1349" s="22"/>
      <c r="AW1349" s="22"/>
      <c r="AX1349" s="22"/>
    </row>
    <row r="1350" spans="1:50" x14ac:dyDescent="0.35">
      <c r="A1350" s="23"/>
      <c r="B1350" s="23"/>
      <c r="C1350" s="23"/>
      <c r="D1350" s="23"/>
      <c r="E1350" s="23"/>
      <c r="F1350" s="23"/>
      <c r="G1350" s="23"/>
      <c r="H1350" s="23"/>
      <c r="I1350" s="23"/>
      <c r="J1350" s="23"/>
      <c r="K1350" s="23"/>
      <c r="L1350" s="23"/>
      <c r="M1350" s="23"/>
      <c r="N1350" s="23"/>
      <c r="O1350" s="23"/>
      <c r="P1350" s="23"/>
      <c r="Q1350" s="23"/>
      <c r="R1350" s="23"/>
      <c r="S1350" s="23"/>
      <c r="T1350" s="23"/>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c r="AV1350" s="22"/>
      <c r="AW1350" s="22"/>
      <c r="AX1350" s="22"/>
    </row>
    <row r="1351" spans="1:50" x14ac:dyDescent="0.35">
      <c r="A1351" s="23"/>
      <c r="B1351" s="23"/>
      <c r="C1351" s="23"/>
      <c r="D1351" s="23"/>
      <c r="E1351" s="23"/>
      <c r="F1351" s="23"/>
      <c r="G1351" s="23"/>
      <c r="H1351" s="23"/>
      <c r="I1351" s="23"/>
      <c r="J1351" s="23"/>
      <c r="K1351" s="23"/>
      <c r="L1351" s="23"/>
      <c r="M1351" s="23"/>
      <c r="N1351" s="23"/>
      <c r="O1351" s="23"/>
      <c r="P1351" s="23"/>
      <c r="Q1351" s="23"/>
      <c r="R1351" s="23"/>
      <c r="S1351" s="23"/>
      <c r="T1351" s="23"/>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c r="AV1351" s="22"/>
      <c r="AW1351" s="22"/>
      <c r="AX1351" s="22"/>
    </row>
    <row r="1352" spans="1:50" x14ac:dyDescent="0.35">
      <c r="A1352" s="23"/>
      <c r="B1352" s="23"/>
      <c r="C1352" s="23"/>
      <c r="D1352" s="23"/>
      <c r="E1352" s="23"/>
      <c r="F1352" s="23"/>
      <c r="G1352" s="23"/>
      <c r="H1352" s="23"/>
      <c r="I1352" s="23"/>
      <c r="J1352" s="23"/>
      <c r="K1352" s="23"/>
      <c r="L1352" s="23"/>
      <c r="M1352" s="23"/>
      <c r="N1352" s="23"/>
      <c r="O1352" s="23"/>
      <c r="P1352" s="23"/>
      <c r="Q1352" s="23"/>
      <c r="R1352" s="23"/>
      <c r="S1352" s="23"/>
      <c r="T1352" s="23"/>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c r="AV1352" s="22"/>
      <c r="AW1352" s="22"/>
      <c r="AX1352" s="22"/>
    </row>
    <row r="1353" spans="1:50" x14ac:dyDescent="0.35">
      <c r="A1353" s="23"/>
      <c r="B1353" s="23"/>
      <c r="C1353" s="23"/>
      <c r="D1353" s="23"/>
      <c r="E1353" s="23"/>
      <c r="F1353" s="23"/>
      <c r="G1353" s="23"/>
      <c r="H1353" s="23"/>
      <c r="I1353" s="23"/>
      <c r="J1353" s="23"/>
      <c r="K1353" s="23"/>
      <c r="L1353" s="23"/>
      <c r="M1353" s="23"/>
      <c r="N1353" s="23"/>
      <c r="O1353" s="23"/>
      <c r="P1353" s="23"/>
      <c r="Q1353" s="23"/>
      <c r="R1353" s="23"/>
      <c r="S1353" s="23"/>
      <c r="T1353" s="23"/>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c r="AV1353" s="22"/>
      <c r="AW1353" s="22"/>
      <c r="AX1353" s="22"/>
    </row>
    <row r="1354" spans="1:50" x14ac:dyDescent="0.35">
      <c r="A1354" s="23"/>
      <c r="B1354" s="23"/>
      <c r="C1354" s="23"/>
      <c r="D1354" s="23"/>
      <c r="E1354" s="23"/>
      <c r="F1354" s="23"/>
      <c r="G1354" s="23"/>
      <c r="H1354" s="23"/>
      <c r="I1354" s="23"/>
      <c r="J1354" s="23"/>
      <c r="K1354" s="23"/>
      <c r="L1354" s="23"/>
      <c r="M1354" s="23"/>
      <c r="N1354" s="23"/>
      <c r="O1354" s="23"/>
      <c r="P1354" s="23"/>
      <c r="Q1354" s="23"/>
      <c r="R1354" s="23"/>
      <c r="S1354" s="23"/>
      <c r="T1354" s="23"/>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c r="AV1354" s="22"/>
      <c r="AW1354" s="22"/>
      <c r="AX1354" s="22"/>
    </row>
    <row r="1355" spans="1:50" x14ac:dyDescent="0.35">
      <c r="A1355" s="23"/>
      <c r="B1355" s="23"/>
      <c r="C1355" s="23"/>
      <c r="D1355" s="23"/>
      <c r="E1355" s="23"/>
      <c r="F1355" s="23"/>
      <c r="G1355" s="23"/>
      <c r="H1355" s="23"/>
      <c r="I1355" s="23"/>
      <c r="J1355" s="23"/>
      <c r="K1355" s="23"/>
      <c r="L1355" s="23"/>
      <c r="M1355" s="23"/>
      <c r="N1355" s="23"/>
      <c r="O1355" s="23"/>
      <c r="P1355" s="23"/>
      <c r="Q1355" s="23"/>
      <c r="R1355" s="23"/>
      <c r="S1355" s="23"/>
      <c r="T1355" s="23"/>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c r="AV1355" s="22"/>
      <c r="AW1355" s="22"/>
      <c r="AX1355" s="22"/>
    </row>
    <row r="1356" spans="1:50" x14ac:dyDescent="0.35">
      <c r="A1356" s="23"/>
      <c r="B1356" s="23"/>
      <c r="C1356" s="23"/>
      <c r="D1356" s="23"/>
      <c r="E1356" s="23"/>
      <c r="F1356" s="23"/>
      <c r="G1356" s="23"/>
      <c r="H1356" s="23"/>
      <c r="I1356" s="23"/>
      <c r="J1356" s="23"/>
      <c r="K1356" s="23"/>
      <c r="L1356" s="23"/>
      <c r="M1356" s="23"/>
      <c r="N1356" s="23"/>
      <c r="O1356" s="23"/>
      <c r="P1356" s="23"/>
      <c r="Q1356" s="23"/>
      <c r="R1356" s="23"/>
      <c r="S1356" s="23"/>
      <c r="T1356" s="23"/>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c r="AV1356" s="22"/>
      <c r="AW1356" s="22"/>
      <c r="AX1356" s="22"/>
    </row>
    <row r="1357" spans="1:50" x14ac:dyDescent="0.35">
      <c r="A1357" s="23"/>
      <c r="B1357" s="23"/>
      <c r="C1357" s="23"/>
      <c r="D1357" s="23"/>
      <c r="E1357" s="23"/>
      <c r="F1357" s="23"/>
      <c r="G1357" s="23"/>
      <c r="H1357" s="23"/>
      <c r="I1357" s="23"/>
      <c r="J1357" s="23"/>
      <c r="K1357" s="23"/>
      <c r="L1357" s="23"/>
      <c r="M1357" s="23"/>
      <c r="N1357" s="23"/>
      <c r="O1357" s="23"/>
      <c r="P1357" s="23"/>
      <c r="Q1357" s="23"/>
      <c r="R1357" s="23"/>
      <c r="S1357" s="23"/>
      <c r="T1357" s="23"/>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c r="AV1357" s="22"/>
      <c r="AW1357" s="22"/>
      <c r="AX1357" s="22"/>
    </row>
    <row r="1358" spans="1:50" x14ac:dyDescent="0.35">
      <c r="A1358" s="23"/>
      <c r="B1358" s="23"/>
      <c r="C1358" s="23"/>
      <c r="D1358" s="23"/>
      <c r="E1358" s="23"/>
      <c r="F1358" s="23"/>
      <c r="G1358" s="23"/>
      <c r="H1358" s="23"/>
      <c r="I1358" s="23"/>
      <c r="J1358" s="23"/>
      <c r="K1358" s="23"/>
      <c r="L1358" s="23"/>
      <c r="M1358" s="23"/>
      <c r="N1358" s="23"/>
      <c r="O1358" s="23"/>
      <c r="P1358" s="23"/>
      <c r="Q1358" s="23"/>
      <c r="R1358" s="23"/>
      <c r="S1358" s="23"/>
      <c r="T1358" s="23"/>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c r="AV1358" s="22"/>
      <c r="AW1358" s="22"/>
      <c r="AX1358" s="22"/>
    </row>
    <row r="1359" spans="1:50" x14ac:dyDescent="0.35">
      <c r="A1359" s="23"/>
      <c r="B1359" s="23"/>
      <c r="C1359" s="23"/>
      <c r="D1359" s="23"/>
      <c r="E1359" s="23"/>
      <c r="F1359" s="23"/>
      <c r="G1359" s="23"/>
      <c r="H1359" s="23"/>
      <c r="I1359" s="23"/>
      <c r="J1359" s="23"/>
      <c r="K1359" s="23"/>
      <c r="L1359" s="23"/>
      <c r="M1359" s="23"/>
      <c r="N1359" s="23"/>
      <c r="O1359" s="23"/>
      <c r="P1359" s="23"/>
      <c r="Q1359" s="23"/>
      <c r="R1359" s="23"/>
      <c r="S1359" s="23"/>
      <c r="T1359" s="23"/>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c r="AV1359" s="22"/>
      <c r="AW1359" s="22"/>
      <c r="AX1359" s="22"/>
    </row>
    <row r="1360" spans="1:50" x14ac:dyDescent="0.35">
      <c r="A1360" s="23"/>
      <c r="B1360" s="23"/>
      <c r="C1360" s="23"/>
      <c r="D1360" s="23"/>
      <c r="E1360" s="23"/>
      <c r="F1360" s="23"/>
      <c r="G1360" s="23"/>
      <c r="H1360" s="23"/>
      <c r="I1360" s="23"/>
      <c r="J1360" s="23"/>
      <c r="K1360" s="23"/>
      <c r="L1360" s="23"/>
      <c r="M1360" s="23"/>
      <c r="N1360" s="23"/>
      <c r="O1360" s="23"/>
      <c r="P1360" s="23"/>
      <c r="Q1360" s="23"/>
      <c r="R1360" s="23"/>
      <c r="S1360" s="23"/>
      <c r="T1360" s="23"/>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c r="AV1360" s="22"/>
      <c r="AW1360" s="22"/>
      <c r="AX1360" s="22"/>
    </row>
    <row r="1361" spans="1:50" x14ac:dyDescent="0.35">
      <c r="A1361" s="23"/>
      <c r="B1361" s="23"/>
      <c r="C1361" s="23"/>
      <c r="D1361" s="23"/>
      <c r="E1361" s="23"/>
      <c r="F1361" s="23"/>
      <c r="G1361" s="23"/>
      <c r="H1361" s="23"/>
      <c r="I1361" s="23"/>
      <c r="J1361" s="23"/>
      <c r="K1361" s="23"/>
      <c r="L1361" s="23"/>
      <c r="M1361" s="23"/>
      <c r="N1361" s="23"/>
      <c r="O1361" s="23"/>
      <c r="P1361" s="23"/>
      <c r="Q1361" s="23"/>
      <c r="R1361" s="23"/>
      <c r="S1361" s="23"/>
      <c r="T1361" s="23"/>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c r="AV1361" s="22"/>
      <c r="AW1361" s="22"/>
      <c r="AX1361" s="22"/>
    </row>
    <row r="1362" spans="1:50" x14ac:dyDescent="0.35">
      <c r="A1362" s="23"/>
      <c r="B1362" s="23"/>
      <c r="C1362" s="23"/>
      <c r="D1362" s="23"/>
      <c r="E1362" s="23"/>
      <c r="F1362" s="23"/>
      <c r="G1362" s="23"/>
      <c r="H1362" s="23"/>
      <c r="I1362" s="23"/>
      <c r="J1362" s="23"/>
      <c r="K1362" s="23"/>
      <c r="L1362" s="23"/>
      <c r="M1362" s="23"/>
      <c r="N1362" s="23"/>
      <c r="O1362" s="23"/>
      <c r="P1362" s="23"/>
      <c r="Q1362" s="23"/>
      <c r="R1362" s="23"/>
      <c r="S1362" s="23"/>
      <c r="T1362" s="23"/>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c r="AV1362" s="22"/>
      <c r="AW1362" s="22"/>
      <c r="AX1362" s="22"/>
    </row>
    <row r="1363" spans="1:50" x14ac:dyDescent="0.35">
      <c r="A1363" s="23"/>
      <c r="B1363" s="23"/>
      <c r="C1363" s="23"/>
      <c r="D1363" s="23"/>
      <c r="E1363" s="23"/>
      <c r="F1363" s="23"/>
      <c r="G1363" s="23"/>
      <c r="H1363" s="23"/>
      <c r="I1363" s="23"/>
      <c r="J1363" s="23"/>
      <c r="K1363" s="23"/>
      <c r="L1363" s="23"/>
      <c r="M1363" s="23"/>
      <c r="N1363" s="23"/>
      <c r="O1363" s="23"/>
      <c r="P1363" s="23"/>
      <c r="Q1363" s="23"/>
      <c r="R1363" s="23"/>
      <c r="S1363" s="23"/>
      <c r="T1363" s="23"/>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c r="AV1363" s="22"/>
      <c r="AW1363" s="22"/>
      <c r="AX1363" s="22"/>
    </row>
    <row r="1364" spans="1:50" x14ac:dyDescent="0.35">
      <c r="A1364" s="23"/>
      <c r="B1364" s="23"/>
      <c r="C1364" s="23"/>
      <c r="D1364" s="23"/>
      <c r="E1364" s="23"/>
      <c r="F1364" s="23"/>
      <c r="G1364" s="23"/>
      <c r="H1364" s="23"/>
      <c r="I1364" s="23"/>
      <c r="J1364" s="23"/>
      <c r="K1364" s="23"/>
      <c r="L1364" s="23"/>
      <c r="M1364" s="23"/>
      <c r="N1364" s="23"/>
      <c r="O1364" s="23"/>
      <c r="P1364" s="23"/>
      <c r="Q1364" s="23"/>
      <c r="R1364" s="23"/>
      <c r="S1364" s="23"/>
      <c r="T1364" s="23"/>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c r="AV1364" s="22"/>
      <c r="AW1364" s="22"/>
      <c r="AX1364" s="22"/>
    </row>
    <row r="1365" spans="1:50" x14ac:dyDescent="0.35">
      <c r="A1365" s="23"/>
      <c r="B1365" s="23"/>
      <c r="C1365" s="23"/>
      <c r="D1365" s="23"/>
      <c r="E1365" s="23"/>
      <c r="F1365" s="23"/>
      <c r="G1365" s="23"/>
      <c r="H1365" s="23"/>
      <c r="I1365" s="23"/>
      <c r="J1365" s="23"/>
      <c r="K1365" s="23"/>
      <c r="L1365" s="23"/>
      <c r="M1365" s="23"/>
      <c r="N1365" s="23"/>
      <c r="O1365" s="23"/>
      <c r="P1365" s="23"/>
      <c r="Q1365" s="23"/>
      <c r="R1365" s="23"/>
      <c r="S1365" s="23"/>
      <c r="T1365" s="23"/>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c r="AV1365" s="22"/>
      <c r="AW1365" s="22"/>
      <c r="AX1365" s="22"/>
    </row>
    <row r="1366" spans="1:50" x14ac:dyDescent="0.35">
      <c r="A1366" s="23"/>
      <c r="B1366" s="23"/>
      <c r="C1366" s="23"/>
      <c r="D1366" s="23"/>
      <c r="E1366" s="23"/>
      <c r="F1366" s="23"/>
      <c r="G1366" s="23"/>
      <c r="H1366" s="23"/>
      <c r="I1366" s="23"/>
      <c r="J1366" s="23"/>
      <c r="K1366" s="23"/>
      <c r="L1366" s="23"/>
      <c r="M1366" s="23"/>
      <c r="N1366" s="23"/>
      <c r="O1366" s="23"/>
      <c r="P1366" s="23"/>
      <c r="Q1366" s="23"/>
      <c r="R1366" s="23"/>
      <c r="S1366" s="23"/>
      <c r="T1366" s="23"/>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c r="AV1366" s="22"/>
      <c r="AW1366" s="22"/>
      <c r="AX1366" s="22"/>
    </row>
    <row r="1367" spans="1:50" x14ac:dyDescent="0.35">
      <c r="A1367" s="23"/>
      <c r="B1367" s="23"/>
      <c r="C1367" s="23"/>
      <c r="D1367" s="23"/>
      <c r="E1367" s="23"/>
      <c r="F1367" s="23"/>
      <c r="G1367" s="23"/>
      <c r="H1367" s="23"/>
      <c r="I1367" s="23"/>
      <c r="J1367" s="23"/>
      <c r="K1367" s="23"/>
      <c r="L1367" s="23"/>
      <c r="M1367" s="23"/>
      <c r="N1367" s="23"/>
      <c r="O1367" s="23"/>
      <c r="P1367" s="23"/>
      <c r="Q1367" s="23"/>
      <c r="R1367" s="23"/>
      <c r="S1367" s="23"/>
      <c r="T1367" s="23"/>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c r="AV1367" s="22"/>
      <c r="AW1367" s="22"/>
      <c r="AX1367" s="22"/>
    </row>
    <row r="1368" spans="1:50" x14ac:dyDescent="0.35">
      <c r="A1368" s="23"/>
      <c r="B1368" s="23"/>
      <c r="C1368" s="23"/>
      <c r="D1368" s="23"/>
      <c r="E1368" s="23"/>
      <c r="F1368" s="23"/>
      <c r="G1368" s="23"/>
      <c r="H1368" s="23"/>
      <c r="I1368" s="23"/>
      <c r="J1368" s="23"/>
      <c r="K1368" s="23"/>
      <c r="L1368" s="23"/>
      <c r="M1368" s="23"/>
      <c r="N1368" s="23"/>
      <c r="O1368" s="23"/>
      <c r="P1368" s="23"/>
      <c r="Q1368" s="23"/>
      <c r="R1368" s="23"/>
      <c r="S1368" s="23"/>
      <c r="T1368" s="23"/>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c r="AV1368" s="22"/>
      <c r="AW1368" s="22"/>
      <c r="AX1368" s="22"/>
    </row>
    <row r="1369" spans="1:50" x14ac:dyDescent="0.35">
      <c r="A1369" s="23"/>
      <c r="B1369" s="23"/>
      <c r="C1369" s="23"/>
      <c r="D1369" s="23"/>
      <c r="E1369" s="23"/>
      <c r="F1369" s="23"/>
      <c r="G1369" s="23"/>
      <c r="H1369" s="23"/>
      <c r="I1369" s="23"/>
      <c r="J1369" s="23"/>
      <c r="K1369" s="23"/>
      <c r="L1369" s="23"/>
      <c r="M1369" s="23"/>
      <c r="N1369" s="23"/>
      <c r="O1369" s="23"/>
      <c r="P1369" s="23"/>
      <c r="Q1369" s="23"/>
      <c r="R1369" s="23"/>
      <c r="S1369" s="23"/>
      <c r="T1369" s="23"/>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c r="AV1369" s="22"/>
      <c r="AW1369" s="22"/>
      <c r="AX1369" s="22"/>
    </row>
    <row r="1370" spans="1:50" x14ac:dyDescent="0.35">
      <c r="A1370" s="23"/>
      <c r="B1370" s="23"/>
      <c r="C1370" s="23"/>
      <c r="D1370" s="23"/>
      <c r="E1370" s="23"/>
      <c r="F1370" s="23"/>
      <c r="G1370" s="23"/>
      <c r="H1370" s="23"/>
      <c r="I1370" s="23"/>
      <c r="J1370" s="23"/>
      <c r="K1370" s="23"/>
      <c r="L1370" s="23"/>
      <c r="M1370" s="23"/>
      <c r="N1370" s="23"/>
      <c r="O1370" s="23"/>
      <c r="P1370" s="23"/>
      <c r="Q1370" s="23"/>
      <c r="R1370" s="23"/>
      <c r="S1370" s="23"/>
      <c r="T1370" s="23"/>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c r="AV1370" s="22"/>
      <c r="AW1370" s="22"/>
      <c r="AX1370" s="22"/>
    </row>
    <row r="1371" spans="1:50" x14ac:dyDescent="0.35">
      <c r="A1371" s="23"/>
      <c r="B1371" s="23"/>
      <c r="C1371" s="23"/>
      <c r="D1371" s="23"/>
      <c r="E1371" s="23"/>
      <c r="F1371" s="23"/>
      <c r="G1371" s="23"/>
      <c r="H1371" s="23"/>
      <c r="I1371" s="23"/>
      <c r="J1371" s="23"/>
      <c r="K1371" s="23"/>
      <c r="L1371" s="23"/>
      <c r="M1371" s="23"/>
      <c r="N1371" s="23"/>
      <c r="O1371" s="23"/>
      <c r="P1371" s="23"/>
      <c r="Q1371" s="23"/>
      <c r="R1371" s="23"/>
      <c r="S1371" s="23"/>
      <c r="T1371" s="23"/>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c r="AV1371" s="22"/>
      <c r="AW1371" s="22"/>
      <c r="AX1371" s="22"/>
    </row>
    <row r="1372" spans="1:50" x14ac:dyDescent="0.35">
      <c r="A1372" s="23"/>
      <c r="B1372" s="23"/>
      <c r="C1372" s="23"/>
      <c r="D1372" s="23"/>
      <c r="E1372" s="23"/>
      <c r="F1372" s="23"/>
      <c r="G1372" s="23"/>
      <c r="H1372" s="23"/>
      <c r="I1372" s="23"/>
      <c r="J1372" s="23"/>
      <c r="K1372" s="23"/>
      <c r="L1372" s="23"/>
      <c r="M1372" s="23"/>
      <c r="N1372" s="23"/>
      <c r="O1372" s="23"/>
      <c r="P1372" s="23"/>
      <c r="Q1372" s="23"/>
      <c r="R1372" s="23"/>
      <c r="S1372" s="23"/>
      <c r="T1372" s="23"/>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c r="AV1372" s="22"/>
      <c r="AW1372" s="22"/>
      <c r="AX1372" s="22"/>
    </row>
    <row r="1373" spans="1:50" x14ac:dyDescent="0.35">
      <c r="A1373" s="23"/>
      <c r="B1373" s="23"/>
      <c r="C1373" s="23"/>
      <c r="D1373" s="23"/>
      <c r="E1373" s="23"/>
      <c r="F1373" s="23"/>
      <c r="G1373" s="23"/>
      <c r="H1373" s="23"/>
      <c r="I1373" s="23"/>
      <c r="J1373" s="23"/>
      <c r="K1373" s="23"/>
      <c r="L1373" s="23"/>
      <c r="M1373" s="23"/>
      <c r="N1373" s="23"/>
      <c r="O1373" s="23"/>
      <c r="P1373" s="23"/>
      <c r="Q1373" s="23"/>
      <c r="R1373" s="23"/>
      <c r="S1373" s="23"/>
      <c r="T1373" s="23"/>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c r="AV1373" s="22"/>
      <c r="AW1373" s="22"/>
      <c r="AX1373" s="22"/>
    </row>
    <row r="1374" spans="1:50" x14ac:dyDescent="0.35">
      <c r="A1374" s="23"/>
      <c r="B1374" s="23"/>
      <c r="C1374" s="23"/>
      <c r="D1374" s="23"/>
      <c r="E1374" s="23"/>
      <c r="F1374" s="23"/>
      <c r="G1374" s="23"/>
      <c r="H1374" s="23"/>
      <c r="I1374" s="23"/>
      <c r="J1374" s="23"/>
      <c r="K1374" s="23"/>
      <c r="L1374" s="23"/>
      <c r="M1374" s="23"/>
      <c r="N1374" s="23"/>
      <c r="O1374" s="23"/>
      <c r="P1374" s="23"/>
      <c r="Q1374" s="23"/>
      <c r="R1374" s="23"/>
      <c r="S1374" s="23"/>
      <c r="T1374" s="23"/>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c r="AV1374" s="22"/>
      <c r="AW1374" s="22"/>
      <c r="AX1374" s="22"/>
    </row>
    <row r="1375" spans="1:50" x14ac:dyDescent="0.35">
      <c r="A1375" s="23"/>
      <c r="B1375" s="23"/>
      <c r="C1375" s="23"/>
      <c r="D1375" s="23"/>
      <c r="E1375" s="23"/>
      <c r="F1375" s="23"/>
      <c r="G1375" s="23"/>
      <c r="H1375" s="23"/>
      <c r="I1375" s="23"/>
      <c r="J1375" s="23"/>
      <c r="K1375" s="23"/>
      <c r="L1375" s="23"/>
      <c r="M1375" s="23"/>
      <c r="N1375" s="23"/>
      <c r="O1375" s="23"/>
      <c r="P1375" s="23"/>
      <c r="Q1375" s="23"/>
      <c r="R1375" s="23"/>
      <c r="S1375" s="23"/>
      <c r="T1375" s="23"/>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c r="AV1375" s="22"/>
      <c r="AW1375" s="22"/>
      <c r="AX1375" s="22"/>
    </row>
    <row r="1376" spans="1:50" x14ac:dyDescent="0.35">
      <c r="A1376" s="23"/>
      <c r="B1376" s="23"/>
      <c r="C1376" s="23"/>
      <c r="D1376" s="23"/>
      <c r="E1376" s="23"/>
      <c r="F1376" s="23"/>
      <c r="G1376" s="23"/>
      <c r="H1376" s="23"/>
      <c r="I1376" s="23"/>
      <c r="J1376" s="23"/>
      <c r="K1376" s="23"/>
      <c r="L1376" s="23"/>
      <c r="M1376" s="23"/>
      <c r="N1376" s="23"/>
      <c r="O1376" s="23"/>
      <c r="P1376" s="23"/>
      <c r="Q1376" s="23"/>
      <c r="R1376" s="23"/>
      <c r="S1376" s="23"/>
      <c r="T1376" s="23"/>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c r="AV1376" s="22"/>
      <c r="AW1376" s="22"/>
      <c r="AX1376" s="22"/>
    </row>
    <row r="1377" spans="1:50" x14ac:dyDescent="0.35">
      <c r="A1377" s="23"/>
      <c r="B1377" s="23"/>
      <c r="C1377" s="23"/>
      <c r="D1377" s="23"/>
      <c r="E1377" s="23"/>
      <c r="F1377" s="23"/>
      <c r="G1377" s="23"/>
      <c r="H1377" s="23"/>
      <c r="I1377" s="23"/>
      <c r="J1377" s="23"/>
      <c r="K1377" s="23"/>
      <c r="L1377" s="23"/>
      <c r="M1377" s="23"/>
      <c r="N1377" s="23"/>
      <c r="O1377" s="23"/>
      <c r="P1377" s="23"/>
      <c r="Q1377" s="23"/>
      <c r="R1377" s="23"/>
      <c r="S1377" s="23"/>
      <c r="T1377" s="23"/>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c r="AV1377" s="22"/>
      <c r="AW1377" s="22"/>
      <c r="AX1377" s="22"/>
    </row>
    <row r="1378" spans="1:50" x14ac:dyDescent="0.35">
      <c r="A1378" s="23"/>
      <c r="B1378" s="23"/>
      <c r="C1378" s="23"/>
      <c r="D1378" s="23"/>
      <c r="E1378" s="23"/>
      <c r="F1378" s="23"/>
      <c r="G1378" s="23"/>
      <c r="H1378" s="23"/>
      <c r="I1378" s="23"/>
      <c r="J1378" s="23"/>
      <c r="K1378" s="23"/>
      <c r="L1378" s="23"/>
      <c r="M1378" s="23"/>
      <c r="N1378" s="23"/>
      <c r="O1378" s="23"/>
      <c r="P1378" s="23"/>
      <c r="Q1378" s="23"/>
      <c r="R1378" s="23"/>
      <c r="S1378" s="23"/>
      <c r="T1378" s="23"/>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c r="AV1378" s="22"/>
      <c r="AW1378" s="22"/>
      <c r="AX1378" s="22"/>
    </row>
    <row r="1379" spans="1:50" x14ac:dyDescent="0.35">
      <c r="A1379" s="23"/>
      <c r="B1379" s="23"/>
      <c r="C1379" s="23"/>
      <c r="D1379" s="23"/>
      <c r="E1379" s="23"/>
      <c r="F1379" s="23"/>
      <c r="G1379" s="23"/>
      <c r="H1379" s="23"/>
      <c r="I1379" s="23"/>
      <c r="J1379" s="23"/>
      <c r="K1379" s="23"/>
      <c r="L1379" s="23"/>
      <c r="M1379" s="23"/>
      <c r="N1379" s="23"/>
      <c r="O1379" s="23"/>
      <c r="P1379" s="23"/>
      <c r="Q1379" s="23"/>
      <c r="R1379" s="23"/>
      <c r="S1379" s="23"/>
      <c r="T1379" s="23"/>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c r="AV1379" s="22"/>
      <c r="AW1379" s="22"/>
      <c r="AX1379" s="22"/>
    </row>
    <row r="1380" spans="1:50" x14ac:dyDescent="0.35">
      <c r="A1380" s="23"/>
      <c r="B1380" s="23"/>
      <c r="C1380" s="23"/>
      <c r="D1380" s="23"/>
      <c r="E1380" s="23"/>
      <c r="F1380" s="23"/>
      <c r="G1380" s="23"/>
      <c r="H1380" s="23"/>
      <c r="I1380" s="23"/>
      <c r="J1380" s="23"/>
      <c r="K1380" s="23"/>
      <c r="L1380" s="23"/>
      <c r="M1380" s="23"/>
      <c r="N1380" s="23"/>
      <c r="O1380" s="23"/>
      <c r="P1380" s="23"/>
      <c r="Q1380" s="23"/>
      <c r="R1380" s="23"/>
      <c r="S1380" s="23"/>
      <c r="T1380" s="23"/>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c r="AV1380" s="22"/>
      <c r="AW1380" s="22"/>
      <c r="AX1380" s="22"/>
    </row>
    <row r="1381" spans="1:50" x14ac:dyDescent="0.35">
      <c r="A1381" s="23"/>
      <c r="B1381" s="23"/>
      <c r="C1381" s="23"/>
      <c r="D1381" s="23"/>
      <c r="E1381" s="23"/>
      <c r="F1381" s="23"/>
      <c r="G1381" s="23"/>
      <c r="H1381" s="23"/>
      <c r="I1381" s="23"/>
      <c r="J1381" s="23"/>
      <c r="K1381" s="23"/>
      <c r="L1381" s="23"/>
      <c r="M1381" s="23"/>
      <c r="N1381" s="23"/>
      <c r="O1381" s="23"/>
      <c r="P1381" s="23"/>
      <c r="Q1381" s="23"/>
      <c r="R1381" s="23"/>
      <c r="S1381" s="23"/>
      <c r="T1381" s="23"/>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c r="AV1381" s="22"/>
      <c r="AW1381" s="22"/>
      <c r="AX1381" s="22"/>
    </row>
    <row r="1382" spans="1:50" x14ac:dyDescent="0.35">
      <c r="A1382" s="23"/>
      <c r="B1382" s="23"/>
      <c r="C1382" s="23"/>
      <c r="D1382" s="23"/>
      <c r="E1382" s="23"/>
      <c r="F1382" s="23"/>
      <c r="G1382" s="23"/>
      <c r="H1382" s="23"/>
      <c r="I1382" s="23"/>
      <c r="J1382" s="23"/>
      <c r="K1382" s="23"/>
      <c r="L1382" s="23"/>
      <c r="M1382" s="23"/>
      <c r="N1382" s="23"/>
      <c r="O1382" s="23"/>
      <c r="P1382" s="23"/>
      <c r="Q1382" s="23"/>
      <c r="R1382" s="23"/>
      <c r="S1382" s="23"/>
      <c r="T1382" s="23"/>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c r="AV1382" s="22"/>
      <c r="AW1382" s="22"/>
      <c r="AX1382" s="22"/>
    </row>
    <row r="1383" spans="1:50" x14ac:dyDescent="0.35">
      <c r="A1383" s="23"/>
      <c r="B1383" s="23"/>
      <c r="C1383" s="23"/>
      <c r="D1383" s="23"/>
      <c r="E1383" s="23"/>
      <c r="F1383" s="23"/>
      <c r="G1383" s="23"/>
      <c r="H1383" s="23"/>
      <c r="I1383" s="23"/>
      <c r="J1383" s="23"/>
      <c r="K1383" s="23"/>
      <c r="L1383" s="23"/>
      <c r="M1383" s="23"/>
      <c r="N1383" s="23"/>
      <c r="O1383" s="23"/>
      <c r="P1383" s="23"/>
      <c r="Q1383" s="23"/>
      <c r="R1383" s="23"/>
      <c r="S1383" s="23"/>
      <c r="T1383" s="23"/>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c r="AV1383" s="22"/>
      <c r="AW1383" s="22"/>
      <c r="AX1383" s="22"/>
    </row>
    <row r="1384" spans="1:50" x14ac:dyDescent="0.35">
      <c r="A1384" s="23"/>
      <c r="B1384" s="23"/>
      <c r="C1384" s="23"/>
      <c r="D1384" s="23"/>
      <c r="E1384" s="23"/>
      <c r="F1384" s="23"/>
      <c r="G1384" s="23"/>
      <c r="H1384" s="23"/>
      <c r="I1384" s="23"/>
      <c r="J1384" s="23"/>
      <c r="K1384" s="23"/>
      <c r="L1384" s="23"/>
      <c r="M1384" s="23"/>
      <c r="N1384" s="23"/>
      <c r="O1384" s="23"/>
      <c r="P1384" s="23"/>
      <c r="Q1384" s="23"/>
      <c r="R1384" s="23"/>
      <c r="S1384" s="23"/>
      <c r="T1384" s="23"/>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c r="AV1384" s="22"/>
      <c r="AW1384" s="22"/>
      <c r="AX1384" s="22"/>
    </row>
    <row r="1385" spans="1:50" x14ac:dyDescent="0.35">
      <c r="A1385" s="23"/>
      <c r="B1385" s="23"/>
      <c r="C1385" s="23"/>
      <c r="D1385" s="23"/>
      <c r="E1385" s="23"/>
      <c r="F1385" s="23"/>
      <c r="G1385" s="23"/>
      <c r="H1385" s="23"/>
      <c r="I1385" s="23"/>
      <c r="J1385" s="23"/>
      <c r="K1385" s="23"/>
      <c r="L1385" s="23"/>
      <c r="M1385" s="23"/>
      <c r="N1385" s="23"/>
      <c r="O1385" s="23"/>
      <c r="P1385" s="23"/>
      <c r="Q1385" s="23"/>
      <c r="R1385" s="23"/>
      <c r="S1385" s="23"/>
      <c r="T1385" s="23"/>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c r="AV1385" s="22"/>
      <c r="AW1385" s="22"/>
      <c r="AX1385" s="22"/>
    </row>
    <row r="1386" spans="1:50" x14ac:dyDescent="0.35">
      <c r="A1386" s="23"/>
      <c r="B1386" s="23"/>
      <c r="C1386" s="23"/>
      <c r="D1386" s="23"/>
      <c r="E1386" s="23"/>
      <c r="F1386" s="23"/>
      <c r="G1386" s="23"/>
      <c r="H1386" s="23"/>
      <c r="I1386" s="23"/>
      <c r="J1386" s="23"/>
      <c r="K1386" s="23"/>
      <c r="L1386" s="23"/>
      <c r="M1386" s="23"/>
      <c r="N1386" s="23"/>
      <c r="O1386" s="23"/>
      <c r="P1386" s="23"/>
      <c r="Q1386" s="23"/>
      <c r="R1386" s="23"/>
      <c r="S1386" s="23"/>
      <c r="T1386" s="23"/>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c r="AV1386" s="22"/>
      <c r="AW1386" s="22"/>
      <c r="AX1386" s="22"/>
    </row>
    <row r="1387" spans="1:50" x14ac:dyDescent="0.35">
      <c r="A1387" s="23"/>
      <c r="B1387" s="23"/>
      <c r="C1387" s="23"/>
      <c r="D1387" s="23"/>
      <c r="E1387" s="23"/>
      <c r="F1387" s="23"/>
      <c r="G1387" s="23"/>
      <c r="H1387" s="23"/>
      <c r="I1387" s="23"/>
      <c r="J1387" s="23"/>
      <c r="K1387" s="23"/>
      <c r="L1387" s="23"/>
      <c r="M1387" s="23"/>
      <c r="N1387" s="23"/>
      <c r="O1387" s="23"/>
      <c r="P1387" s="23"/>
      <c r="Q1387" s="23"/>
      <c r="R1387" s="23"/>
      <c r="S1387" s="23"/>
      <c r="T1387" s="23"/>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c r="AV1387" s="22"/>
      <c r="AW1387" s="22"/>
      <c r="AX1387" s="22"/>
    </row>
    <row r="1388" spans="1:50" x14ac:dyDescent="0.35">
      <c r="A1388" s="23"/>
      <c r="B1388" s="23"/>
      <c r="C1388" s="23"/>
      <c r="D1388" s="23"/>
      <c r="E1388" s="23"/>
      <c r="F1388" s="23"/>
      <c r="G1388" s="23"/>
      <c r="H1388" s="23"/>
      <c r="I1388" s="23"/>
      <c r="J1388" s="23"/>
      <c r="K1388" s="23"/>
      <c r="L1388" s="23"/>
      <c r="M1388" s="23"/>
      <c r="N1388" s="23"/>
      <c r="O1388" s="23"/>
      <c r="P1388" s="23"/>
      <c r="Q1388" s="23"/>
      <c r="R1388" s="23"/>
      <c r="S1388" s="23"/>
      <c r="T1388" s="23"/>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c r="AV1388" s="22"/>
      <c r="AW1388" s="22"/>
      <c r="AX1388" s="22"/>
    </row>
    <row r="1389" spans="1:50" x14ac:dyDescent="0.35">
      <c r="A1389" s="23"/>
      <c r="B1389" s="23"/>
      <c r="C1389" s="23"/>
      <c r="D1389" s="23"/>
      <c r="E1389" s="23"/>
      <c r="F1389" s="23"/>
      <c r="G1389" s="23"/>
      <c r="H1389" s="23"/>
      <c r="I1389" s="23"/>
      <c r="J1389" s="23"/>
      <c r="K1389" s="23"/>
      <c r="L1389" s="23"/>
      <c r="M1389" s="23"/>
      <c r="N1389" s="23"/>
      <c r="O1389" s="23"/>
      <c r="P1389" s="23"/>
      <c r="Q1389" s="23"/>
      <c r="R1389" s="23"/>
      <c r="S1389" s="23"/>
      <c r="T1389" s="23"/>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c r="AV1389" s="22"/>
      <c r="AW1389" s="22"/>
      <c r="AX1389" s="22"/>
    </row>
    <row r="1390" spans="1:50" x14ac:dyDescent="0.35">
      <c r="A1390" s="23"/>
      <c r="B1390" s="23"/>
      <c r="C1390" s="23"/>
      <c r="D1390" s="23"/>
      <c r="E1390" s="23"/>
      <c r="F1390" s="23"/>
      <c r="G1390" s="23"/>
      <c r="H1390" s="23"/>
      <c r="I1390" s="23"/>
      <c r="J1390" s="23"/>
      <c r="K1390" s="23"/>
      <c r="L1390" s="23"/>
      <c r="M1390" s="23"/>
      <c r="N1390" s="23"/>
      <c r="O1390" s="23"/>
      <c r="P1390" s="23"/>
      <c r="Q1390" s="23"/>
      <c r="R1390" s="23"/>
      <c r="S1390" s="23"/>
      <c r="T1390" s="23"/>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c r="AV1390" s="22"/>
      <c r="AW1390" s="22"/>
      <c r="AX1390" s="22"/>
    </row>
    <row r="1391" spans="1:50" x14ac:dyDescent="0.35">
      <c r="A1391" s="23"/>
      <c r="B1391" s="23"/>
      <c r="C1391" s="23"/>
      <c r="D1391" s="23"/>
      <c r="E1391" s="23"/>
      <c r="F1391" s="23"/>
      <c r="G1391" s="23"/>
      <c r="H1391" s="23"/>
      <c r="I1391" s="23"/>
      <c r="J1391" s="23"/>
      <c r="K1391" s="23"/>
      <c r="L1391" s="23"/>
      <c r="M1391" s="23"/>
      <c r="N1391" s="23"/>
      <c r="O1391" s="23"/>
      <c r="P1391" s="23"/>
      <c r="Q1391" s="23"/>
      <c r="R1391" s="23"/>
      <c r="S1391" s="23"/>
      <c r="T1391" s="23"/>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c r="AV1391" s="22"/>
      <c r="AW1391" s="22"/>
      <c r="AX1391" s="22"/>
    </row>
    <row r="1392" spans="1:50" x14ac:dyDescent="0.35">
      <c r="A1392" s="23"/>
      <c r="B1392" s="23"/>
      <c r="C1392" s="23"/>
      <c r="D1392" s="23"/>
      <c r="E1392" s="23"/>
      <c r="F1392" s="23"/>
      <c r="G1392" s="23"/>
      <c r="H1392" s="23"/>
      <c r="I1392" s="23"/>
      <c r="J1392" s="23"/>
      <c r="K1392" s="23"/>
      <c r="L1392" s="23"/>
      <c r="M1392" s="23"/>
      <c r="N1392" s="23"/>
      <c r="O1392" s="23"/>
      <c r="P1392" s="23"/>
      <c r="Q1392" s="23"/>
      <c r="R1392" s="23"/>
      <c r="S1392" s="23"/>
      <c r="T1392" s="23"/>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c r="AV1392" s="22"/>
      <c r="AW1392" s="22"/>
      <c r="AX1392" s="22"/>
    </row>
    <row r="1393" spans="1:50" x14ac:dyDescent="0.35">
      <c r="A1393" s="23"/>
      <c r="B1393" s="23"/>
      <c r="C1393" s="23"/>
      <c r="D1393" s="23"/>
      <c r="E1393" s="23"/>
      <c r="F1393" s="23"/>
      <c r="G1393" s="23"/>
      <c r="H1393" s="23"/>
      <c r="I1393" s="23"/>
      <c r="J1393" s="23"/>
      <c r="K1393" s="23"/>
      <c r="L1393" s="23"/>
      <c r="M1393" s="23"/>
      <c r="N1393" s="23"/>
      <c r="O1393" s="23"/>
      <c r="P1393" s="23"/>
      <c r="Q1393" s="23"/>
      <c r="R1393" s="23"/>
      <c r="S1393" s="23"/>
      <c r="T1393" s="23"/>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c r="AV1393" s="22"/>
      <c r="AW1393" s="22"/>
      <c r="AX1393" s="22"/>
    </row>
    <row r="1394" spans="1:50" x14ac:dyDescent="0.35">
      <c r="A1394" s="23"/>
      <c r="B1394" s="23"/>
      <c r="C1394" s="23"/>
      <c r="D1394" s="23"/>
      <c r="E1394" s="23"/>
      <c r="F1394" s="23"/>
      <c r="G1394" s="23"/>
      <c r="H1394" s="23"/>
      <c r="I1394" s="23"/>
      <c r="J1394" s="23"/>
      <c r="K1394" s="23"/>
      <c r="L1394" s="23"/>
      <c r="M1394" s="23"/>
      <c r="N1394" s="23"/>
      <c r="O1394" s="23"/>
      <c r="P1394" s="23"/>
      <c r="Q1394" s="23"/>
      <c r="R1394" s="23"/>
      <c r="S1394" s="23"/>
      <c r="T1394" s="23"/>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c r="AV1394" s="22"/>
      <c r="AW1394" s="22"/>
      <c r="AX1394" s="22"/>
    </row>
    <row r="1395" spans="1:50" x14ac:dyDescent="0.35">
      <c r="A1395" s="23"/>
      <c r="B1395" s="23"/>
      <c r="C1395" s="23"/>
      <c r="D1395" s="23"/>
      <c r="E1395" s="23"/>
      <c r="F1395" s="23"/>
      <c r="G1395" s="23"/>
      <c r="H1395" s="23"/>
      <c r="I1395" s="23"/>
      <c r="J1395" s="23"/>
      <c r="K1395" s="23"/>
      <c r="L1395" s="23"/>
      <c r="M1395" s="23"/>
      <c r="N1395" s="23"/>
      <c r="O1395" s="23"/>
      <c r="P1395" s="23"/>
      <c r="Q1395" s="23"/>
      <c r="R1395" s="23"/>
      <c r="S1395" s="23"/>
      <c r="T1395" s="23"/>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c r="AV1395" s="22"/>
      <c r="AW1395" s="22"/>
      <c r="AX1395" s="22"/>
    </row>
    <row r="1396" spans="1:50" x14ac:dyDescent="0.35">
      <c r="A1396" s="23"/>
      <c r="B1396" s="23"/>
      <c r="C1396" s="23"/>
      <c r="D1396" s="23"/>
      <c r="E1396" s="23"/>
      <c r="F1396" s="23"/>
      <c r="G1396" s="23"/>
      <c r="H1396" s="23"/>
      <c r="I1396" s="23"/>
      <c r="J1396" s="23"/>
      <c r="K1396" s="23"/>
      <c r="L1396" s="23"/>
      <c r="M1396" s="23"/>
      <c r="N1396" s="23"/>
      <c r="O1396" s="23"/>
      <c r="P1396" s="23"/>
      <c r="Q1396" s="23"/>
      <c r="R1396" s="23"/>
      <c r="S1396" s="23"/>
      <c r="T1396" s="23"/>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c r="AV1396" s="22"/>
      <c r="AW1396" s="22"/>
      <c r="AX1396" s="22"/>
    </row>
    <row r="1397" spans="1:50" x14ac:dyDescent="0.35">
      <c r="A1397" s="23"/>
      <c r="B1397" s="23"/>
      <c r="C1397" s="23"/>
      <c r="D1397" s="23"/>
      <c r="E1397" s="23"/>
      <c r="F1397" s="23"/>
      <c r="G1397" s="23"/>
      <c r="H1397" s="23"/>
      <c r="I1397" s="23"/>
      <c r="J1397" s="23"/>
      <c r="K1397" s="23"/>
      <c r="L1397" s="23"/>
      <c r="M1397" s="23"/>
      <c r="N1397" s="23"/>
      <c r="O1397" s="23"/>
      <c r="P1397" s="23"/>
      <c r="Q1397" s="23"/>
      <c r="R1397" s="23"/>
      <c r="S1397" s="23"/>
      <c r="T1397" s="23"/>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c r="AV1397" s="22"/>
      <c r="AW1397" s="22"/>
      <c r="AX1397" s="22"/>
    </row>
    <row r="1398" spans="1:50" x14ac:dyDescent="0.35">
      <c r="A1398" s="23"/>
      <c r="B1398" s="23"/>
      <c r="C1398" s="23"/>
      <c r="D1398" s="23"/>
      <c r="E1398" s="23"/>
      <c r="F1398" s="23"/>
      <c r="G1398" s="23"/>
      <c r="H1398" s="23"/>
      <c r="I1398" s="23"/>
      <c r="J1398" s="23"/>
      <c r="K1398" s="23"/>
      <c r="L1398" s="23"/>
      <c r="M1398" s="23"/>
      <c r="N1398" s="23"/>
      <c r="O1398" s="23"/>
      <c r="P1398" s="23"/>
      <c r="Q1398" s="23"/>
      <c r="R1398" s="23"/>
      <c r="S1398" s="23"/>
      <c r="T1398" s="23"/>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c r="AV1398" s="22"/>
      <c r="AW1398" s="22"/>
      <c r="AX1398" s="22"/>
    </row>
    <row r="1399" spans="1:50" x14ac:dyDescent="0.35">
      <c r="A1399" s="23"/>
      <c r="B1399" s="23"/>
      <c r="C1399" s="23"/>
      <c r="D1399" s="23"/>
      <c r="E1399" s="23"/>
      <c r="F1399" s="23"/>
      <c r="G1399" s="23"/>
      <c r="H1399" s="23"/>
      <c r="I1399" s="23"/>
      <c r="J1399" s="23"/>
      <c r="K1399" s="23"/>
      <c r="L1399" s="23"/>
      <c r="M1399" s="23"/>
      <c r="N1399" s="23"/>
      <c r="O1399" s="23"/>
      <c r="P1399" s="23"/>
      <c r="Q1399" s="23"/>
      <c r="R1399" s="23"/>
      <c r="S1399" s="23"/>
      <c r="T1399" s="23"/>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c r="AV1399" s="22"/>
      <c r="AW1399" s="22"/>
      <c r="AX1399" s="22"/>
    </row>
    <row r="1400" spans="1:50" x14ac:dyDescent="0.35">
      <c r="A1400" s="23"/>
      <c r="B1400" s="23"/>
      <c r="C1400" s="23"/>
      <c r="D1400" s="23"/>
      <c r="E1400" s="23"/>
      <c r="F1400" s="23"/>
      <c r="G1400" s="23"/>
      <c r="H1400" s="23"/>
      <c r="I1400" s="23"/>
      <c r="J1400" s="23"/>
      <c r="K1400" s="23"/>
      <c r="L1400" s="23"/>
      <c r="M1400" s="23"/>
      <c r="N1400" s="23"/>
      <c r="O1400" s="23"/>
      <c r="P1400" s="23"/>
      <c r="Q1400" s="23"/>
      <c r="R1400" s="23"/>
      <c r="S1400" s="23"/>
      <c r="T1400" s="23"/>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c r="AV1400" s="22"/>
      <c r="AW1400" s="22"/>
      <c r="AX1400" s="22"/>
    </row>
    <row r="1401" spans="1:50" x14ac:dyDescent="0.35">
      <c r="A1401" s="23"/>
      <c r="B1401" s="23"/>
      <c r="C1401" s="23"/>
      <c r="D1401" s="23"/>
      <c r="E1401" s="23"/>
      <c r="F1401" s="23"/>
      <c r="G1401" s="23"/>
      <c r="H1401" s="23"/>
      <c r="I1401" s="23"/>
      <c r="J1401" s="23"/>
      <c r="K1401" s="23"/>
      <c r="L1401" s="23"/>
      <c r="M1401" s="23"/>
      <c r="N1401" s="23"/>
      <c r="O1401" s="23"/>
      <c r="P1401" s="23"/>
      <c r="Q1401" s="23"/>
      <c r="R1401" s="23"/>
      <c r="S1401" s="23"/>
      <c r="T1401" s="23"/>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c r="AV1401" s="22"/>
      <c r="AW1401" s="22"/>
      <c r="AX1401" s="22"/>
    </row>
    <row r="1402" spans="1:50" x14ac:dyDescent="0.35">
      <c r="A1402" s="23"/>
      <c r="B1402" s="23"/>
      <c r="C1402" s="23"/>
      <c r="D1402" s="23"/>
      <c r="E1402" s="23"/>
      <c r="F1402" s="23"/>
      <c r="G1402" s="23"/>
      <c r="H1402" s="23"/>
      <c r="I1402" s="23"/>
      <c r="J1402" s="23"/>
      <c r="K1402" s="23"/>
      <c r="L1402" s="23"/>
      <c r="M1402" s="23"/>
      <c r="N1402" s="23"/>
      <c r="O1402" s="23"/>
      <c r="P1402" s="23"/>
      <c r="Q1402" s="23"/>
      <c r="R1402" s="23"/>
      <c r="S1402" s="23"/>
      <c r="T1402" s="23"/>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c r="AV1402" s="22"/>
      <c r="AW1402" s="22"/>
      <c r="AX1402" s="22"/>
    </row>
    <row r="1403" spans="1:50" x14ac:dyDescent="0.35">
      <c r="A1403" s="23"/>
      <c r="B1403" s="23"/>
      <c r="C1403" s="23"/>
      <c r="D1403" s="23"/>
      <c r="E1403" s="23"/>
      <c r="F1403" s="23"/>
      <c r="G1403" s="23"/>
      <c r="H1403" s="23"/>
      <c r="I1403" s="23"/>
      <c r="J1403" s="23"/>
      <c r="K1403" s="23"/>
      <c r="L1403" s="23"/>
      <c r="M1403" s="23"/>
      <c r="N1403" s="23"/>
      <c r="O1403" s="23"/>
      <c r="P1403" s="23"/>
      <c r="Q1403" s="23"/>
      <c r="R1403" s="23"/>
      <c r="S1403" s="23"/>
      <c r="T1403" s="23"/>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c r="AV1403" s="22"/>
      <c r="AW1403" s="22"/>
      <c r="AX1403" s="22"/>
    </row>
    <row r="1404" spans="1:50" x14ac:dyDescent="0.35">
      <c r="A1404" s="23"/>
      <c r="B1404" s="23"/>
      <c r="C1404" s="23"/>
      <c r="D1404" s="23"/>
      <c r="E1404" s="23"/>
      <c r="F1404" s="23"/>
      <c r="G1404" s="23"/>
      <c r="H1404" s="23"/>
      <c r="I1404" s="23"/>
      <c r="J1404" s="23"/>
      <c r="K1404" s="23"/>
      <c r="L1404" s="23"/>
      <c r="M1404" s="23"/>
      <c r="N1404" s="23"/>
      <c r="O1404" s="23"/>
      <c r="P1404" s="23"/>
      <c r="Q1404" s="23"/>
      <c r="R1404" s="23"/>
      <c r="S1404" s="23"/>
      <c r="T1404" s="23"/>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c r="AV1404" s="22"/>
      <c r="AW1404" s="22"/>
      <c r="AX1404" s="22"/>
    </row>
    <row r="1405" spans="1:50" x14ac:dyDescent="0.35">
      <c r="A1405" s="23"/>
      <c r="B1405" s="23"/>
      <c r="C1405" s="23"/>
      <c r="D1405" s="23"/>
      <c r="E1405" s="23"/>
      <c r="F1405" s="23"/>
      <c r="G1405" s="23"/>
      <c r="H1405" s="23"/>
      <c r="I1405" s="23"/>
      <c r="J1405" s="23"/>
      <c r="K1405" s="23"/>
      <c r="L1405" s="23"/>
      <c r="M1405" s="23"/>
      <c r="N1405" s="23"/>
      <c r="O1405" s="23"/>
      <c r="P1405" s="23"/>
      <c r="Q1405" s="23"/>
      <c r="R1405" s="23"/>
      <c r="S1405" s="23"/>
      <c r="T1405" s="23"/>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c r="AV1405" s="22"/>
      <c r="AW1405" s="22"/>
      <c r="AX1405" s="22"/>
    </row>
    <row r="1406" spans="1:50" x14ac:dyDescent="0.35">
      <c r="A1406" s="23"/>
      <c r="B1406" s="23"/>
      <c r="C1406" s="23"/>
      <c r="D1406" s="23"/>
      <c r="E1406" s="23"/>
      <c r="F1406" s="23"/>
      <c r="G1406" s="23"/>
      <c r="H1406" s="23"/>
      <c r="I1406" s="23"/>
      <c r="J1406" s="23"/>
      <c r="K1406" s="23"/>
      <c r="L1406" s="23"/>
      <c r="M1406" s="23"/>
      <c r="N1406" s="23"/>
      <c r="O1406" s="23"/>
      <c r="P1406" s="23"/>
      <c r="Q1406" s="23"/>
      <c r="R1406" s="23"/>
      <c r="S1406" s="23"/>
      <c r="T1406" s="23"/>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c r="AV1406" s="22"/>
      <c r="AW1406" s="22"/>
      <c r="AX1406" s="22"/>
    </row>
    <row r="1407" spans="1:50" x14ac:dyDescent="0.35">
      <c r="A1407" s="23"/>
      <c r="B1407" s="23"/>
      <c r="C1407" s="23"/>
      <c r="D1407" s="23"/>
      <c r="E1407" s="23"/>
      <c r="F1407" s="23"/>
      <c r="G1407" s="23"/>
      <c r="H1407" s="23"/>
      <c r="I1407" s="23"/>
      <c r="J1407" s="23"/>
      <c r="K1407" s="23"/>
      <c r="L1407" s="23"/>
      <c r="M1407" s="23"/>
      <c r="N1407" s="23"/>
      <c r="O1407" s="23"/>
      <c r="P1407" s="23"/>
      <c r="Q1407" s="23"/>
      <c r="R1407" s="23"/>
      <c r="S1407" s="23"/>
      <c r="T1407" s="23"/>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c r="AV1407" s="22"/>
      <c r="AW1407" s="22"/>
      <c r="AX1407" s="22"/>
    </row>
    <row r="1408" spans="1:50" x14ac:dyDescent="0.35">
      <c r="A1408" s="23"/>
      <c r="B1408" s="23"/>
      <c r="C1408" s="23"/>
      <c r="D1408" s="23"/>
      <c r="E1408" s="23"/>
      <c r="F1408" s="23"/>
      <c r="G1408" s="23"/>
      <c r="H1408" s="23"/>
      <c r="I1408" s="23"/>
      <c r="J1408" s="23"/>
      <c r="K1408" s="23"/>
      <c r="L1408" s="23"/>
      <c r="M1408" s="23"/>
      <c r="N1408" s="23"/>
      <c r="O1408" s="23"/>
      <c r="P1408" s="23"/>
      <c r="Q1408" s="23"/>
      <c r="R1408" s="23"/>
      <c r="S1408" s="23"/>
      <c r="T1408" s="23"/>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c r="AV1408" s="22"/>
      <c r="AW1408" s="22"/>
      <c r="AX1408" s="22"/>
    </row>
    <row r="1409" spans="1:50" x14ac:dyDescent="0.35">
      <c r="A1409" s="23"/>
      <c r="B1409" s="23"/>
      <c r="C1409" s="23"/>
      <c r="D1409" s="23"/>
      <c r="E1409" s="23"/>
      <c r="F1409" s="23"/>
      <c r="G1409" s="23"/>
      <c r="H1409" s="23"/>
      <c r="I1409" s="23"/>
      <c r="J1409" s="23"/>
      <c r="K1409" s="23"/>
      <c r="L1409" s="23"/>
      <c r="M1409" s="23"/>
      <c r="N1409" s="23"/>
      <c r="O1409" s="23"/>
      <c r="P1409" s="23"/>
      <c r="Q1409" s="23"/>
      <c r="R1409" s="23"/>
      <c r="S1409" s="23"/>
      <c r="T1409" s="23"/>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c r="AV1409" s="22"/>
      <c r="AW1409" s="22"/>
      <c r="AX1409" s="22"/>
    </row>
    <row r="1410" spans="1:50" x14ac:dyDescent="0.35">
      <c r="A1410" s="23"/>
      <c r="B1410" s="23"/>
      <c r="C1410" s="23"/>
      <c r="D1410" s="23"/>
      <c r="E1410" s="23"/>
      <c r="F1410" s="23"/>
      <c r="G1410" s="23"/>
      <c r="H1410" s="23"/>
      <c r="I1410" s="23"/>
      <c r="J1410" s="23"/>
      <c r="K1410" s="23"/>
      <c r="L1410" s="23"/>
      <c r="M1410" s="23"/>
      <c r="N1410" s="23"/>
      <c r="O1410" s="23"/>
      <c r="P1410" s="23"/>
      <c r="Q1410" s="23"/>
      <c r="R1410" s="23"/>
      <c r="S1410" s="23"/>
      <c r="T1410" s="23"/>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c r="AV1410" s="22"/>
      <c r="AW1410" s="22"/>
      <c r="AX1410" s="22"/>
    </row>
    <row r="1411" spans="1:50" x14ac:dyDescent="0.35">
      <c r="A1411" s="23"/>
      <c r="B1411" s="23"/>
      <c r="C1411" s="23"/>
      <c r="D1411" s="23"/>
      <c r="E1411" s="23"/>
      <c r="F1411" s="23"/>
      <c r="G1411" s="23"/>
      <c r="H1411" s="23"/>
      <c r="I1411" s="23"/>
      <c r="J1411" s="23"/>
      <c r="K1411" s="23"/>
      <c r="L1411" s="23"/>
      <c r="M1411" s="23"/>
      <c r="N1411" s="23"/>
      <c r="O1411" s="23"/>
      <c r="P1411" s="23"/>
      <c r="Q1411" s="23"/>
      <c r="R1411" s="23"/>
      <c r="S1411" s="23"/>
      <c r="T1411" s="23"/>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c r="AV1411" s="22"/>
      <c r="AW1411" s="22"/>
      <c r="AX1411" s="22"/>
    </row>
    <row r="1412" spans="1:50" x14ac:dyDescent="0.35">
      <c r="A1412" s="23"/>
      <c r="B1412" s="23"/>
      <c r="C1412" s="23"/>
      <c r="D1412" s="23"/>
      <c r="E1412" s="23"/>
      <c r="F1412" s="23"/>
      <c r="G1412" s="23"/>
      <c r="H1412" s="23"/>
      <c r="I1412" s="23"/>
      <c r="J1412" s="23"/>
      <c r="K1412" s="23"/>
      <c r="L1412" s="23"/>
      <c r="M1412" s="23"/>
      <c r="N1412" s="23"/>
      <c r="O1412" s="23"/>
      <c r="P1412" s="23"/>
      <c r="Q1412" s="23"/>
      <c r="R1412" s="23"/>
      <c r="S1412" s="23"/>
      <c r="T1412" s="23"/>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c r="AV1412" s="22"/>
      <c r="AW1412" s="22"/>
      <c r="AX1412" s="22"/>
    </row>
    <row r="1413" spans="1:50" x14ac:dyDescent="0.35">
      <c r="A1413" s="23"/>
      <c r="B1413" s="23"/>
      <c r="C1413" s="23"/>
      <c r="D1413" s="23"/>
      <c r="E1413" s="23"/>
      <c r="F1413" s="23"/>
      <c r="G1413" s="23"/>
      <c r="H1413" s="23"/>
      <c r="I1413" s="23"/>
      <c r="J1413" s="23"/>
      <c r="K1413" s="23"/>
      <c r="L1413" s="23"/>
      <c r="M1413" s="23"/>
      <c r="N1413" s="23"/>
      <c r="O1413" s="23"/>
      <c r="P1413" s="23"/>
      <c r="Q1413" s="23"/>
      <c r="R1413" s="23"/>
      <c r="S1413" s="23"/>
      <c r="T1413" s="23"/>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c r="AV1413" s="22"/>
      <c r="AW1413" s="22"/>
      <c r="AX1413" s="22"/>
    </row>
    <row r="1414" spans="1:50" x14ac:dyDescent="0.35">
      <c r="A1414" s="23"/>
      <c r="B1414" s="23"/>
      <c r="C1414" s="23"/>
      <c r="D1414" s="23"/>
      <c r="E1414" s="23"/>
      <c r="F1414" s="23"/>
      <c r="G1414" s="23"/>
      <c r="H1414" s="23"/>
      <c r="I1414" s="23"/>
      <c r="J1414" s="23"/>
      <c r="K1414" s="23"/>
      <c r="L1414" s="23"/>
      <c r="M1414" s="23"/>
      <c r="N1414" s="23"/>
      <c r="O1414" s="23"/>
      <c r="P1414" s="23"/>
      <c r="Q1414" s="23"/>
      <c r="R1414" s="23"/>
      <c r="S1414" s="23"/>
      <c r="T1414" s="23"/>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c r="AV1414" s="22"/>
      <c r="AW1414" s="22"/>
      <c r="AX1414" s="22"/>
    </row>
    <row r="1415" spans="1:50" x14ac:dyDescent="0.35">
      <c r="A1415" s="23"/>
      <c r="B1415" s="23"/>
      <c r="C1415" s="23"/>
      <c r="D1415" s="23"/>
      <c r="E1415" s="23"/>
      <c r="F1415" s="23"/>
      <c r="G1415" s="23"/>
      <c r="H1415" s="23"/>
      <c r="I1415" s="23"/>
      <c r="J1415" s="23"/>
      <c r="K1415" s="23"/>
      <c r="L1415" s="23"/>
      <c r="M1415" s="23"/>
      <c r="N1415" s="23"/>
      <c r="O1415" s="23"/>
      <c r="P1415" s="23"/>
      <c r="Q1415" s="23"/>
      <c r="R1415" s="23"/>
      <c r="S1415" s="23"/>
      <c r="T1415" s="23"/>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c r="AV1415" s="22"/>
      <c r="AW1415" s="22"/>
      <c r="AX1415" s="22"/>
    </row>
    <row r="1416" spans="1:50" x14ac:dyDescent="0.35">
      <c r="A1416" s="23"/>
      <c r="B1416" s="23"/>
      <c r="C1416" s="23"/>
      <c r="D1416" s="23"/>
      <c r="E1416" s="23"/>
      <c r="F1416" s="23"/>
      <c r="G1416" s="23"/>
      <c r="H1416" s="23"/>
      <c r="I1416" s="23"/>
      <c r="J1416" s="23"/>
      <c r="K1416" s="23"/>
      <c r="L1416" s="23"/>
      <c r="M1416" s="23"/>
      <c r="N1416" s="23"/>
      <c r="O1416" s="23"/>
      <c r="P1416" s="23"/>
      <c r="Q1416" s="23"/>
      <c r="R1416" s="23"/>
      <c r="S1416" s="23"/>
      <c r="T1416" s="23"/>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c r="AV1416" s="22"/>
      <c r="AW1416" s="22"/>
      <c r="AX1416" s="22"/>
    </row>
    <row r="1417" spans="1:50" x14ac:dyDescent="0.35">
      <c r="A1417" s="23"/>
      <c r="B1417" s="23"/>
      <c r="C1417" s="23"/>
      <c r="D1417" s="23"/>
      <c r="E1417" s="23"/>
      <c r="F1417" s="23"/>
      <c r="G1417" s="23"/>
      <c r="H1417" s="23"/>
      <c r="I1417" s="23"/>
      <c r="J1417" s="23"/>
      <c r="K1417" s="23"/>
      <c r="L1417" s="23"/>
      <c r="M1417" s="23"/>
      <c r="N1417" s="23"/>
      <c r="O1417" s="23"/>
      <c r="P1417" s="23"/>
      <c r="Q1417" s="23"/>
      <c r="R1417" s="23"/>
      <c r="S1417" s="23"/>
      <c r="T1417" s="23"/>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c r="AV1417" s="22"/>
      <c r="AW1417" s="22"/>
      <c r="AX1417" s="22"/>
    </row>
    <row r="1418" spans="1:50" x14ac:dyDescent="0.35">
      <c r="A1418" s="23"/>
      <c r="B1418" s="23"/>
      <c r="C1418" s="23"/>
      <c r="D1418" s="23"/>
      <c r="E1418" s="23"/>
      <c r="F1418" s="23"/>
      <c r="G1418" s="23"/>
      <c r="H1418" s="23"/>
      <c r="I1418" s="23"/>
      <c r="J1418" s="23"/>
      <c r="K1418" s="23"/>
      <c r="L1418" s="23"/>
      <c r="M1418" s="23"/>
      <c r="N1418" s="23"/>
      <c r="O1418" s="23"/>
      <c r="P1418" s="23"/>
      <c r="Q1418" s="23"/>
      <c r="R1418" s="23"/>
      <c r="S1418" s="23"/>
      <c r="T1418" s="23"/>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c r="AV1418" s="22"/>
      <c r="AW1418" s="22"/>
      <c r="AX1418" s="22"/>
    </row>
    <row r="1419" spans="1:50" x14ac:dyDescent="0.35">
      <c r="A1419" s="23"/>
      <c r="B1419" s="23"/>
      <c r="C1419" s="23"/>
      <c r="D1419" s="23"/>
      <c r="E1419" s="23"/>
      <c r="F1419" s="23"/>
      <c r="G1419" s="23"/>
      <c r="H1419" s="23"/>
      <c r="I1419" s="23"/>
      <c r="J1419" s="23"/>
      <c r="K1419" s="23"/>
      <c r="L1419" s="23"/>
      <c r="M1419" s="23"/>
      <c r="N1419" s="23"/>
      <c r="O1419" s="23"/>
      <c r="P1419" s="23"/>
      <c r="Q1419" s="23"/>
      <c r="R1419" s="23"/>
      <c r="S1419" s="23"/>
      <c r="T1419" s="23"/>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c r="AV1419" s="22"/>
      <c r="AW1419" s="22"/>
      <c r="AX1419" s="22"/>
    </row>
    <row r="1420" spans="1:50" x14ac:dyDescent="0.35">
      <c r="A1420" s="23"/>
      <c r="B1420" s="23"/>
      <c r="C1420" s="23"/>
      <c r="D1420" s="23"/>
      <c r="E1420" s="23"/>
      <c r="F1420" s="23"/>
      <c r="G1420" s="23"/>
      <c r="H1420" s="23"/>
      <c r="I1420" s="23"/>
      <c r="J1420" s="23"/>
      <c r="K1420" s="23"/>
      <c r="L1420" s="23"/>
      <c r="M1420" s="23"/>
      <c r="N1420" s="23"/>
      <c r="O1420" s="23"/>
      <c r="P1420" s="23"/>
      <c r="Q1420" s="23"/>
      <c r="R1420" s="23"/>
      <c r="S1420" s="23"/>
      <c r="T1420" s="23"/>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c r="AV1420" s="22"/>
      <c r="AW1420" s="22"/>
      <c r="AX1420" s="22"/>
    </row>
    <row r="1421" spans="1:50" x14ac:dyDescent="0.35">
      <c r="A1421" s="23"/>
      <c r="B1421" s="23"/>
      <c r="C1421" s="23"/>
      <c r="D1421" s="23"/>
      <c r="E1421" s="23"/>
      <c r="F1421" s="23"/>
      <c r="G1421" s="23"/>
      <c r="H1421" s="23"/>
      <c r="I1421" s="23"/>
      <c r="J1421" s="23"/>
      <c r="K1421" s="23"/>
      <c r="L1421" s="23"/>
      <c r="M1421" s="23"/>
      <c r="N1421" s="23"/>
      <c r="O1421" s="23"/>
      <c r="P1421" s="23"/>
      <c r="Q1421" s="23"/>
      <c r="R1421" s="23"/>
      <c r="S1421" s="23"/>
      <c r="T1421" s="23"/>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c r="AV1421" s="22"/>
      <c r="AW1421" s="22"/>
      <c r="AX1421" s="22"/>
    </row>
    <row r="1422" spans="1:50" x14ac:dyDescent="0.35">
      <c r="A1422" s="23"/>
      <c r="B1422" s="23"/>
      <c r="C1422" s="23"/>
      <c r="D1422" s="23"/>
      <c r="E1422" s="23"/>
      <c r="F1422" s="23"/>
      <c r="G1422" s="23"/>
      <c r="H1422" s="23"/>
      <c r="I1422" s="23"/>
      <c r="J1422" s="23"/>
      <c r="K1422" s="23"/>
      <c r="L1422" s="23"/>
      <c r="M1422" s="23"/>
      <c r="N1422" s="23"/>
      <c r="O1422" s="23"/>
      <c r="P1422" s="23"/>
      <c r="Q1422" s="23"/>
      <c r="R1422" s="23"/>
      <c r="S1422" s="23"/>
      <c r="T1422" s="23"/>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c r="AV1422" s="22"/>
      <c r="AW1422" s="22"/>
      <c r="AX1422" s="22"/>
    </row>
    <row r="1423" spans="1:50" x14ac:dyDescent="0.35">
      <c r="A1423" s="23"/>
      <c r="B1423" s="23"/>
      <c r="C1423" s="23"/>
      <c r="D1423" s="23"/>
      <c r="E1423" s="23"/>
      <c r="F1423" s="23"/>
      <c r="G1423" s="23"/>
      <c r="H1423" s="23"/>
      <c r="I1423" s="23"/>
      <c r="J1423" s="23"/>
      <c r="K1423" s="23"/>
      <c r="L1423" s="23"/>
      <c r="M1423" s="23"/>
      <c r="N1423" s="23"/>
      <c r="O1423" s="23"/>
      <c r="P1423" s="23"/>
      <c r="Q1423" s="23"/>
      <c r="R1423" s="23"/>
      <c r="S1423" s="23"/>
      <c r="T1423" s="23"/>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c r="AV1423" s="22"/>
      <c r="AW1423" s="22"/>
      <c r="AX1423" s="22"/>
    </row>
    <row r="1424" spans="1:50" x14ac:dyDescent="0.35">
      <c r="A1424" s="23"/>
      <c r="B1424" s="23"/>
      <c r="C1424" s="23"/>
      <c r="D1424" s="23"/>
      <c r="E1424" s="23"/>
      <c r="F1424" s="23"/>
      <c r="G1424" s="23"/>
      <c r="H1424" s="23"/>
      <c r="I1424" s="23"/>
      <c r="J1424" s="23"/>
      <c r="K1424" s="23"/>
      <c r="L1424" s="23"/>
      <c r="M1424" s="23"/>
      <c r="N1424" s="23"/>
      <c r="O1424" s="23"/>
      <c r="P1424" s="23"/>
      <c r="Q1424" s="23"/>
      <c r="R1424" s="23"/>
      <c r="S1424" s="23"/>
      <c r="T1424" s="23"/>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c r="AV1424" s="22"/>
      <c r="AW1424" s="22"/>
      <c r="AX1424" s="22"/>
    </row>
    <row r="1425" spans="1:50" x14ac:dyDescent="0.35">
      <c r="A1425" s="23"/>
      <c r="B1425" s="23"/>
      <c r="C1425" s="23"/>
      <c r="D1425" s="23"/>
      <c r="E1425" s="23"/>
      <c r="F1425" s="23"/>
      <c r="G1425" s="23"/>
      <c r="H1425" s="23"/>
      <c r="I1425" s="23"/>
      <c r="J1425" s="23"/>
      <c r="K1425" s="23"/>
      <c r="L1425" s="23"/>
      <c r="M1425" s="23"/>
      <c r="N1425" s="23"/>
      <c r="O1425" s="23"/>
      <c r="P1425" s="23"/>
      <c r="Q1425" s="23"/>
      <c r="R1425" s="23"/>
      <c r="S1425" s="23"/>
      <c r="T1425" s="23"/>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c r="AV1425" s="22"/>
      <c r="AW1425" s="22"/>
      <c r="AX1425" s="22"/>
    </row>
    <row r="1426" spans="1:50" x14ac:dyDescent="0.35">
      <c r="A1426" s="23"/>
      <c r="B1426" s="23"/>
      <c r="C1426" s="23"/>
      <c r="D1426" s="23"/>
      <c r="E1426" s="23"/>
      <c r="F1426" s="23"/>
      <c r="G1426" s="23"/>
      <c r="H1426" s="23"/>
      <c r="I1426" s="23"/>
      <c r="J1426" s="23"/>
      <c r="K1426" s="23"/>
      <c r="L1426" s="23"/>
      <c r="M1426" s="23"/>
      <c r="N1426" s="23"/>
      <c r="O1426" s="23"/>
      <c r="P1426" s="23"/>
      <c r="Q1426" s="23"/>
      <c r="R1426" s="23"/>
      <c r="S1426" s="23"/>
      <c r="T1426" s="23"/>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c r="AV1426" s="22"/>
      <c r="AW1426" s="22"/>
      <c r="AX1426" s="22"/>
    </row>
    <row r="1427" spans="1:50" x14ac:dyDescent="0.35">
      <c r="A1427" s="23"/>
      <c r="B1427" s="23"/>
      <c r="C1427" s="23"/>
      <c r="D1427" s="23"/>
      <c r="E1427" s="23"/>
      <c r="F1427" s="23"/>
      <c r="G1427" s="23"/>
      <c r="H1427" s="23"/>
      <c r="I1427" s="23"/>
      <c r="J1427" s="23"/>
      <c r="K1427" s="23"/>
      <c r="L1427" s="23"/>
      <c r="M1427" s="23"/>
      <c r="N1427" s="23"/>
      <c r="O1427" s="23"/>
      <c r="P1427" s="23"/>
      <c r="Q1427" s="23"/>
      <c r="R1427" s="23"/>
      <c r="S1427" s="23"/>
      <c r="T1427" s="23"/>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c r="AV1427" s="22"/>
      <c r="AW1427" s="22"/>
      <c r="AX1427" s="22"/>
    </row>
    <row r="1428" spans="1:50" x14ac:dyDescent="0.35">
      <c r="A1428" s="23"/>
      <c r="B1428" s="23"/>
      <c r="C1428" s="23"/>
      <c r="D1428" s="23"/>
      <c r="E1428" s="23"/>
      <c r="F1428" s="23"/>
      <c r="G1428" s="23"/>
      <c r="H1428" s="23"/>
      <c r="I1428" s="23"/>
      <c r="J1428" s="23"/>
      <c r="K1428" s="23"/>
      <c r="L1428" s="23"/>
      <c r="M1428" s="23"/>
      <c r="N1428" s="23"/>
      <c r="O1428" s="23"/>
      <c r="P1428" s="23"/>
      <c r="Q1428" s="23"/>
      <c r="R1428" s="23"/>
      <c r="S1428" s="23"/>
      <c r="T1428" s="23"/>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c r="AV1428" s="22"/>
      <c r="AW1428" s="22"/>
      <c r="AX1428" s="22"/>
    </row>
    <row r="1429" spans="1:50" x14ac:dyDescent="0.35">
      <c r="A1429" s="23"/>
      <c r="B1429" s="23"/>
      <c r="C1429" s="23"/>
      <c r="D1429" s="23"/>
      <c r="E1429" s="23"/>
      <c r="F1429" s="23"/>
      <c r="G1429" s="23"/>
      <c r="H1429" s="23"/>
      <c r="I1429" s="23"/>
      <c r="J1429" s="23"/>
      <c r="K1429" s="23"/>
      <c r="L1429" s="23"/>
      <c r="M1429" s="23"/>
      <c r="N1429" s="23"/>
      <c r="O1429" s="23"/>
      <c r="P1429" s="23"/>
      <c r="Q1429" s="23"/>
      <c r="R1429" s="23"/>
      <c r="S1429" s="23"/>
      <c r="T1429" s="23"/>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c r="AV1429" s="22"/>
      <c r="AW1429" s="22"/>
      <c r="AX1429" s="22"/>
    </row>
    <row r="1430" spans="1:50" x14ac:dyDescent="0.35">
      <c r="A1430" s="23"/>
      <c r="B1430" s="23"/>
      <c r="C1430" s="23"/>
      <c r="D1430" s="23"/>
      <c r="E1430" s="23"/>
      <c r="F1430" s="23"/>
      <c r="G1430" s="23"/>
      <c r="H1430" s="23"/>
      <c r="I1430" s="23"/>
      <c r="J1430" s="23"/>
      <c r="K1430" s="23"/>
      <c r="L1430" s="23"/>
      <c r="M1430" s="23"/>
      <c r="N1430" s="23"/>
      <c r="O1430" s="23"/>
      <c r="P1430" s="23"/>
      <c r="Q1430" s="23"/>
      <c r="R1430" s="23"/>
      <c r="S1430" s="23"/>
      <c r="T1430" s="23"/>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c r="AV1430" s="22"/>
      <c r="AW1430" s="22"/>
      <c r="AX1430" s="22"/>
    </row>
    <row r="1431" spans="1:50" x14ac:dyDescent="0.35">
      <c r="A1431" s="23"/>
      <c r="B1431" s="23"/>
      <c r="C1431" s="23"/>
      <c r="D1431" s="23"/>
      <c r="E1431" s="23"/>
      <c r="F1431" s="23"/>
      <c r="G1431" s="23"/>
      <c r="H1431" s="23"/>
      <c r="I1431" s="23"/>
      <c r="J1431" s="23"/>
      <c r="K1431" s="23"/>
      <c r="L1431" s="23"/>
      <c r="M1431" s="23"/>
      <c r="N1431" s="23"/>
      <c r="O1431" s="23"/>
      <c r="P1431" s="23"/>
      <c r="Q1431" s="23"/>
      <c r="R1431" s="23"/>
      <c r="S1431" s="23"/>
      <c r="T1431" s="23"/>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c r="AV1431" s="22"/>
      <c r="AW1431" s="22"/>
      <c r="AX1431" s="22"/>
    </row>
    <row r="1432" spans="1:50" x14ac:dyDescent="0.35">
      <c r="A1432" s="23"/>
      <c r="B1432" s="23"/>
      <c r="C1432" s="23"/>
      <c r="D1432" s="23"/>
      <c r="E1432" s="23"/>
      <c r="F1432" s="23"/>
      <c r="G1432" s="23"/>
      <c r="H1432" s="23"/>
      <c r="I1432" s="23"/>
      <c r="J1432" s="23"/>
      <c r="K1432" s="23"/>
      <c r="L1432" s="23"/>
      <c r="M1432" s="23"/>
      <c r="N1432" s="23"/>
      <c r="O1432" s="23"/>
      <c r="P1432" s="23"/>
      <c r="Q1432" s="23"/>
      <c r="R1432" s="23"/>
      <c r="S1432" s="23"/>
      <c r="T1432" s="23"/>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c r="AV1432" s="22"/>
      <c r="AW1432" s="22"/>
      <c r="AX1432" s="22"/>
    </row>
    <row r="1433" spans="1:50" x14ac:dyDescent="0.35">
      <c r="A1433" s="23"/>
      <c r="B1433" s="23"/>
      <c r="C1433" s="23"/>
      <c r="D1433" s="23"/>
      <c r="E1433" s="23"/>
      <c r="F1433" s="23"/>
      <c r="G1433" s="23"/>
      <c r="H1433" s="23"/>
      <c r="I1433" s="23"/>
      <c r="J1433" s="23"/>
      <c r="K1433" s="23"/>
      <c r="L1433" s="23"/>
      <c r="M1433" s="23"/>
      <c r="N1433" s="23"/>
      <c r="O1433" s="23"/>
      <c r="P1433" s="23"/>
      <c r="Q1433" s="23"/>
      <c r="R1433" s="23"/>
      <c r="S1433" s="23"/>
      <c r="T1433" s="23"/>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c r="AV1433" s="22"/>
      <c r="AW1433" s="22"/>
      <c r="AX1433" s="22"/>
    </row>
    <row r="1434" spans="1:50" x14ac:dyDescent="0.35">
      <c r="A1434" s="23"/>
      <c r="B1434" s="23"/>
      <c r="C1434" s="23"/>
      <c r="D1434" s="23"/>
      <c r="E1434" s="23"/>
      <c r="F1434" s="23"/>
      <c r="G1434" s="23"/>
      <c r="H1434" s="23"/>
      <c r="I1434" s="23"/>
      <c r="J1434" s="23"/>
      <c r="K1434" s="23"/>
      <c r="L1434" s="23"/>
      <c r="M1434" s="23"/>
      <c r="N1434" s="23"/>
      <c r="O1434" s="23"/>
      <c r="P1434" s="23"/>
      <c r="Q1434" s="23"/>
      <c r="R1434" s="23"/>
      <c r="S1434" s="23"/>
      <c r="T1434" s="23"/>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c r="AV1434" s="22"/>
      <c r="AW1434" s="22"/>
      <c r="AX1434" s="22"/>
    </row>
    <row r="1435" spans="1:50" x14ac:dyDescent="0.35">
      <c r="A1435" s="23"/>
      <c r="B1435" s="23"/>
      <c r="C1435" s="23"/>
      <c r="D1435" s="23"/>
      <c r="E1435" s="23"/>
      <c r="F1435" s="23"/>
      <c r="G1435" s="23"/>
      <c r="H1435" s="23"/>
      <c r="I1435" s="23"/>
      <c r="J1435" s="23"/>
      <c r="K1435" s="23"/>
      <c r="L1435" s="23"/>
      <c r="M1435" s="23"/>
      <c r="N1435" s="23"/>
      <c r="O1435" s="23"/>
      <c r="P1435" s="23"/>
      <c r="Q1435" s="23"/>
      <c r="R1435" s="23"/>
      <c r="S1435" s="23"/>
      <c r="T1435" s="23"/>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c r="AV1435" s="22"/>
      <c r="AW1435" s="22"/>
      <c r="AX1435" s="22"/>
    </row>
    <row r="1436" spans="1:50" x14ac:dyDescent="0.35">
      <c r="A1436" s="23"/>
      <c r="B1436" s="23"/>
      <c r="C1436" s="23"/>
      <c r="D1436" s="23"/>
      <c r="E1436" s="23"/>
      <c r="F1436" s="23"/>
      <c r="G1436" s="23"/>
      <c r="H1436" s="23"/>
      <c r="I1436" s="23"/>
      <c r="J1436" s="23"/>
      <c r="K1436" s="23"/>
      <c r="L1436" s="23"/>
      <c r="M1436" s="23"/>
      <c r="N1436" s="23"/>
      <c r="O1436" s="23"/>
      <c r="P1436" s="23"/>
      <c r="Q1436" s="23"/>
      <c r="R1436" s="23"/>
      <c r="S1436" s="23"/>
      <c r="T1436" s="23"/>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c r="AV1436" s="22"/>
      <c r="AW1436" s="22"/>
      <c r="AX1436" s="22"/>
    </row>
    <row r="1437" spans="1:50" x14ac:dyDescent="0.35">
      <c r="A1437" s="23"/>
      <c r="B1437" s="23"/>
      <c r="C1437" s="23"/>
      <c r="D1437" s="23"/>
      <c r="E1437" s="23"/>
      <c r="F1437" s="23"/>
      <c r="G1437" s="23"/>
      <c r="H1437" s="23"/>
      <c r="I1437" s="23"/>
      <c r="J1437" s="23"/>
      <c r="K1437" s="23"/>
      <c r="L1437" s="23"/>
      <c r="M1437" s="23"/>
      <c r="N1437" s="23"/>
      <c r="O1437" s="23"/>
      <c r="P1437" s="23"/>
      <c r="Q1437" s="23"/>
      <c r="R1437" s="23"/>
      <c r="S1437" s="23"/>
      <c r="T1437" s="23"/>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c r="AV1437" s="22"/>
      <c r="AW1437" s="22"/>
      <c r="AX1437" s="22"/>
    </row>
    <row r="1438" spans="1:50" x14ac:dyDescent="0.35">
      <c r="A1438" s="23"/>
      <c r="B1438" s="23"/>
      <c r="C1438" s="23"/>
      <c r="D1438" s="23"/>
      <c r="E1438" s="23"/>
      <c r="F1438" s="23"/>
      <c r="G1438" s="23"/>
      <c r="H1438" s="23"/>
      <c r="I1438" s="23"/>
      <c r="J1438" s="23"/>
      <c r="K1438" s="23"/>
      <c r="L1438" s="23"/>
      <c r="M1438" s="23"/>
      <c r="N1438" s="23"/>
      <c r="O1438" s="23"/>
      <c r="P1438" s="23"/>
      <c r="Q1438" s="23"/>
      <c r="R1438" s="23"/>
      <c r="S1438" s="23"/>
      <c r="T1438" s="23"/>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c r="AV1438" s="22"/>
      <c r="AW1438" s="22"/>
      <c r="AX1438" s="22"/>
    </row>
    <row r="1439" spans="1:50" x14ac:dyDescent="0.35">
      <c r="A1439" s="23"/>
      <c r="B1439" s="23"/>
      <c r="C1439" s="23"/>
      <c r="D1439" s="23"/>
      <c r="E1439" s="23"/>
      <c r="F1439" s="23"/>
      <c r="G1439" s="23"/>
      <c r="H1439" s="23"/>
      <c r="I1439" s="23"/>
      <c r="J1439" s="23"/>
      <c r="K1439" s="23"/>
      <c r="L1439" s="23"/>
      <c r="M1439" s="23"/>
      <c r="N1439" s="23"/>
      <c r="O1439" s="23"/>
      <c r="P1439" s="23"/>
      <c r="Q1439" s="23"/>
      <c r="R1439" s="23"/>
      <c r="S1439" s="23"/>
      <c r="T1439" s="23"/>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c r="AV1439" s="22"/>
      <c r="AW1439" s="22"/>
      <c r="AX1439" s="22"/>
    </row>
    <row r="1440" spans="1:50" x14ac:dyDescent="0.35">
      <c r="A1440" s="23"/>
      <c r="B1440" s="23"/>
      <c r="C1440" s="23"/>
      <c r="D1440" s="23"/>
      <c r="E1440" s="23"/>
      <c r="F1440" s="23"/>
      <c r="G1440" s="23"/>
      <c r="H1440" s="23"/>
      <c r="I1440" s="23"/>
      <c r="J1440" s="23"/>
      <c r="K1440" s="23"/>
      <c r="L1440" s="23"/>
      <c r="M1440" s="23"/>
      <c r="N1440" s="23"/>
      <c r="O1440" s="23"/>
      <c r="P1440" s="23"/>
      <c r="Q1440" s="23"/>
      <c r="R1440" s="23"/>
      <c r="S1440" s="23"/>
      <c r="T1440" s="23"/>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c r="AV1440" s="22"/>
      <c r="AW1440" s="22"/>
      <c r="AX1440" s="22"/>
    </row>
    <row r="1441" spans="1:50" x14ac:dyDescent="0.35">
      <c r="A1441" s="23"/>
      <c r="B1441" s="23"/>
      <c r="C1441" s="23"/>
      <c r="D1441" s="23"/>
      <c r="E1441" s="23"/>
      <c r="F1441" s="23"/>
      <c r="G1441" s="23"/>
      <c r="H1441" s="23"/>
      <c r="I1441" s="23"/>
      <c r="J1441" s="23"/>
      <c r="K1441" s="23"/>
      <c r="L1441" s="23"/>
      <c r="M1441" s="23"/>
      <c r="N1441" s="23"/>
      <c r="O1441" s="23"/>
      <c r="P1441" s="23"/>
      <c r="Q1441" s="23"/>
      <c r="R1441" s="23"/>
      <c r="S1441" s="23"/>
      <c r="T1441" s="23"/>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c r="AV1441" s="22"/>
      <c r="AW1441" s="22"/>
      <c r="AX1441" s="22"/>
    </row>
    <row r="1442" spans="1:50" x14ac:dyDescent="0.35">
      <c r="A1442" s="23"/>
      <c r="B1442" s="23"/>
      <c r="C1442" s="23"/>
      <c r="D1442" s="23"/>
      <c r="E1442" s="23"/>
      <c r="F1442" s="23"/>
      <c r="G1442" s="23"/>
      <c r="H1442" s="23"/>
      <c r="I1442" s="23"/>
      <c r="J1442" s="23"/>
      <c r="K1442" s="23"/>
      <c r="L1442" s="23"/>
      <c r="M1442" s="23"/>
      <c r="N1442" s="23"/>
      <c r="O1442" s="23"/>
      <c r="P1442" s="23"/>
      <c r="Q1442" s="23"/>
      <c r="R1442" s="23"/>
      <c r="S1442" s="23"/>
      <c r="T1442" s="23"/>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c r="AV1442" s="22"/>
      <c r="AW1442" s="22"/>
      <c r="AX1442" s="22"/>
    </row>
    <row r="1443" spans="1:50" x14ac:dyDescent="0.35">
      <c r="A1443" s="23"/>
      <c r="B1443" s="23"/>
      <c r="C1443" s="23"/>
      <c r="D1443" s="23"/>
      <c r="E1443" s="23"/>
      <c r="F1443" s="23"/>
      <c r="G1443" s="23"/>
      <c r="H1443" s="23"/>
      <c r="I1443" s="23"/>
      <c r="J1443" s="23"/>
      <c r="K1443" s="23"/>
      <c r="L1443" s="23"/>
      <c r="M1443" s="23"/>
      <c r="N1443" s="23"/>
      <c r="O1443" s="23"/>
      <c r="P1443" s="23"/>
      <c r="Q1443" s="23"/>
      <c r="R1443" s="23"/>
      <c r="S1443" s="23"/>
      <c r="T1443" s="23"/>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c r="AV1443" s="22"/>
      <c r="AW1443" s="22"/>
      <c r="AX1443" s="22"/>
    </row>
    <row r="1444" spans="1:50" x14ac:dyDescent="0.35">
      <c r="A1444" s="23"/>
      <c r="B1444" s="23"/>
      <c r="C1444" s="23"/>
      <c r="D1444" s="23"/>
      <c r="E1444" s="23"/>
      <c r="F1444" s="23"/>
      <c r="G1444" s="23"/>
      <c r="H1444" s="23"/>
      <c r="I1444" s="23"/>
      <c r="J1444" s="23"/>
      <c r="K1444" s="23"/>
      <c r="L1444" s="23"/>
      <c r="M1444" s="23"/>
      <c r="N1444" s="23"/>
      <c r="O1444" s="23"/>
      <c r="P1444" s="23"/>
      <c r="Q1444" s="23"/>
      <c r="R1444" s="23"/>
      <c r="S1444" s="23"/>
      <c r="T1444" s="23"/>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c r="AV1444" s="22"/>
      <c r="AW1444" s="22"/>
      <c r="AX1444" s="22"/>
    </row>
    <row r="1445" spans="1:50" x14ac:dyDescent="0.35">
      <c r="A1445" s="23"/>
      <c r="B1445" s="23"/>
      <c r="C1445" s="23"/>
      <c r="D1445" s="23"/>
      <c r="E1445" s="23"/>
      <c r="F1445" s="23"/>
      <c r="G1445" s="23"/>
      <c r="H1445" s="23"/>
      <c r="I1445" s="23"/>
      <c r="J1445" s="23"/>
      <c r="K1445" s="23"/>
      <c r="L1445" s="23"/>
      <c r="M1445" s="23"/>
      <c r="N1445" s="23"/>
      <c r="O1445" s="23"/>
      <c r="P1445" s="23"/>
      <c r="Q1445" s="23"/>
      <c r="R1445" s="23"/>
      <c r="S1445" s="23"/>
      <c r="T1445" s="23"/>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c r="AV1445" s="22"/>
      <c r="AW1445" s="22"/>
      <c r="AX1445" s="22"/>
    </row>
    <row r="1446" spans="1:50" x14ac:dyDescent="0.35">
      <c r="A1446" s="23"/>
      <c r="B1446" s="23"/>
      <c r="C1446" s="23"/>
      <c r="D1446" s="23"/>
      <c r="E1446" s="23"/>
      <c r="F1446" s="23"/>
      <c r="G1446" s="23"/>
      <c r="H1446" s="23"/>
      <c r="I1446" s="23"/>
      <c r="J1446" s="23"/>
      <c r="K1446" s="23"/>
      <c r="L1446" s="23"/>
      <c r="M1446" s="23"/>
      <c r="N1446" s="23"/>
      <c r="O1446" s="23"/>
      <c r="P1446" s="23"/>
      <c r="Q1446" s="23"/>
      <c r="R1446" s="23"/>
      <c r="S1446" s="23"/>
      <c r="T1446" s="23"/>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c r="AV1446" s="22"/>
      <c r="AW1446" s="22"/>
      <c r="AX1446" s="22"/>
    </row>
    <row r="1447" spans="1:50" x14ac:dyDescent="0.35">
      <c r="A1447" s="23"/>
      <c r="B1447" s="23"/>
      <c r="C1447" s="23"/>
      <c r="D1447" s="23"/>
      <c r="E1447" s="23"/>
      <c r="F1447" s="23"/>
      <c r="G1447" s="23"/>
      <c r="H1447" s="23"/>
      <c r="I1447" s="23"/>
      <c r="J1447" s="23"/>
      <c r="K1447" s="23"/>
      <c r="L1447" s="23"/>
      <c r="M1447" s="23"/>
      <c r="N1447" s="23"/>
      <c r="O1447" s="23"/>
      <c r="P1447" s="23"/>
      <c r="Q1447" s="23"/>
      <c r="R1447" s="23"/>
      <c r="S1447" s="23"/>
      <c r="T1447" s="23"/>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c r="AV1447" s="22"/>
      <c r="AW1447" s="22"/>
      <c r="AX1447" s="22"/>
    </row>
    <row r="1448" spans="1:50" x14ac:dyDescent="0.35">
      <c r="A1448" s="23"/>
      <c r="B1448" s="23"/>
      <c r="C1448" s="23"/>
      <c r="D1448" s="23"/>
      <c r="E1448" s="23"/>
      <c r="F1448" s="23"/>
      <c r="G1448" s="23"/>
      <c r="H1448" s="23"/>
      <c r="I1448" s="23"/>
      <c r="J1448" s="23"/>
      <c r="K1448" s="23"/>
      <c r="L1448" s="23"/>
      <c r="M1448" s="23"/>
      <c r="N1448" s="23"/>
      <c r="O1448" s="23"/>
      <c r="P1448" s="23"/>
      <c r="Q1448" s="23"/>
      <c r="R1448" s="23"/>
      <c r="S1448" s="23"/>
      <c r="T1448" s="23"/>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c r="AV1448" s="22"/>
      <c r="AW1448" s="22"/>
      <c r="AX1448" s="22"/>
    </row>
    <row r="1449" spans="1:50" x14ac:dyDescent="0.35">
      <c r="A1449" s="23"/>
      <c r="B1449" s="23"/>
      <c r="C1449" s="23"/>
      <c r="D1449" s="23"/>
      <c r="E1449" s="23"/>
      <c r="F1449" s="23"/>
      <c r="G1449" s="23"/>
      <c r="H1449" s="23"/>
      <c r="I1449" s="23"/>
      <c r="J1449" s="23"/>
      <c r="K1449" s="23"/>
      <c r="L1449" s="23"/>
      <c r="M1449" s="23"/>
      <c r="N1449" s="23"/>
      <c r="O1449" s="23"/>
      <c r="P1449" s="23"/>
      <c r="Q1449" s="23"/>
      <c r="R1449" s="23"/>
      <c r="S1449" s="23"/>
      <c r="T1449" s="23"/>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c r="AV1449" s="22"/>
      <c r="AW1449" s="22"/>
      <c r="AX1449" s="22"/>
    </row>
    <row r="1450" spans="1:50" x14ac:dyDescent="0.35">
      <c r="A1450" s="23"/>
      <c r="B1450" s="23"/>
      <c r="C1450" s="23"/>
      <c r="D1450" s="23"/>
      <c r="E1450" s="23"/>
      <c r="F1450" s="23"/>
      <c r="G1450" s="23"/>
      <c r="H1450" s="23"/>
      <c r="I1450" s="23"/>
      <c r="J1450" s="23"/>
      <c r="K1450" s="23"/>
      <c r="L1450" s="23"/>
      <c r="M1450" s="23"/>
      <c r="N1450" s="23"/>
      <c r="O1450" s="23"/>
      <c r="P1450" s="23"/>
      <c r="Q1450" s="23"/>
      <c r="R1450" s="23"/>
      <c r="S1450" s="23"/>
      <c r="T1450" s="23"/>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c r="AV1450" s="22"/>
      <c r="AW1450" s="22"/>
      <c r="AX1450" s="22"/>
    </row>
    <row r="1451" spans="1:50" x14ac:dyDescent="0.35">
      <c r="A1451" s="23"/>
      <c r="B1451" s="23"/>
      <c r="C1451" s="23"/>
      <c r="D1451" s="23"/>
      <c r="E1451" s="23"/>
      <c r="F1451" s="23"/>
      <c r="G1451" s="23"/>
      <c r="H1451" s="23"/>
      <c r="I1451" s="23"/>
      <c r="J1451" s="23"/>
      <c r="K1451" s="23"/>
      <c r="L1451" s="23"/>
      <c r="M1451" s="23"/>
      <c r="N1451" s="23"/>
      <c r="O1451" s="23"/>
      <c r="P1451" s="23"/>
      <c r="Q1451" s="23"/>
      <c r="R1451" s="23"/>
      <c r="S1451" s="23"/>
      <c r="T1451" s="23"/>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c r="AV1451" s="22"/>
      <c r="AW1451" s="22"/>
      <c r="AX1451" s="22"/>
    </row>
    <row r="1452" spans="1:50" x14ac:dyDescent="0.35">
      <c r="A1452" s="23"/>
      <c r="B1452" s="23"/>
      <c r="C1452" s="23"/>
      <c r="D1452" s="23"/>
      <c r="E1452" s="23"/>
      <c r="F1452" s="23"/>
      <c r="G1452" s="23"/>
      <c r="H1452" s="23"/>
      <c r="I1452" s="23"/>
      <c r="J1452" s="23"/>
      <c r="K1452" s="23"/>
      <c r="L1452" s="23"/>
      <c r="M1452" s="23"/>
      <c r="N1452" s="23"/>
      <c r="O1452" s="23"/>
      <c r="P1452" s="23"/>
      <c r="Q1452" s="23"/>
      <c r="R1452" s="23"/>
      <c r="S1452" s="23"/>
      <c r="T1452" s="23"/>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c r="AV1452" s="22"/>
      <c r="AW1452" s="22"/>
      <c r="AX1452" s="22"/>
    </row>
    <row r="1453" spans="1:50" x14ac:dyDescent="0.35">
      <c r="A1453" s="23"/>
      <c r="B1453" s="23"/>
      <c r="C1453" s="23"/>
      <c r="D1453" s="23"/>
      <c r="E1453" s="23"/>
      <c r="F1453" s="23"/>
      <c r="G1453" s="23"/>
      <c r="H1453" s="23"/>
      <c r="I1453" s="23"/>
      <c r="J1453" s="23"/>
      <c r="K1453" s="23"/>
      <c r="L1453" s="23"/>
      <c r="M1453" s="23"/>
      <c r="N1453" s="23"/>
      <c r="O1453" s="23"/>
      <c r="P1453" s="23"/>
      <c r="Q1453" s="23"/>
      <c r="R1453" s="23"/>
      <c r="S1453" s="23"/>
      <c r="T1453" s="23"/>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c r="AV1453" s="22"/>
      <c r="AW1453" s="22"/>
      <c r="AX1453" s="22"/>
    </row>
    <row r="1454" spans="1:50" x14ac:dyDescent="0.35">
      <c r="A1454" s="23"/>
      <c r="B1454" s="23"/>
      <c r="C1454" s="23"/>
      <c r="D1454" s="23"/>
      <c r="E1454" s="23"/>
      <c r="F1454" s="23"/>
      <c r="G1454" s="23"/>
      <c r="H1454" s="23"/>
      <c r="I1454" s="23"/>
      <c r="J1454" s="23"/>
      <c r="K1454" s="23"/>
      <c r="L1454" s="23"/>
      <c r="M1454" s="23"/>
      <c r="N1454" s="23"/>
      <c r="O1454" s="23"/>
      <c r="P1454" s="23"/>
      <c r="Q1454" s="23"/>
      <c r="R1454" s="23"/>
      <c r="S1454" s="23"/>
      <c r="T1454" s="23"/>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c r="AV1454" s="22"/>
      <c r="AW1454" s="22"/>
      <c r="AX1454" s="22"/>
    </row>
    <row r="1455" spans="1:50" x14ac:dyDescent="0.35">
      <c r="A1455" s="23"/>
      <c r="B1455" s="23"/>
      <c r="C1455" s="23"/>
      <c r="D1455" s="23"/>
      <c r="E1455" s="23"/>
      <c r="F1455" s="23"/>
      <c r="G1455" s="23"/>
      <c r="H1455" s="23"/>
      <c r="I1455" s="23"/>
      <c r="J1455" s="23"/>
      <c r="K1455" s="23"/>
      <c r="L1455" s="23"/>
      <c r="M1455" s="23"/>
      <c r="N1455" s="23"/>
      <c r="O1455" s="23"/>
      <c r="P1455" s="23"/>
      <c r="Q1455" s="23"/>
      <c r="R1455" s="23"/>
      <c r="S1455" s="23"/>
      <c r="T1455" s="23"/>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c r="AV1455" s="22"/>
      <c r="AW1455" s="22"/>
      <c r="AX1455" s="22"/>
    </row>
    <row r="1456" spans="1:50" x14ac:dyDescent="0.35">
      <c r="A1456" s="23"/>
      <c r="B1456" s="23"/>
      <c r="C1456" s="23"/>
      <c r="D1456" s="23"/>
      <c r="E1456" s="23"/>
      <c r="F1456" s="23"/>
      <c r="G1456" s="23"/>
      <c r="H1456" s="23"/>
      <c r="I1456" s="23"/>
      <c r="J1456" s="23"/>
      <c r="K1456" s="23"/>
      <c r="L1456" s="23"/>
      <c r="M1456" s="23"/>
      <c r="N1456" s="23"/>
      <c r="O1456" s="23"/>
      <c r="P1456" s="23"/>
      <c r="Q1456" s="23"/>
      <c r="R1456" s="23"/>
      <c r="S1456" s="23"/>
      <c r="T1456" s="23"/>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c r="AV1456" s="22"/>
      <c r="AW1456" s="22"/>
      <c r="AX1456" s="22"/>
    </row>
    <row r="1457" spans="1:50" x14ac:dyDescent="0.35">
      <c r="A1457" s="23"/>
      <c r="B1457" s="23"/>
      <c r="C1457" s="23"/>
      <c r="D1457" s="23"/>
      <c r="E1457" s="23"/>
      <c r="F1457" s="23"/>
      <c r="G1457" s="23"/>
      <c r="H1457" s="23"/>
      <c r="I1457" s="23"/>
      <c r="J1457" s="23"/>
      <c r="K1457" s="23"/>
      <c r="L1457" s="23"/>
      <c r="M1457" s="23"/>
      <c r="N1457" s="23"/>
      <c r="O1457" s="23"/>
      <c r="P1457" s="23"/>
      <c r="Q1457" s="23"/>
      <c r="R1457" s="23"/>
      <c r="S1457" s="23"/>
      <c r="T1457" s="23"/>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c r="AV1457" s="22"/>
      <c r="AW1457" s="22"/>
      <c r="AX1457" s="22"/>
    </row>
    <row r="1458" spans="1:50" x14ac:dyDescent="0.35">
      <c r="A1458" s="23"/>
      <c r="B1458" s="23"/>
      <c r="C1458" s="23"/>
      <c r="D1458" s="23"/>
      <c r="E1458" s="23"/>
      <c r="F1458" s="23"/>
      <c r="G1458" s="23"/>
      <c r="H1458" s="23"/>
      <c r="I1458" s="23"/>
      <c r="J1458" s="23"/>
      <c r="K1458" s="23"/>
      <c r="L1458" s="23"/>
      <c r="M1458" s="23"/>
      <c r="N1458" s="23"/>
      <c r="O1458" s="23"/>
      <c r="P1458" s="23"/>
      <c r="Q1458" s="23"/>
      <c r="R1458" s="23"/>
      <c r="S1458" s="23"/>
      <c r="T1458" s="23"/>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c r="AV1458" s="22"/>
      <c r="AW1458" s="22"/>
      <c r="AX1458" s="22"/>
    </row>
    <row r="1459" spans="1:50" x14ac:dyDescent="0.35">
      <c r="A1459" s="23"/>
      <c r="B1459" s="23"/>
      <c r="C1459" s="23"/>
      <c r="D1459" s="23"/>
      <c r="E1459" s="23"/>
      <c r="F1459" s="23"/>
      <c r="G1459" s="23"/>
      <c r="H1459" s="23"/>
      <c r="I1459" s="23"/>
      <c r="J1459" s="23"/>
      <c r="K1459" s="23"/>
      <c r="L1459" s="23"/>
      <c r="M1459" s="23"/>
      <c r="N1459" s="23"/>
      <c r="O1459" s="23"/>
      <c r="P1459" s="23"/>
      <c r="Q1459" s="23"/>
      <c r="R1459" s="23"/>
      <c r="S1459" s="23"/>
      <c r="T1459" s="23"/>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c r="AV1459" s="22"/>
      <c r="AW1459" s="22"/>
      <c r="AX1459" s="22"/>
    </row>
    <row r="1460" spans="1:50" x14ac:dyDescent="0.35">
      <c r="A1460" s="23"/>
      <c r="B1460" s="23"/>
      <c r="C1460" s="23"/>
      <c r="D1460" s="23"/>
      <c r="E1460" s="23"/>
      <c r="F1460" s="23"/>
      <c r="G1460" s="23"/>
      <c r="H1460" s="23"/>
      <c r="I1460" s="23"/>
      <c r="J1460" s="23"/>
      <c r="K1460" s="23"/>
      <c r="L1460" s="23"/>
      <c r="M1460" s="23"/>
      <c r="N1460" s="23"/>
      <c r="O1460" s="23"/>
      <c r="P1460" s="23"/>
      <c r="Q1460" s="23"/>
      <c r="R1460" s="23"/>
      <c r="S1460" s="23"/>
      <c r="T1460" s="23"/>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c r="AV1460" s="22"/>
      <c r="AW1460" s="22"/>
      <c r="AX1460" s="22"/>
    </row>
    <row r="1461" spans="1:50" x14ac:dyDescent="0.35">
      <c r="A1461" s="23"/>
      <c r="B1461" s="23"/>
      <c r="C1461" s="23"/>
      <c r="D1461" s="23"/>
      <c r="E1461" s="23"/>
      <c r="F1461" s="23"/>
      <c r="G1461" s="23"/>
      <c r="H1461" s="23"/>
      <c r="I1461" s="23"/>
      <c r="J1461" s="23"/>
      <c r="K1461" s="23"/>
      <c r="L1461" s="23"/>
      <c r="M1461" s="23"/>
      <c r="N1461" s="23"/>
      <c r="O1461" s="23"/>
      <c r="P1461" s="23"/>
      <c r="Q1461" s="23"/>
      <c r="R1461" s="23"/>
      <c r="S1461" s="23"/>
      <c r="T1461" s="23"/>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c r="AV1461" s="22"/>
      <c r="AW1461" s="22"/>
      <c r="AX1461" s="22"/>
    </row>
    <row r="1462" spans="1:50" x14ac:dyDescent="0.35">
      <c r="A1462" s="23"/>
      <c r="B1462" s="23"/>
      <c r="C1462" s="23"/>
      <c r="D1462" s="23"/>
      <c r="E1462" s="23"/>
      <c r="F1462" s="23"/>
      <c r="G1462" s="23"/>
      <c r="H1462" s="23"/>
      <c r="I1462" s="23"/>
      <c r="J1462" s="23"/>
      <c r="K1462" s="23"/>
      <c r="L1462" s="23"/>
      <c r="M1462" s="23"/>
      <c r="N1462" s="23"/>
      <c r="O1462" s="23"/>
      <c r="P1462" s="23"/>
      <c r="Q1462" s="23"/>
      <c r="R1462" s="23"/>
      <c r="S1462" s="23"/>
      <c r="T1462" s="23"/>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c r="AV1462" s="22"/>
      <c r="AW1462" s="22"/>
      <c r="AX1462" s="22"/>
    </row>
    <row r="1463" spans="1:50" x14ac:dyDescent="0.35">
      <c r="A1463" s="23"/>
      <c r="B1463" s="23"/>
      <c r="C1463" s="23"/>
      <c r="D1463" s="23"/>
      <c r="E1463" s="23"/>
      <c r="F1463" s="23"/>
      <c r="G1463" s="23"/>
      <c r="H1463" s="23"/>
      <c r="I1463" s="23"/>
      <c r="J1463" s="23"/>
      <c r="K1463" s="23"/>
      <c r="L1463" s="23"/>
      <c r="M1463" s="23"/>
      <c r="N1463" s="23"/>
      <c r="O1463" s="23"/>
      <c r="P1463" s="23"/>
      <c r="Q1463" s="23"/>
      <c r="R1463" s="23"/>
      <c r="S1463" s="23"/>
      <c r="T1463" s="23"/>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c r="AV1463" s="22"/>
      <c r="AW1463" s="22"/>
      <c r="AX1463" s="22"/>
    </row>
    <row r="1464" spans="1:50" x14ac:dyDescent="0.35">
      <c r="A1464" s="23"/>
      <c r="B1464" s="23"/>
      <c r="C1464" s="23"/>
      <c r="D1464" s="23"/>
      <c r="E1464" s="23"/>
      <c r="F1464" s="23"/>
      <c r="G1464" s="23"/>
      <c r="H1464" s="23"/>
      <c r="I1464" s="23"/>
      <c r="J1464" s="23"/>
      <c r="K1464" s="23"/>
      <c r="L1464" s="23"/>
      <c r="M1464" s="23"/>
      <c r="N1464" s="23"/>
      <c r="O1464" s="23"/>
      <c r="P1464" s="23"/>
      <c r="Q1464" s="23"/>
      <c r="R1464" s="23"/>
      <c r="S1464" s="23"/>
      <c r="T1464" s="23"/>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c r="AV1464" s="22"/>
      <c r="AW1464" s="22"/>
      <c r="AX1464" s="22"/>
    </row>
    <row r="1465" spans="1:50" x14ac:dyDescent="0.35">
      <c r="A1465" s="23"/>
      <c r="B1465" s="23"/>
      <c r="C1465" s="23"/>
      <c r="D1465" s="23"/>
      <c r="E1465" s="23"/>
      <c r="F1465" s="23"/>
      <c r="G1465" s="23"/>
      <c r="H1465" s="23"/>
      <c r="I1465" s="23"/>
      <c r="J1465" s="23"/>
      <c r="K1465" s="23"/>
      <c r="L1465" s="23"/>
      <c r="M1465" s="23"/>
      <c r="N1465" s="23"/>
      <c r="O1465" s="23"/>
      <c r="P1465" s="23"/>
      <c r="Q1465" s="23"/>
      <c r="R1465" s="23"/>
      <c r="S1465" s="23"/>
      <c r="T1465" s="23"/>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c r="AV1465" s="22"/>
      <c r="AW1465" s="22"/>
      <c r="AX1465" s="22"/>
    </row>
    <row r="1466" spans="1:50" x14ac:dyDescent="0.35">
      <c r="A1466" s="23"/>
      <c r="B1466" s="23"/>
      <c r="C1466" s="23"/>
      <c r="D1466" s="23"/>
      <c r="E1466" s="23"/>
      <c r="F1466" s="23"/>
      <c r="G1466" s="23"/>
      <c r="H1466" s="23"/>
      <c r="I1466" s="23"/>
      <c r="J1466" s="23"/>
      <c r="K1466" s="23"/>
      <c r="L1466" s="23"/>
      <c r="M1466" s="23"/>
      <c r="N1466" s="23"/>
      <c r="O1466" s="23"/>
      <c r="P1466" s="23"/>
      <c r="Q1466" s="23"/>
      <c r="R1466" s="23"/>
      <c r="S1466" s="23"/>
      <c r="T1466" s="23"/>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c r="AV1466" s="22"/>
      <c r="AW1466" s="22"/>
      <c r="AX1466" s="22"/>
    </row>
    <row r="1467" spans="1:50" x14ac:dyDescent="0.35">
      <c r="A1467" s="23"/>
      <c r="B1467" s="23"/>
      <c r="C1467" s="23"/>
      <c r="D1467" s="23"/>
      <c r="E1467" s="23"/>
      <c r="F1467" s="23"/>
      <c r="G1467" s="23"/>
      <c r="H1467" s="23"/>
      <c r="I1467" s="23"/>
      <c r="J1467" s="23"/>
      <c r="K1467" s="23"/>
      <c r="L1467" s="23"/>
      <c r="M1467" s="23"/>
      <c r="N1467" s="23"/>
      <c r="O1467" s="23"/>
      <c r="P1467" s="23"/>
      <c r="Q1467" s="23"/>
      <c r="R1467" s="23"/>
      <c r="S1467" s="23"/>
      <c r="T1467" s="23"/>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c r="AV1467" s="22"/>
      <c r="AW1467" s="22"/>
      <c r="AX1467" s="22"/>
    </row>
    <row r="1468" spans="1:50" x14ac:dyDescent="0.35">
      <c r="A1468" s="23"/>
      <c r="B1468" s="23"/>
      <c r="C1468" s="23"/>
      <c r="D1468" s="23"/>
      <c r="E1468" s="23"/>
      <c r="F1468" s="23"/>
      <c r="G1468" s="23"/>
      <c r="H1468" s="23"/>
      <c r="I1468" s="23"/>
      <c r="J1468" s="23"/>
      <c r="K1468" s="23"/>
      <c r="L1468" s="23"/>
      <c r="M1468" s="23"/>
      <c r="N1468" s="23"/>
      <c r="O1468" s="23"/>
      <c r="P1468" s="23"/>
      <c r="Q1468" s="23"/>
      <c r="R1468" s="23"/>
      <c r="S1468" s="23"/>
      <c r="T1468" s="23"/>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c r="AV1468" s="22"/>
      <c r="AW1468" s="22"/>
      <c r="AX1468" s="22"/>
    </row>
    <row r="1469" spans="1:50" x14ac:dyDescent="0.35">
      <c r="A1469" s="23"/>
      <c r="B1469" s="23"/>
      <c r="C1469" s="23"/>
      <c r="D1469" s="23"/>
      <c r="E1469" s="23"/>
      <c r="F1469" s="23"/>
      <c r="G1469" s="23"/>
      <c r="H1469" s="23"/>
      <c r="I1469" s="23"/>
      <c r="J1469" s="23"/>
      <c r="K1469" s="23"/>
      <c r="L1469" s="23"/>
      <c r="M1469" s="23"/>
      <c r="N1469" s="23"/>
      <c r="O1469" s="23"/>
      <c r="P1469" s="23"/>
      <c r="Q1469" s="23"/>
      <c r="R1469" s="23"/>
      <c r="S1469" s="23"/>
      <c r="T1469" s="23"/>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c r="AV1469" s="22"/>
      <c r="AW1469" s="22"/>
      <c r="AX1469" s="22"/>
    </row>
    <row r="1470" spans="1:50" x14ac:dyDescent="0.35">
      <c r="A1470" s="23"/>
      <c r="B1470" s="23"/>
      <c r="C1470" s="23"/>
      <c r="D1470" s="23"/>
      <c r="E1470" s="23"/>
      <c r="F1470" s="23"/>
      <c r="G1470" s="23"/>
      <c r="H1470" s="23"/>
      <c r="I1470" s="23"/>
      <c r="J1470" s="23"/>
      <c r="K1470" s="23"/>
      <c r="L1470" s="23"/>
      <c r="M1470" s="23"/>
      <c r="N1470" s="23"/>
      <c r="O1470" s="23"/>
      <c r="P1470" s="23"/>
      <c r="Q1470" s="23"/>
      <c r="R1470" s="23"/>
      <c r="S1470" s="23"/>
      <c r="T1470" s="23"/>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c r="AV1470" s="22"/>
      <c r="AW1470" s="22"/>
      <c r="AX1470" s="22"/>
    </row>
    <row r="1471" spans="1:50" x14ac:dyDescent="0.35">
      <c r="A1471" s="23"/>
      <c r="B1471" s="23"/>
      <c r="C1471" s="23"/>
      <c r="D1471" s="23"/>
      <c r="E1471" s="23"/>
      <c r="F1471" s="23"/>
      <c r="G1471" s="23"/>
      <c r="H1471" s="23"/>
      <c r="I1471" s="23"/>
      <c r="J1471" s="23"/>
      <c r="K1471" s="23"/>
      <c r="L1471" s="23"/>
      <c r="M1471" s="23"/>
      <c r="N1471" s="23"/>
      <c r="O1471" s="23"/>
      <c r="P1471" s="23"/>
      <c r="Q1471" s="23"/>
      <c r="R1471" s="23"/>
      <c r="S1471" s="23"/>
      <c r="T1471" s="23"/>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c r="AV1471" s="22"/>
      <c r="AW1471" s="22"/>
      <c r="AX1471" s="22"/>
    </row>
    <row r="1472" spans="1:50" x14ac:dyDescent="0.35">
      <c r="A1472" s="23"/>
      <c r="B1472" s="23"/>
      <c r="C1472" s="23"/>
      <c r="D1472" s="23"/>
      <c r="E1472" s="23"/>
      <c r="F1472" s="23"/>
      <c r="G1472" s="23"/>
      <c r="H1472" s="23"/>
      <c r="I1472" s="23"/>
      <c r="J1472" s="23"/>
      <c r="K1472" s="23"/>
      <c r="L1472" s="23"/>
      <c r="M1472" s="23"/>
      <c r="N1472" s="23"/>
      <c r="O1472" s="23"/>
      <c r="P1472" s="23"/>
      <c r="Q1472" s="23"/>
      <c r="R1472" s="23"/>
      <c r="S1472" s="23"/>
      <c r="T1472" s="23"/>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c r="AV1472" s="22"/>
      <c r="AW1472" s="22"/>
      <c r="AX1472" s="22"/>
    </row>
    <row r="1473" spans="1:50" x14ac:dyDescent="0.35">
      <c r="A1473" s="23"/>
      <c r="B1473" s="23"/>
      <c r="C1473" s="23"/>
      <c r="D1473" s="23"/>
      <c r="E1473" s="23"/>
      <c r="F1473" s="23"/>
      <c r="G1473" s="23"/>
      <c r="H1473" s="23"/>
      <c r="I1473" s="23"/>
      <c r="J1473" s="23"/>
      <c r="K1473" s="23"/>
      <c r="L1473" s="23"/>
      <c r="M1473" s="23"/>
      <c r="N1473" s="23"/>
      <c r="O1473" s="23"/>
      <c r="P1473" s="23"/>
      <c r="Q1473" s="23"/>
      <c r="R1473" s="23"/>
      <c r="S1473" s="23"/>
      <c r="T1473" s="23"/>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c r="AV1473" s="22"/>
      <c r="AW1473" s="22"/>
      <c r="AX1473" s="22"/>
    </row>
    <row r="1474" spans="1:50" x14ac:dyDescent="0.35">
      <c r="A1474" s="23"/>
      <c r="B1474" s="23"/>
      <c r="C1474" s="23"/>
      <c r="D1474" s="23"/>
      <c r="E1474" s="23"/>
      <c r="F1474" s="23"/>
      <c r="G1474" s="23"/>
      <c r="H1474" s="23"/>
      <c r="I1474" s="23"/>
      <c r="J1474" s="23"/>
      <c r="K1474" s="23"/>
      <c r="L1474" s="23"/>
      <c r="M1474" s="23"/>
      <c r="N1474" s="23"/>
      <c r="O1474" s="23"/>
      <c r="P1474" s="23"/>
      <c r="Q1474" s="23"/>
      <c r="R1474" s="23"/>
      <c r="S1474" s="23"/>
      <c r="T1474" s="23"/>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c r="AV1474" s="22"/>
      <c r="AW1474" s="22"/>
      <c r="AX1474" s="22"/>
    </row>
    <row r="1475" spans="1:50" x14ac:dyDescent="0.35">
      <c r="A1475" s="23"/>
      <c r="B1475" s="23"/>
      <c r="C1475" s="23"/>
      <c r="D1475" s="23"/>
      <c r="E1475" s="23"/>
      <c r="F1475" s="23"/>
      <c r="G1475" s="23"/>
      <c r="H1475" s="23"/>
      <c r="I1475" s="23"/>
      <c r="J1475" s="23"/>
      <c r="K1475" s="23"/>
      <c r="L1475" s="23"/>
      <c r="M1475" s="23"/>
      <c r="N1475" s="23"/>
      <c r="O1475" s="23"/>
      <c r="P1475" s="23"/>
      <c r="Q1475" s="23"/>
      <c r="R1475" s="23"/>
      <c r="S1475" s="23"/>
      <c r="T1475" s="23"/>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c r="AV1475" s="22"/>
      <c r="AW1475" s="22"/>
      <c r="AX1475" s="22"/>
    </row>
    <row r="1476" spans="1:50" x14ac:dyDescent="0.35">
      <c r="A1476" s="23"/>
      <c r="B1476" s="23"/>
      <c r="C1476" s="23"/>
      <c r="D1476" s="23"/>
      <c r="E1476" s="23"/>
      <c r="F1476" s="23"/>
      <c r="G1476" s="23"/>
      <c r="H1476" s="23"/>
      <c r="I1476" s="23"/>
      <c r="J1476" s="23"/>
      <c r="K1476" s="23"/>
      <c r="L1476" s="23"/>
      <c r="M1476" s="23"/>
      <c r="N1476" s="23"/>
      <c r="O1476" s="23"/>
      <c r="P1476" s="23"/>
      <c r="Q1476" s="23"/>
      <c r="R1476" s="23"/>
      <c r="S1476" s="23"/>
      <c r="T1476" s="23"/>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c r="AV1476" s="22"/>
      <c r="AW1476" s="22"/>
      <c r="AX1476" s="22"/>
    </row>
    <row r="1477" spans="1:50" x14ac:dyDescent="0.35">
      <c r="A1477" s="23"/>
      <c r="B1477" s="23"/>
      <c r="C1477" s="23"/>
      <c r="D1477" s="23"/>
      <c r="E1477" s="23"/>
      <c r="F1477" s="23"/>
      <c r="G1477" s="23"/>
      <c r="H1477" s="23"/>
      <c r="I1477" s="23"/>
      <c r="J1477" s="23"/>
      <c r="K1477" s="23"/>
      <c r="L1477" s="23"/>
      <c r="M1477" s="23"/>
      <c r="N1477" s="23"/>
      <c r="O1477" s="23"/>
      <c r="P1477" s="23"/>
      <c r="Q1477" s="23"/>
      <c r="R1477" s="23"/>
      <c r="S1477" s="23"/>
      <c r="T1477" s="23"/>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c r="AV1477" s="22"/>
      <c r="AW1477" s="22"/>
      <c r="AX1477" s="22"/>
    </row>
    <row r="1478" spans="1:50" x14ac:dyDescent="0.35">
      <c r="A1478" s="23"/>
      <c r="B1478" s="23"/>
      <c r="C1478" s="23"/>
      <c r="D1478" s="23"/>
      <c r="E1478" s="23"/>
      <c r="F1478" s="23"/>
      <c r="G1478" s="23"/>
      <c r="H1478" s="23"/>
      <c r="I1478" s="23"/>
      <c r="J1478" s="23"/>
      <c r="K1478" s="23"/>
      <c r="L1478" s="23"/>
      <c r="M1478" s="23"/>
      <c r="N1478" s="23"/>
      <c r="O1478" s="23"/>
      <c r="P1478" s="23"/>
      <c r="Q1478" s="23"/>
      <c r="R1478" s="23"/>
      <c r="S1478" s="23"/>
      <c r="T1478" s="23"/>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c r="AV1478" s="22"/>
      <c r="AW1478" s="22"/>
      <c r="AX1478" s="22"/>
    </row>
    <row r="1479" spans="1:50" x14ac:dyDescent="0.35">
      <c r="A1479" s="23"/>
      <c r="B1479" s="23"/>
      <c r="C1479" s="23"/>
      <c r="D1479" s="23"/>
      <c r="E1479" s="23"/>
      <c r="F1479" s="23"/>
      <c r="G1479" s="23"/>
      <c r="H1479" s="23"/>
      <c r="I1479" s="23"/>
      <c r="J1479" s="23"/>
      <c r="K1479" s="23"/>
      <c r="L1479" s="23"/>
      <c r="M1479" s="23"/>
      <c r="N1479" s="23"/>
      <c r="O1479" s="23"/>
      <c r="P1479" s="23"/>
      <c r="Q1479" s="23"/>
      <c r="R1479" s="23"/>
      <c r="S1479" s="23"/>
      <c r="T1479" s="23"/>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c r="AV1479" s="22"/>
      <c r="AW1479" s="22"/>
      <c r="AX1479" s="22"/>
    </row>
    <row r="1480" spans="1:50" x14ac:dyDescent="0.35">
      <c r="A1480" s="23"/>
      <c r="B1480" s="23"/>
      <c r="C1480" s="23"/>
      <c r="D1480" s="23"/>
      <c r="E1480" s="23"/>
      <c r="F1480" s="23"/>
      <c r="G1480" s="23"/>
      <c r="H1480" s="23"/>
      <c r="I1480" s="23"/>
      <c r="J1480" s="23"/>
      <c r="K1480" s="23"/>
      <c r="L1480" s="23"/>
      <c r="M1480" s="23"/>
      <c r="N1480" s="23"/>
      <c r="O1480" s="23"/>
      <c r="P1480" s="23"/>
      <c r="Q1480" s="23"/>
      <c r="R1480" s="23"/>
      <c r="S1480" s="23"/>
      <c r="T1480" s="23"/>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c r="AV1480" s="22"/>
      <c r="AW1480" s="22"/>
      <c r="AX1480" s="22"/>
    </row>
    <row r="1481" spans="1:50" x14ac:dyDescent="0.35">
      <c r="A1481" s="23"/>
      <c r="B1481" s="23"/>
      <c r="C1481" s="23"/>
      <c r="D1481" s="23"/>
      <c r="E1481" s="23"/>
      <c r="F1481" s="23"/>
      <c r="G1481" s="23"/>
      <c r="H1481" s="23"/>
      <c r="I1481" s="23"/>
      <c r="J1481" s="23"/>
      <c r="K1481" s="23"/>
      <c r="L1481" s="23"/>
      <c r="M1481" s="23"/>
      <c r="N1481" s="23"/>
      <c r="O1481" s="23"/>
      <c r="P1481" s="23"/>
      <c r="Q1481" s="23"/>
      <c r="R1481" s="23"/>
      <c r="S1481" s="23"/>
      <c r="T1481" s="23"/>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c r="AV1481" s="22"/>
      <c r="AW1481" s="22"/>
      <c r="AX1481" s="22"/>
    </row>
    <row r="1482" spans="1:50" x14ac:dyDescent="0.35">
      <c r="A1482" s="23"/>
      <c r="B1482" s="23"/>
      <c r="C1482" s="23"/>
      <c r="D1482" s="23"/>
      <c r="E1482" s="23"/>
      <c r="F1482" s="23"/>
      <c r="G1482" s="23"/>
      <c r="H1482" s="23"/>
      <c r="I1482" s="23"/>
      <c r="J1482" s="23"/>
      <c r="K1482" s="23"/>
      <c r="L1482" s="23"/>
      <c r="M1482" s="23"/>
      <c r="N1482" s="23"/>
      <c r="O1482" s="23"/>
      <c r="P1482" s="23"/>
      <c r="Q1482" s="23"/>
      <c r="R1482" s="23"/>
      <c r="S1482" s="23"/>
      <c r="T1482" s="23"/>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c r="AV1482" s="22"/>
      <c r="AW1482" s="22"/>
      <c r="AX1482" s="22"/>
    </row>
    <row r="1483" spans="1:50" x14ac:dyDescent="0.35">
      <c r="A1483" s="23"/>
      <c r="B1483" s="23"/>
      <c r="C1483" s="23"/>
      <c r="D1483" s="23"/>
      <c r="E1483" s="23"/>
      <c r="F1483" s="23"/>
      <c r="G1483" s="23"/>
      <c r="H1483" s="23"/>
      <c r="I1483" s="23"/>
      <c r="J1483" s="23"/>
      <c r="K1483" s="23"/>
      <c r="L1483" s="23"/>
      <c r="M1483" s="23"/>
      <c r="N1483" s="23"/>
      <c r="O1483" s="23"/>
      <c r="P1483" s="23"/>
      <c r="Q1483" s="23"/>
      <c r="R1483" s="23"/>
      <c r="S1483" s="23"/>
      <c r="T1483" s="23"/>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c r="AV1483" s="22"/>
      <c r="AW1483" s="22"/>
      <c r="AX1483" s="22"/>
    </row>
    <row r="1484" spans="1:50" x14ac:dyDescent="0.35">
      <c r="A1484" s="23"/>
      <c r="B1484" s="23"/>
      <c r="C1484" s="23"/>
      <c r="D1484" s="23"/>
      <c r="E1484" s="23"/>
      <c r="F1484" s="23"/>
      <c r="G1484" s="23"/>
      <c r="H1484" s="23"/>
      <c r="I1484" s="23"/>
      <c r="J1484" s="23"/>
      <c r="K1484" s="23"/>
      <c r="L1484" s="23"/>
      <c r="M1484" s="23"/>
      <c r="N1484" s="23"/>
      <c r="O1484" s="23"/>
      <c r="P1484" s="23"/>
      <c r="Q1484" s="23"/>
      <c r="R1484" s="23"/>
      <c r="S1484" s="23"/>
      <c r="T1484" s="23"/>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c r="AV1484" s="22"/>
      <c r="AW1484" s="22"/>
      <c r="AX1484" s="22"/>
    </row>
    <row r="1485" spans="1:50" x14ac:dyDescent="0.35">
      <c r="A1485" s="23"/>
      <c r="B1485" s="23"/>
      <c r="C1485" s="23"/>
      <c r="D1485" s="23"/>
      <c r="E1485" s="23"/>
      <c r="F1485" s="23"/>
      <c r="G1485" s="23"/>
      <c r="H1485" s="23"/>
      <c r="I1485" s="23"/>
      <c r="J1485" s="23"/>
      <c r="K1485" s="23"/>
      <c r="L1485" s="23"/>
      <c r="M1485" s="23"/>
      <c r="N1485" s="23"/>
      <c r="O1485" s="23"/>
      <c r="P1485" s="23"/>
      <c r="Q1485" s="23"/>
      <c r="R1485" s="23"/>
      <c r="S1485" s="23"/>
      <c r="T1485" s="23"/>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c r="AV1485" s="22"/>
      <c r="AW1485" s="22"/>
      <c r="AX1485" s="22"/>
    </row>
    <row r="1486" spans="1:50" x14ac:dyDescent="0.35">
      <c r="A1486" s="23"/>
      <c r="B1486" s="23"/>
      <c r="C1486" s="23"/>
      <c r="D1486" s="23"/>
      <c r="E1486" s="23"/>
      <c r="F1486" s="23"/>
      <c r="G1486" s="23"/>
      <c r="H1486" s="23"/>
      <c r="I1486" s="23"/>
      <c r="J1486" s="23"/>
      <c r="K1486" s="23"/>
      <c r="L1486" s="23"/>
      <c r="M1486" s="23"/>
      <c r="N1486" s="23"/>
      <c r="O1486" s="23"/>
      <c r="P1486" s="23"/>
      <c r="Q1486" s="23"/>
      <c r="R1486" s="23"/>
      <c r="S1486" s="23"/>
      <c r="T1486" s="23"/>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c r="AV1486" s="22"/>
      <c r="AW1486" s="22"/>
      <c r="AX1486" s="22"/>
    </row>
    <row r="1487" spans="1:50" x14ac:dyDescent="0.35">
      <c r="A1487" s="23"/>
      <c r="B1487" s="23"/>
      <c r="C1487" s="23"/>
      <c r="D1487" s="23"/>
      <c r="E1487" s="23"/>
      <c r="F1487" s="23"/>
      <c r="G1487" s="23"/>
      <c r="H1487" s="23"/>
      <c r="I1487" s="23"/>
      <c r="J1487" s="23"/>
      <c r="K1487" s="23"/>
      <c r="L1487" s="23"/>
      <c r="M1487" s="23"/>
      <c r="N1487" s="23"/>
      <c r="O1487" s="23"/>
      <c r="P1487" s="23"/>
      <c r="Q1487" s="23"/>
      <c r="R1487" s="23"/>
      <c r="S1487" s="23"/>
      <c r="T1487" s="23"/>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c r="AV1487" s="22"/>
      <c r="AW1487" s="22"/>
      <c r="AX1487" s="22"/>
    </row>
    <row r="1488" spans="1:50" x14ac:dyDescent="0.35">
      <c r="A1488" s="23"/>
      <c r="B1488" s="23"/>
      <c r="C1488" s="23"/>
      <c r="D1488" s="23"/>
      <c r="E1488" s="23"/>
      <c r="F1488" s="23"/>
      <c r="G1488" s="23"/>
      <c r="H1488" s="23"/>
      <c r="I1488" s="23"/>
      <c r="J1488" s="23"/>
      <c r="K1488" s="23"/>
      <c r="L1488" s="23"/>
      <c r="M1488" s="23"/>
      <c r="N1488" s="23"/>
      <c r="O1488" s="23"/>
      <c r="P1488" s="23"/>
      <c r="Q1488" s="23"/>
      <c r="R1488" s="23"/>
      <c r="S1488" s="23"/>
      <c r="T1488" s="23"/>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c r="AV1488" s="22"/>
      <c r="AW1488" s="22"/>
      <c r="AX1488" s="22"/>
    </row>
    <row r="1489" spans="1:50" x14ac:dyDescent="0.35">
      <c r="A1489" s="23"/>
      <c r="B1489" s="23"/>
      <c r="C1489" s="23"/>
      <c r="D1489" s="23"/>
      <c r="E1489" s="23"/>
      <c r="F1489" s="23"/>
      <c r="G1489" s="23"/>
      <c r="H1489" s="23"/>
      <c r="I1489" s="23"/>
      <c r="J1489" s="23"/>
      <c r="K1489" s="23"/>
      <c r="L1489" s="23"/>
      <c r="M1489" s="23"/>
      <c r="N1489" s="23"/>
      <c r="O1489" s="23"/>
      <c r="P1489" s="23"/>
      <c r="Q1489" s="23"/>
      <c r="R1489" s="23"/>
      <c r="S1489" s="23"/>
      <c r="T1489" s="23"/>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c r="AV1489" s="22"/>
      <c r="AW1489" s="22"/>
      <c r="AX1489" s="22"/>
    </row>
    <row r="1490" spans="1:50" x14ac:dyDescent="0.35">
      <c r="A1490" s="23"/>
      <c r="B1490" s="23"/>
      <c r="C1490" s="23"/>
      <c r="D1490" s="23"/>
      <c r="E1490" s="23"/>
      <c r="F1490" s="23"/>
      <c r="G1490" s="23"/>
      <c r="H1490" s="23"/>
      <c r="I1490" s="23"/>
      <c r="J1490" s="23"/>
      <c r="K1490" s="23"/>
      <c r="L1490" s="23"/>
      <c r="M1490" s="23"/>
      <c r="N1490" s="23"/>
      <c r="O1490" s="23"/>
      <c r="P1490" s="23"/>
      <c r="Q1490" s="23"/>
      <c r="R1490" s="23"/>
      <c r="S1490" s="23"/>
      <c r="T1490" s="23"/>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c r="AV1490" s="22"/>
      <c r="AW1490" s="22"/>
      <c r="AX1490" s="22"/>
    </row>
    <row r="1491" spans="1:50" x14ac:dyDescent="0.35">
      <c r="A1491" s="23"/>
      <c r="B1491" s="23"/>
      <c r="C1491" s="23"/>
      <c r="D1491" s="23"/>
      <c r="E1491" s="23"/>
      <c r="F1491" s="23"/>
      <c r="G1491" s="23"/>
      <c r="H1491" s="23"/>
      <c r="I1491" s="23"/>
      <c r="J1491" s="23"/>
      <c r="K1491" s="23"/>
      <c r="L1491" s="23"/>
      <c r="M1491" s="23"/>
      <c r="N1491" s="23"/>
      <c r="O1491" s="23"/>
      <c r="P1491" s="23"/>
      <c r="Q1491" s="23"/>
      <c r="R1491" s="23"/>
      <c r="S1491" s="23"/>
      <c r="T1491" s="23"/>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c r="AV1491" s="22"/>
      <c r="AW1491" s="22"/>
      <c r="AX1491" s="22"/>
    </row>
    <row r="1492" spans="1:50" x14ac:dyDescent="0.35">
      <c r="A1492" s="23"/>
      <c r="B1492" s="23"/>
      <c r="C1492" s="23"/>
      <c r="D1492" s="23"/>
      <c r="E1492" s="23"/>
      <c r="F1492" s="23"/>
      <c r="G1492" s="23"/>
      <c r="H1492" s="23"/>
      <c r="I1492" s="23"/>
      <c r="J1492" s="23"/>
      <c r="K1492" s="23"/>
      <c r="L1492" s="23"/>
      <c r="M1492" s="23"/>
      <c r="N1492" s="23"/>
      <c r="O1492" s="23"/>
      <c r="P1492" s="23"/>
      <c r="Q1492" s="23"/>
      <c r="R1492" s="23"/>
      <c r="S1492" s="23"/>
      <c r="T1492" s="23"/>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c r="AV1492" s="22"/>
      <c r="AW1492" s="22"/>
      <c r="AX1492" s="22"/>
    </row>
    <row r="1493" spans="1:50" x14ac:dyDescent="0.35">
      <c r="A1493" s="23"/>
      <c r="B1493" s="23"/>
      <c r="C1493" s="23"/>
      <c r="D1493" s="23"/>
      <c r="E1493" s="23"/>
      <c r="F1493" s="23"/>
      <c r="G1493" s="23"/>
      <c r="H1493" s="23"/>
      <c r="I1493" s="23"/>
      <c r="J1493" s="23"/>
      <c r="K1493" s="23"/>
      <c r="L1493" s="23"/>
      <c r="M1493" s="23"/>
      <c r="N1493" s="23"/>
      <c r="O1493" s="23"/>
      <c r="P1493" s="23"/>
      <c r="Q1493" s="23"/>
      <c r="R1493" s="23"/>
      <c r="S1493" s="23"/>
      <c r="T1493" s="23"/>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c r="AV1493" s="22"/>
      <c r="AW1493" s="22"/>
      <c r="AX1493" s="22"/>
    </row>
    <row r="1494" spans="1:50" x14ac:dyDescent="0.35">
      <c r="A1494" s="23"/>
      <c r="B1494" s="23"/>
      <c r="C1494" s="23"/>
      <c r="D1494" s="23"/>
      <c r="E1494" s="23"/>
      <c r="F1494" s="23"/>
      <c r="G1494" s="23"/>
      <c r="H1494" s="23"/>
      <c r="I1494" s="23"/>
      <c r="J1494" s="23"/>
      <c r="K1494" s="23"/>
      <c r="L1494" s="23"/>
      <c r="M1494" s="23"/>
      <c r="N1494" s="23"/>
      <c r="O1494" s="23"/>
      <c r="P1494" s="23"/>
      <c r="Q1494" s="23"/>
      <c r="R1494" s="23"/>
      <c r="S1494" s="23"/>
      <c r="T1494" s="23"/>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c r="AV1494" s="22"/>
      <c r="AW1494" s="22"/>
      <c r="AX1494" s="22"/>
    </row>
    <row r="1495" spans="1:50" x14ac:dyDescent="0.35">
      <c r="A1495" s="23"/>
      <c r="B1495" s="23"/>
      <c r="C1495" s="23"/>
      <c r="D1495" s="23"/>
      <c r="E1495" s="23"/>
      <c r="F1495" s="23"/>
      <c r="G1495" s="23"/>
      <c r="H1495" s="23"/>
      <c r="I1495" s="23"/>
      <c r="J1495" s="23"/>
      <c r="K1495" s="23"/>
      <c r="L1495" s="23"/>
      <c r="M1495" s="23"/>
      <c r="N1495" s="23"/>
      <c r="O1495" s="23"/>
      <c r="P1495" s="23"/>
      <c r="Q1495" s="23"/>
      <c r="R1495" s="23"/>
      <c r="S1495" s="23"/>
      <c r="T1495" s="23"/>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c r="AV1495" s="22"/>
      <c r="AW1495" s="22"/>
      <c r="AX1495" s="22"/>
    </row>
    <row r="1496" spans="1:50" x14ac:dyDescent="0.35">
      <c r="A1496" s="23"/>
      <c r="B1496" s="23"/>
      <c r="C1496" s="23"/>
      <c r="D1496" s="23"/>
      <c r="E1496" s="23"/>
      <c r="F1496" s="23"/>
      <c r="G1496" s="23"/>
      <c r="H1496" s="23"/>
      <c r="I1496" s="23"/>
      <c r="J1496" s="23"/>
      <c r="K1496" s="23"/>
      <c r="L1496" s="23"/>
      <c r="M1496" s="23"/>
      <c r="N1496" s="23"/>
      <c r="O1496" s="23"/>
      <c r="P1496" s="23"/>
      <c r="Q1496" s="23"/>
      <c r="R1496" s="23"/>
      <c r="S1496" s="23"/>
      <c r="T1496" s="23"/>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c r="AV1496" s="22"/>
      <c r="AW1496" s="22"/>
      <c r="AX1496" s="22"/>
    </row>
    <row r="1497" spans="1:50" x14ac:dyDescent="0.35">
      <c r="A1497" s="23"/>
      <c r="B1497" s="23"/>
      <c r="C1497" s="23"/>
      <c r="D1497" s="23"/>
      <c r="E1497" s="23"/>
      <c r="F1497" s="23"/>
      <c r="G1497" s="23"/>
      <c r="H1497" s="23"/>
      <c r="I1497" s="23"/>
      <c r="J1497" s="23"/>
      <c r="K1497" s="23"/>
      <c r="L1497" s="23"/>
      <c r="M1497" s="23"/>
      <c r="N1497" s="23"/>
      <c r="O1497" s="23"/>
      <c r="P1497" s="23"/>
      <c r="Q1497" s="23"/>
      <c r="R1497" s="23"/>
      <c r="S1497" s="23"/>
      <c r="T1497" s="23"/>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c r="AV1497" s="22"/>
      <c r="AW1497" s="22"/>
      <c r="AX1497" s="22"/>
    </row>
    <row r="1498" spans="1:50" x14ac:dyDescent="0.35">
      <c r="A1498" s="23"/>
      <c r="B1498" s="23"/>
      <c r="C1498" s="23"/>
      <c r="D1498" s="23"/>
      <c r="E1498" s="23"/>
      <c r="F1498" s="23"/>
      <c r="G1498" s="23"/>
      <c r="H1498" s="23"/>
      <c r="I1498" s="23"/>
      <c r="J1498" s="23"/>
      <c r="K1498" s="23"/>
      <c r="L1498" s="23"/>
      <c r="M1498" s="23"/>
      <c r="N1498" s="23"/>
      <c r="O1498" s="23"/>
      <c r="P1498" s="23"/>
      <c r="Q1498" s="23"/>
      <c r="R1498" s="23"/>
      <c r="S1498" s="23"/>
      <c r="T1498" s="23"/>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c r="AV1498" s="22"/>
      <c r="AW1498" s="22"/>
      <c r="AX1498" s="22"/>
    </row>
    <row r="1499" spans="1:50" x14ac:dyDescent="0.35">
      <c r="A1499" s="23"/>
      <c r="B1499" s="23"/>
      <c r="C1499" s="23"/>
      <c r="D1499" s="23"/>
      <c r="E1499" s="23"/>
      <c r="F1499" s="23"/>
      <c r="G1499" s="23"/>
      <c r="H1499" s="23"/>
      <c r="I1499" s="23"/>
      <c r="J1499" s="23"/>
      <c r="K1499" s="23"/>
      <c r="L1499" s="23"/>
      <c r="M1499" s="23"/>
      <c r="N1499" s="23"/>
      <c r="O1499" s="23"/>
      <c r="P1499" s="23"/>
      <c r="Q1499" s="23"/>
      <c r="R1499" s="23"/>
      <c r="S1499" s="23"/>
      <c r="T1499" s="23"/>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c r="AV1499" s="22"/>
      <c r="AW1499" s="22"/>
      <c r="AX1499" s="22"/>
    </row>
    <row r="1500" spans="1:50" x14ac:dyDescent="0.35">
      <c r="A1500" s="23"/>
      <c r="B1500" s="23"/>
      <c r="C1500" s="23"/>
      <c r="D1500" s="23"/>
      <c r="E1500" s="23"/>
      <c r="F1500" s="23"/>
      <c r="G1500" s="23"/>
      <c r="H1500" s="23"/>
      <c r="I1500" s="23"/>
      <c r="J1500" s="23"/>
      <c r="K1500" s="23"/>
      <c r="L1500" s="23"/>
      <c r="M1500" s="23"/>
      <c r="N1500" s="23"/>
      <c r="O1500" s="23"/>
      <c r="P1500" s="23"/>
      <c r="Q1500" s="23"/>
      <c r="R1500" s="23"/>
      <c r="S1500" s="23"/>
      <c r="T1500" s="23"/>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c r="AV1500" s="22"/>
      <c r="AW1500" s="22"/>
      <c r="AX1500" s="22"/>
    </row>
    <row r="1501" spans="1:50" x14ac:dyDescent="0.35">
      <c r="A1501" s="23"/>
      <c r="B1501" s="23"/>
      <c r="C1501" s="23"/>
      <c r="D1501" s="23"/>
      <c r="E1501" s="23"/>
      <c r="F1501" s="23"/>
      <c r="G1501" s="23"/>
      <c r="H1501" s="23"/>
      <c r="I1501" s="23"/>
      <c r="J1501" s="23"/>
      <c r="K1501" s="23"/>
      <c r="L1501" s="23"/>
      <c r="M1501" s="23"/>
      <c r="N1501" s="23"/>
      <c r="O1501" s="23"/>
      <c r="P1501" s="23"/>
      <c r="Q1501" s="23"/>
      <c r="R1501" s="23"/>
      <c r="S1501" s="23"/>
      <c r="T1501" s="23"/>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c r="AV1501" s="22"/>
      <c r="AW1501" s="22"/>
      <c r="AX1501" s="22"/>
    </row>
    <row r="1502" spans="1:50" x14ac:dyDescent="0.35">
      <c r="A1502" s="23"/>
      <c r="B1502" s="23"/>
      <c r="C1502" s="23"/>
      <c r="D1502" s="23"/>
      <c r="E1502" s="23"/>
      <c r="F1502" s="23"/>
      <c r="G1502" s="23"/>
      <c r="H1502" s="23"/>
      <c r="I1502" s="23"/>
      <c r="J1502" s="23"/>
      <c r="K1502" s="23"/>
      <c r="L1502" s="23"/>
      <c r="M1502" s="23"/>
      <c r="N1502" s="23"/>
      <c r="O1502" s="23"/>
      <c r="P1502" s="23"/>
      <c r="Q1502" s="23"/>
      <c r="R1502" s="23"/>
      <c r="S1502" s="23"/>
      <c r="T1502" s="23"/>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c r="AV1502" s="22"/>
      <c r="AW1502" s="22"/>
      <c r="AX1502" s="22"/>
    </row>
    <row r="1503" spans="1:50" x14ac:dyDescent="0.35">
      <c r="A1503" s="23"/>
      <c r="B1503" s="23"/>
      <c r="C1503" s="23"/>
      <c r="D1503" s="23"/>
      <c r="E1503" s="23"/>
      <c r="F1503" s="23"/>
      <c r="G1503" s="23"/>
      <c r="H1503" s="23"/>
      <c r="I1503" s="23"/>
      <c r="J1503" s="23"/>
      <c r="K1503" s="23"/>
      <c r="L1503" s="23"/>
      <c r="M1503" s="23"/>
      <c r="N1503" s="23"/>
      <c r="O1503" s="23"/>
      <c r="P1503" s="23"/>
      <c r="Q1503" s="23"/>
      <c r="R1503" s="23"/>
      <c r="S1503" s="23"/>
      <c r="T1503" s="23"/>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c r="AV1503" s="22"/>
      <c r="AW1503" s="22"/>
      <c r="AX1503" s="22"/>
    </row>
    <row r="1504" spans="1:50" x14ac:dyDescent="0.35">
      <c r="A1504" s="23"/>
      <c r="B1504" s="23"/>
      <c r="C1504" s="23"/>
      <c r="D1504" s="23"/>
      <c r="E1504" s="23"/>
      <c r="F1504" s="23"/>
      <c r="G1504" s="23"/>
      <c r="H1504" s="23"/>
      <c r="I1504" s="23"/>
      <c r="J1504" s="23"/>
      <c r="K1504" s="23"/>
      <c r="L1504" s="23"/>
      <c r="M1504" s="23"/>
      <c r="N1504" s="23"/>
      <c r="O1504" s="23"/>
      <c r="P1504" s="23"/>
      <c r="Q1504" s="23"/>
      <c r="R1504" s="23"/>
      <c r="S1504" s="23"/>
      <c r="T1504" s="23"/>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c r="AV1504" s="22"/>
      <c r="AW1504" s="22"/>
      <c r="AX1504" s="22"/>
    </row>
    <row r="1505" spans="1:50" x14ac:dyDescent="0.35">
      <c r="A1505" s="23"/>
      <c r="B1505" s="23"/>
      <c r="C1505" s="23"/>
      <c r="D1505" s="23"/>
      <c r="E1505" s="23"/>
      <c r="F1505" s="23"/>
      <c r="G1505" s="23"/>
      <c r="H1505" s="23"/>
      <c r="I1505" s="23"/>
      <c r="J1505" s="23"/>
      <c r="K1505" s="23"/>
      <c r="L1505" s="23"/>
      <c r="M1505" s="23"/>
      <c r="N1505" s="23"/>
      <c r="O1505" s="23"/>
      <c r="P1505" s="23"/>
      <c r="Q1505" s="23"/>
      <c r="R1505" s="23"/>
      <c r="S1505" s="23"/>
      <c r="T1505" s="23"/>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c r="AV1505" s="22"/>
      <c r="AW1505" s="22"/>
      <c r="AX1505" s="22"/>
    </row>
    <row r="1506" spans="1:50" x14ac:dyDescent="0.35">
      <c r="A1506" s="23"/>
      <c r="B1506" s="23"/>
      <c r="C1506" s="23"/>
      <c r="D1506" s="23"/>
      <c r="E1506" s="23"/>
      <c r="F1506" s="23"/>
      <c r="G1506" s="23"/>
      <c r="H1506" s="23"/>
      <c r="I1506" s="23"/>
      <c r="J1506" s="23"/>
      <c r="K1506" s="23"/>
      <c r="L1506" s="23"/>
      <c r="M1506" s="23"/>
      <c r="N1506" s="23"/>
      <c r="O1506" s="23"/>
      <c r="P1506" s="23"/>
      <c r="Q1506" s="23"/>
      <c r="R1506" s="23"/>
      <c r="S1506" s="23"/>
      <c r="T1506" s="23"/>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c r="AV1506" s="22"/>
      <c r="AW1506" s="22"/>
      <c r="AX1506" s="22"/>
    </row>
    <row r="1507" spans="1:50" x14ac:dyDescent="0.35">
      <c r="A1507" s="23"/>
      <c r="B1507" s="23"/>
      <c r="C1507" s="23"/>
      <c r="D1507" s="23"/>
      <c r="E1507" s="23"/>
      <c r="F1507" s="23"/>
      <c r="G1507" s="23"/>
      <c r="H1507" s="23"/>
      <c r="I1507" s="23"/>
      <c r="J1507" s="23"/>
      <c r="K1507" s="23"/>
      <c r="L1507" s="23"/>
      <c r="M1507" s="23"/>
      <c r="N1507" s="23"/>
      <c r="O1507" s="23"/>
      <c r="P1507" s="23"/>
      <c r="Q1507" s="23"/>
      <c r="R1507" s="23"/>
      <c r="S1507" s="23"/>
      <c r="T1507" s="23"/>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c r="AV1507" s="22"/>
      <c r="AW1507" s="22"/>
      <c r="AX1507" s="22"/>
    </row>
    <row r="1508" spans="1:50" x14ac:dyDescent="0.35">
      <c r="A1508" s="23"/>
      <c r="B1508" s="23"/>
      <c r="C1508" s="23"/>
      <c r="D1508" s="23"/>
      <c r="E1508" s="23"/>
      <c r="F1508" s="23"/>
      <c r="G1508" s="23"/>
      <c r="H1508" s="23"/>
      <c r="I1508" s="23"/>
      <c r="J1508" s="23"/>
      <c r="K1508" s="23"/>
      <c r="L1508" s="23"/>
      <c r="M1508" s="23"/>
      <c r="N1508" s="23"/>
      <c r="O1508" s="23"/>
      <c r="P1508" s="23"/>
      <c r="Q1508" s="23"/>
      <c r="R1508" s="23"/>
      <c r="S1508" s="23"/>
      <c r="T1508" s="23"/>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c r="AV1508" s="22"/>
      <c r="AW1508" s="22"/>
      <c r="AX1508" s="22"/>
    </row>
    <row r="1509" spans="1:50" x14ac:dyDescent="0.35">
      <c r="A1509" s="23"/>
      <c r="B1509" s="23"/>
      <c r="C1509" s="23"/>
      <c r="D1509" s="23"/>
      <c r="E1509" s="23"/>
      <c r="F1509" s="23"/>
      <c r="G1509" s="23"/>
      <c r="H1509" s="23"/>
      <c r="I1509" s="23"/>
      <c r="J1509" s="23"/>
      <c r="K1509" s="23"/>
      <c r="L1509" s="23"/>
      <c r="M1509" s="23"/>
      <c r="N1509" s="23"/>
      <c r="O1509" s="23"/>
      <c r="P1509" s="23"/>
      <c r="Q1509" s="23"/>
      <c r="R1509" s="23"/>
      <c r="S1509" s="23"/>
      <c r="T1509" s="23"/>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c r="AV1509" s="22"/>
      <c r="AW1509" s="22"/>
      <c r="AX1509" s="22"/>
    </row>
    <row r="1510" spans="1:50" x14ac:dyDescent="0.35">
      <c r="A1510" s="23"/>
      <c r="B1510" s="23"/>
      <c r="C1510" s="23"/>
      <c r="D1510" s="23"/>
      <c r="E1510" s="23"/>
      <c r="F1510" s="23"/>
      <c r="G1510" s="23"/>
      <c r="H1510" s="23"/>
      <c r="I1510" s="23"/>
      <c r="J1510" s="23"/>
      <c r="K1510" s="23"/>
      <c r="L1510" s="23"/>
      <c r="M1510" s="23"/>
      <c r="N1510" s="23"/>
      <c r="O1510" s="23"/>
      <c r="P1510" s="23"/>
      <c r="Q1510" s="23"/>
      <c r="R1510" s="23"/>
      <c r="S1510" s="23"/>
      <c r="T1510" s="23"/>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c r="AV1510" s="22"/>
      <c r="AW1510" s="22"/>
      <c r="AX1510" s="22"/>
    </row>
    <row r="1511" spans="1:50" x14ac:dyDescent="0.35">
      <c r="A1511" s="23"/>
      <c r="B1511" s="23"/>
      <c r="C1511" s="23"/>
      <c r="D1511" s="23"/>
      <c r="E1511" s="23"/>
      <c r="F1511" s="23"/>
      <c r="G1511" s="23"/>
      <c r="H1511" s="23"/>
      <c r="I1511" s="23"/>
      <c r="J1511" s="23"/>
      <c r="K1511" s="23"/>
      <c r="L1511" s="23"/>
      <c r="M1511" s="23"/>
      <c r="N1511" s="23"/>
      <c r="O1511" s="23"/>
      <c r="P1511" s="23"/>
      <c r="Q1511" s="23"/>
      <c r="R1511" s="23"/>
      <c r="S1511" s="23"/>
      <c r="T1511" s="23"/>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c r="AV1511" s="22"/>
      <c r="AW1511" s="22"/>
      <c r="AX1511" s="22"/>
    </row>
    <row r="1512" spans="1:50" x14ac:dyDescent="0.35">
      <c r="A1512" s="23"/>
      <c r="B1512" s="23"/>
      <c r="C1512" s="23"/>
      <c r="D1512" s="23"/>
      <c r="E1512" s="23"/>
      <c r="F1512" s="23"/>
      <c r="G1512" s="23"/>
      <c r="H1512" s="23"/>
      <c r="I1512" s="23"/>
      <c r="J1512" s="23"/>
      <c r="K1512" s="23"/>
      <c r="L1512" s="23"/>
      <c r="M1512" s="23"/>
      <c r="N1512" s="23"/>
      <c r="O1512" s="23"/>
      <c r="P1512" s="23"/>
      <c r="Q1512" s="23"/>
      <c r="R1512" s="23"/>
      <c r="S1512" s="23"/>
      <c r="T1512" s="23"/>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c r="AV1512" s="22"/>
      <c r="AW1512" s="22"/>
      <c r="AX1512" s="22"/>
    </row>
    <row r="1513" spans="1:50" x14ac:dyDescent="0.35">
      <c r="A1513" s="23"/>
      <c r="B1513" s="23"/>
      <c r="C1513" s="23"/>
      <c r="D1513" s="23"/>
      <c r="E1513" s="23"/>
      <c r="F1513" s="23"/>
      <c r="G1513" s="23"/>
      <c r="H1513" s="23"/>
      <c r="I1513" s="23"/>
      <c r="J1513" s="23"/>
      <c r="K1513" s="23"/>
      <c r="L1513" s="23"/>
      <c r="M1513" s="23"/>
      <c r="N1513" s="23"/>
      <c r="O1513" s="23"/>
      <c r="P1513" s="23"/>
      <c r="Q1513" s="23"/>
      <c r="R1513" s="23"/>
      <c r="S1513" s="23"/>
      <c r="T1513" s="23"/>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c r="AV1513" s="22"/>
      <c r="AW1513" s="22"/>
      <c r="AX1513" s="22"/>
    </row>
    <row r="1514" spans="1:50" x14ac:dyDescent="0.35">
      <c r="A1514" s="23"/>
      <c r="B1514" s="23"/>
      <c r="C1514" s="23"/>
      <c r="D1514" s="23"/>
      <c r="E1514" s="23"/>
      <c r="F1514" s="23"/>
      <c r="G1514" s="23"/>
      <c r="H1514" s="23"/>
      <c r="I1514" s="23"/>
      <c r="J1514" s="23"/>
      <c r="K1514" s="23"/>
      <c r="L1514" s="23"/>
      <c r="M1514" s="23"/>
      <c r="N1514" s="23"/>
      <c r="O1514" s="23"/>
      <c r="P1514" s="23"/>
      <c r="Q1514" s="23"/>
      <c r="R1514" s="23"/>
      <c r="S1514" s="23"/>
      <c r="T1514" s="23"/>
      <c r="U1514" s="22"/>
      <c r="V1514" s="22"/>
      <c r="W1514" s="22"/>
      <c r="X1514" s="22"/>
      <c r="Y1514" s="22"/>
      <c r="Z1514" s="22"/>
      <c r="AA1514" s="22"/>
      <c r="AB1514" s="22"/>
      <c r="AC1514" s="22"/>
      <c r="AD1514" s="22"/>
      <c r="AE1514" s="22"/>
      <c r="AF1514" s="22"/>
      <c r="AG1514" s="22"/>
      <c r="AH1514" s="22"/>
      <c r="AI1514" s="22"/>
      <c r="AJ1514" s="22"/>
      <c r="AK1514" s="22"/>
      <c r="AL1514" s="22"/>
      <c r="AM1514" s="22"/>
      <c r="AN1514" s="22"/>
      <c r="AO1514" s="22"/>
      <c r="AP1514" s="22"/>
      <c r="AQ1514" s="22"/>
      <c r="AR1514" s="22"/>
      <c r="AS1514" s="22"/>
      <c r="AT1514" s="22"/>
      <c r="AU1514" s="22"/>
      <c r="AV1514" s="22"/>
      <c r="AW1514" s="22"/>
      <c r="AX1514" s="22"/>
    </row>
    <row r="1515" spans="1:50" x14ac:dyDescent="0.35">
      <c r="A1515" s="23"/>
      <c r="B1515" s="23"/>
      <c r="C1515" s="23"/>
      <c r="D1515" s="23"/>
      <c r="E1515" s="23"/>
      <c r="F1515" s="23"/>
      <c r="G1515" s="23"/>
      <c r="H1515" s="23"/>
      <c r="I1515" s="23"/>
      <c r="J1515" s="23"/>
      <c r="K1515" s="23"/>
      <c r="L1515" s="23"/>
      <c r="M1515" s="23"/>
      <c r="N1515" s="23"/>
      <c r="O1515" s="23"/>
      <c r="P1515" s="23"/>
      <c r="Q1515" s="23"/>
      <c r="R1515" s="23"/>
      <c r="S1515" s="23"/>
      <c r="T1515" s="23"/>
      <c r="U1515" s="22"/>
      <c r="V1515" s="22"/>
      <c r="W1515" s="22"/>
      <c r="X1515" s="22"/>
      <c r="Y1515" s="22"/>
      <c r="Z1515" s="22"/>
      <c r="AA1515" s="22"/>
      <c r="AB1515" s="22"/>
      <c r="AC1515" s="22"/>
      <c r="AD1515" s="22"/>
      <c r="AE1515" s="22"/>
      <c r="AF1515" s="22"/>
      <c r="AG1515" s="22"/>
      <c r="AH1515" s="22"/>
      <c r="AI1515" s="22"/>
      <c r="AJ1515" s="22"/>
      <c r="AK1515" s="22"/>
      <c r="AL1515" s="22"/>
      <c r="AM1515" s="22"/>
      <c r="AN1515" s="22"/>
      <c r="AO1515" s="22"/>
      <c r="AP1515" s="22"/>
      <c r="AQ1515" s="22"/>
      <c r="AR1515" s="22"/>
      <c r="AS1515" s="22"/>
      <c r="AT1515" s="22"/>
      <c r="AU1515" s="22"/>
      <c r="AV1515" s="22"/>
      <c r="AW1515" s="22"/>
      <c r="AX1515" s="22"/>
    </row>
    <row r="1516" spans="1:50" x14ac:dyDescent="0.35">
      <c r="A1516" s="23"/>
      <c r="B1516" s="23"/>
      <c r="C1516" s="23"/>
      <c r="D1516" s="23"/>
      <c r="E1516" s="23"/>
      <c r="F1516" s="23"/>
      <c r="G1516" s="23"/>
      <c r="H1516" s="23"/>
      <c r="I1516" s="23"/>
      <c r="J1516" s="23"/>
      <c r="K1516" s="23"/>
      <c r="L1516" s="23"/>
      <c r="M1516" s="23"/>
      <c r="N1516" s="23"/>
      <c r="O1516" s="23"/>
      <c r="P1516" s="23"/>
      <c r="Q1516" s="23"/>
      <c r="R1516" s="23"/>
      <c r="S1516" s="23"/>
      <c r="T1516" s="23"/>
      <c r="U1516" s="22"/>
      <c r="V1516" s="22"/>
      <c r="W1516" s="22"/>
      <c r="X1516" s="22"/>
      <c r="Y1516" s="22"/>
      <c r="Z1516" s="22"/>
      <c r="AA1516" s="22"/>
      <c r="AB1516" s="22"/>
      <c r="AC1516" s="22"/>
      <c r="AD1516" s="22"/>
      <c r="AE1516" s="22"/>
      <c r="AF1516" s="22"/>
      <c r="AG1516" s="22"/>
      <c r="AH1516" s="22"/>
      <c r="AI1516" s="22"/>
      <c r="AJ1516" s="22"/>
      <c r="AK1516" s="22"/>
      <c r="AL1516" s="22"/>
      <c r="AM1516" s="22"/>
      <c r="AN1516" s="22"/>
      <c r="AO1516" s="22"/>
      <c r="AP1516" s="22"/>
      <c r="AQ1516" s="22"/>
      <c r="AR1516" s="22"/>
      <c r="AS1516" s="22"/>
      <c r="AT1516" s="22"/>
      <c r="AU1516" s="22"/>
      <c r="AV1516" s="22"/>
      <c r="AW1516" s="22"/>
      <c r="AX1516" s="22"/>
    </row>
    <row r="1517" spans="1:50" x14ac:dyDescent="0.35">
      <c r="A1517" s="23"/>
      <c r="B1517" s="23"/>
      <c r="C1517" s="23"/>
      <c r="D1517" s="23"/>
      <c r="E1517" s="23"/>
      <c r="F1517" s="23"/>
      <c r="G1517" s="23"/>
      <c r="H1517" s="23"/>
      <c r="I1517" s="23"/>
      <c r="J1517" s="23"/>
      <c r="K1517" s="23"/>
      <c r="L1517" s="23"/>
      <c r="M1517" s="23"/>
      <c r="N1517" s="23"/>
      <c r="O1517" s="23"/>
      <c r="P1517" s="23"/>
      <c r="Q1517" s="23"/>
      <c r="R1517" s="23"/>
      <c r="S1517" s="23"/>
      <c r="T1517" s="23"/>
      <c r="U1517" s="22"/>
      <c r="V1517" s="22"/>
      <c r="W1517" s="22"/>
      <c r="X1517" s="22"/>
      <c r="Y1517" s="22"/>
      <c r="Z1517" s="22"/>
      <c r="AA1517" s="22"/>
      <c r="AB1517" s="22"/>
      <c r="AC1517" s="22"/>
      <c r="AD1517" s="22"/>
      <c r="AE1517" s="22"/>
      <c r="AF1517" s="22"/>
      <c r="AG1517" s="22"/>
      <c r="AH1517" s="22"/>
      <c r="AI1517" s="22"/>
      <c r="AJ1517" s="22"/>
      <c r="AK1517" s="22"/>
      <c r="AL1517" s="22"/>
      <c r="AM1517" s="22"/>
      <c r="AN1517" s="22"/>
      <c r="AO1517" s="22"/>
      <c r="AP1517" s="22"/>
      <c r="AQ1517" s="22"/>
      <c r="AR1517" s="22"/>
      <c r="AS1517" s="22"/>
      <c r="AT1517" s="22"/>
      <c r="AU1517" s="22"/>
      <c r="AV1517" s="22"/>
      <c r="AW1517" s="22"/>
      <c r="AX1517" s="22"/>
    </row>
    <row r="1518" spans="1:50" x14ac:dyDescent="0.35">
      <c r="A1518" s="23"/>
      <c r="B1518" s="23"/>
      <c r="C1518" s="23"/>
      <c r="D1518" s="23"/>
      <c r="E1518" s="23"/>
      <c r="F1518" s="23"/>
      <c r="G1518" s="23"/>
      <c r="H1518" s="23"/>
      <c r="I1518" s="23"/>
      <c r="J1518" s="23"/>
      <c r="K1518" s="23"/>
      <c r="L1518" s="23"/>
      <c r="M1518" s="23"/>
      <c r="N1518" s="23"/>
      <c r="O1518" s="23"/>
      <c r="P1518" s="23"/>
      <c r="Q1518" s="23"/>
      <c r="R1518" s="23"/>
      <c r="S1518" s="23"/>
      <c r="T1518" s="23"/>
      <c r="U1518" s="22"/>
      <c r="V1518" s="22"/>
      <c r="W1518" s="22"/>
      <c r="X1518" s="22"/>
      <c r="Y1518" s="22"/>
      <c r="Z1518" s="22"/>
      <c r="AA1518" s="22"/>
      <c r="AB1518" s="22"/>
      <c r="AC1518" s="22"/>
      <c r="AD1518" s="22"/>
      <c r="AE1518" s="22"/>
      <c r="AF1518" s="22"/>
      <c r="AG1518" s="22"/>
      <c r="AH1518" s="22"/>
      <c r="AI1518" s="22"/>
      <c r="AJ1518" s="22"/>
      <c r="AK1518" s="22"/>
      <c r="AL1518" s="22"/>
      <c r="AM1518" s="22"/>
      <c r="AN1518" s="22"/>
      <c r="AO1518" s="22"/>
      <c r="AP1518" s="22"/>
      <c r="AQ1518" s="22"/>
      <c r="AR1518" s="22"/>
      <c r="AS1518" s="22"/>
      <c r="AT1518" s="22"/>
      <c r="AU1518" s="22"/>
      <c r="AV1518" s="22"/>
      <c r="AW1518" s="22"/>
      <c r="AX1518" s="22"/>
    </row>
    <row r="1519" spans="1:50" x14ac:dyDescent="0.35">
      <c r="A1519" s="23"/>
      <c r="B1519" s="23"/>
      <c r="C1519" s="23"/>
      <c r="D1519" s="23"/>
      <c r="E1519" s="23"/>
      <c r="F1519" s="23"/>
      <c r="G1519" s="23"/>
      <c r="H1519" s="23"/>
      <c r="I1519" s="23"/>
      <c r="J1519" s="23"/>
      <c r="K1519" s="23"/>
      <c r="L1519" s="23"/>
      <c r="M1519" s="23"/>
      <c r="N1519" s="23"/>
      <c r="O1519" s="23"/>
      <c r="P1519" s="23"/>
      <c r="Q1519" s="23"/>
      <c r="R1519" s="23"/>
      <c r="S1519" s="23"/>
      <c r="T1519" s="23"/>
      <c r="U1519" s="22"/>
      <c r="V1519" s="22"/>
      <c r="W1519" s="22"/>
      <c r="X1519" s="22"/>
      <c r="Y1519" s="22"/>
      <c r="Z1519" s="22"/>
      <c r="AA1519" s="22"/>
      <c r="AB1519" s="22"/>
      <c r="AC1519" s="22"/>
      <c r="AD1519" s="22"/>
      <c r="AE1519" s="22"/>
      <c r="AF1519" s="22"/>
      <c r="AG1519" s="22"/>
      <c r="AH1519" s="22"/>
      <c r="AI1519" s="22"/>
      <c r="AJ1519" s="22"/>
      <c r="AK1519" s="22"/>
      <c r="AL1519" s="22"/>
      <c r="AM1519" s="22"/>
      <c r="AN1519" s="22"/>
      <c r="AO1519" s="22"/>
      <c r="AP1519" s="22"/>
      <c r="AQ1519" s="22"/>
      <c r="AR1519" s="22"/>
      <c r="AS1519" s="22"/>
      <c r="AT1519" s="22"/>
      <c r="AU1519" s="22"/>
      <c r="AV1519" s="22"/>
      <c r="AW1519" s="22"/>
      <c r="AX1519" s="22"/>
    </row>
    <row r="1520" spans="1:50" x14ac:dyDescent="0.35">
      <c r="A1520" s="23"/>
      <c r="B1520" s="23"/>
      <c r="C1520" s="23"/>
      <c r="D1520" s="23"/>
      <c r="E1520" s="23"/>
      <c r="F1520" s="23"/>
      <c r="G1520" s="23"/>
      <c r="H1520" s="23"/>
      <c r="I1520" s="23"/>
      <c r="J1520" s="23"/>
      <c r="K1520" s="23"/>
      <c r="L1520" s="23"/>
      <c r="M1520" s="23"/>
      <c r="N1520" s="23"/>
      <c r="O1520" s="23"/>
      <c r="P1520" s="23"/>
      <c r="Q1520" s="23"/>
      <c r="R1520" s="23"/>
      <c r="S1520" s="23"/>
      <c r="T1520" s="23"/>
      <c r="U1520" s="22"/>
      <c r="V1520" s="22"/>
      <c r="W1520" s="22"/>
      <c r="X1520" s="22"/>
      <c r="Y1520" s="22"/>
      <c r="Z1520" s="22"/>
      <c r="AA1520" s="22"/>
      <c r="AB1520" s="22"/>
      <c r="AC1520" s="22"/>
      <c r="AD1520" s="22"/>
      <c r="AE1520" s="22"/>
      <c r="AF1520" s="22"/>
      <c r="AG1520" s="22"/>
      <c r="AH1520" s="22"/>
      <c r="AI1520" s="22"/>
      <c r="AJ1520" s="22"/>
      <c r="AK1520" s="22"/>
      <c r="AL1520" s="22"/>
      <c r="AM1520" s="22"/>
      <c r="AN1520" s="22"/>
      <c r="AO1520" s="22"/>
      <c r="AP1520" s="22"/>
      <c r="AQ1520" s="22"/>
      <c r="AR1520" s="22"/>
      <c r="AS1520" s="22"/>
      <c r="AT1520" s="22"/>
      <c r="AU1520" s="22"/>
      <c r="AV1520" s="22"/>
      <c r="AW1520" s="22"/>
      <c r="AX1520" s="22"/>
    </row>
    <row r="1521" spans="1:50" x14ac:dyDescent="0.35">
      <c r="A1521" s="23"/>
      <c r="B1521" s="23"/>
      <c r="C1521" s="23"/>
      <c r="D1521" s="23"/>
      <c r="E1521" s="23"/>
      <c r="F1521" s="23"/>
      <c r="G1521" s="23"/>
      <c r="H1521" s="23"/>
      <c r="I1521" s="23"/>
      <c r="J1521" s="23"/>
      <c r="K1521" s="23"/>
      <c r="L1521" s="23"/>
      <c r="M1521" s="23"/>
      <c r="N1521" s="23"/>
      <c r="O1521" s="23"/>
      <c r="P1521" s="23"/>
      <c r="Q1521" s="23"/>
      <c r="R1521" s="23"/>
      <c r="S1521" s="23"/>
      <c r="T1521" s="23"/>
      <c r="U1521" s="22"/>
      <c r="V1521" s="22"/>
      <c r="W1521" s="22"/>
      <c r="X1521" s="22"/>
      <c r="Y1521" s="22"/>
      <c r="Z1521" s="22"/>
      <c r="AA1521" s="22"/>
      <c r="AB1521" s="22"/>
      <c r="AC1521" s="22"/>
      <c r="AD1521" s="22"/>
      <c r="AE1521" s="22"/>
      <c r="AF1521" s="22"/>
      <c r="AG1521" s="22"/>
      <c r="AH1521" s="22"/>
      <c r="AI1521" s="22"/>
      <c r="AJ1521" s="22"/>
      <c r="AK1521" s="22"/>
      <c r="AL1521" s="22"/>
      <c r="AM1521" s="22"/>
      <c r="AN1521" s="22"/>
      <c r="AO1521" s="22"/>
      <c r="AP1521" s="22"/>
      <c r="AQ1521" s="22"/>
      <c r="AR1521" s="22"/>
      <c r="AS1521" s="22"/>
      <c r="AT1521" s="22"/>
      <c r="AU1521" s="22"/>
      <c r="AV1521" s="22"/>
      <c r="AW1521" s="22"/>
      <c r="AX1521" s="22"/>
    </row>
    <row r="1522" spans="1:50" x14ac:dyDescent="0.35">
      <c r="A1522" s="23"/>
      <c r="B1522" s="23"/>
      <c r="C1522" s="23"/>
      <c r="D1522" s="23"/>
      <c r="E1522" s="23"/>
      <c r="F1522" s="23"/>
      <c r="G1522" s="23"/>
      <c r="H1522" s="23"/>
      <c r="I1522" s="23"/>
      <c r="J1522" s="23"/>
      <c r="K1522" s="23"/>
      <c r="L1522" s="23"/>
      <c r="M1522" s="23"/>
      <c r="N1522" s="23"/>
      <c r="O1522" s="23"/>
      <c r="P1522" s="23"/>
      <c r="Q1522" s="23"/>
      <c r="R1522" s="23"/>
      <c r="S1522" s="23"/>
      <c r="T1522" s="23"/>
      <c r="U1522" s="22"/>
      <c r="V1522" s="22"/>
      <c r="W1522" s="22"/>
      <c r="X1522" s="22"/>
      <c r="Y1522" s="22"/>
      <c r="Z1522" s="22"/>
      <c r="AA1522" s="22"/>
      <c r="AB1522" s="22"/>
      <c r="AC1522" s="22"/>
      <c r="AD1522" s="22"/>
      <c r="AE1522" s="22"/>
      <c r="AF1522" s="22"/>
      <c r="AG1522" s="22"/>
      <c r="AH1522" s="22"/>
      <c r="AI1522" s="22"/>
      <c r="AJ1522" s="22"/>
      <c r="AK1522" s="22"/>
      <c r="AL1522" s="22"/>
      <c r="AM1522" s="22"/>
      <c r="AN1522" s="22"/>
      <c r="AO1522" s="22"/>
      <c r="AP1522" s="22"/>
      <c r="AQ1522" s="22"/>
      <c r="AR1522" s="22"/>
      <c r="AS1522" s="22"/>
      <c r="AT1522" s="22"/>
      <c r="AU1522" s="22"/>
      <c r="AV1522" s="22"/>
      <c r="AW1522" s="22"/>
      <c r="AX1522" s="22"/>
    </row>
    <row r="1523" spans="1:50" x14ac:dyDescent="0.35">
      <c r="A1523" s="23"/>
      <c r="B1523" s="23"/>
      <c r="C1523" s="23"/>
      <c r="D1523" s="23"/>
      <c r="E1523" s="23"/>
      <c r="F1523" s="23"/>
      <c r="G1523" s="23"/>
      <c r="H1523" s="23"/>
      <c r="I1523" s="23"/>
      <c r="J1523" s="23"/>
      <c r="K1523" s="23"/>
      <c r="L1523" s="23"/>
      <c r="M1523" s="23"/>
      <c r="N1523" s="23"/>
      <c r="O1523" s="23"/>
      <c r="P1523" s="23"/>
      <c r="Q1523" s="23"/>
      <c r="R1523" s="23"/>
      <c r="S1523" s="23"/>
      <c r="T1523" s="23"/>
      <c r="U1523" s="22"/>
      <c r="V1523" s="22"/>
      <c r="W1523" s="22"/>
      <c r="X1523" s="22"/>
      <c r="Y1523" s="22"/>
      <c r="Z1523" s="22"/>
      <c r="AA1523" s="22"/>
      <c r="AB1523" s="22"/>
      <c r="AC1523" s="22"/>
      <c r="AD1523" s="22"/>
      <c r="AE1523" s="22"/>
      <c r="AF1523" s="22"/>
      <c r="AG1523" s="22"/>
      <c r="AH1523" s="22"/>
      <c r="AI1523" s="22"/>
      <c r="AJ1523" s="22"/>
      <c r="AK1523" s="22"/>
      <c r="AL1523" s="22"/>
      <c r="AM1523" s="22"/>
      <c r="AN1523" s="22"/>
      <c r="AO1523" s="22"/>
      <c r="AP1523" s="22"/>
      <c r="AQ1523" s="22"/>
      <c r="AR1523" s="22"/>
      <c r="AS1523" s="22"/>
      <c r="AT1523" s="22"/>
      <c r="AU1523" s="22"/>
      <c r="AV1523" s="22"/>
      <c r="AW1523" s="22"/>
      <c r="AX1523" s="22"/>
    </row>
    <row r="1524" spans="1:50" x14ac:dyDescent="0.35">
      <c r="A1524" s="23"/>
      <c r="B1524" s="23"/>
      <c r="C1524" s="23"/>
      <c r="D1524" s="23"/>
      <c r="E1524" s="23"/>
      <c r="F1524" s="23"/>
      <c r="G1524" s="23"/>
      <c r="H1524" s="23"/>
      <c r="I1524" s="23"/>
      <c r="J1524" s="23"/>
      <c r="K1524" s="23"/>
      <c r="L1524" s="23"/>
      <c r="M1524" s="23"/>
      <c r="N1524" s="23"/>
      <c r="O1524" s="23"/>
      <c r="P1524" s="23"/>
      <c r="Q1524" s="23"/>
      <c r="R1524" s="23"/>
      <c r="S1524" s="23"/>
      <c r="T1524" s="23"/>
      <c r="U1524" s="22"/>
      <c r="V1524" s="22"/>
      <c r="W1524" s="22"/>
      <c r="X1524" s="22"/>
      <c r="Y1524" s="22"/>
      <c r="Z1524" s="22"/>
      <c r="AA1524" s="22"/>
      <c r="AB1524" s="22"/>
      <c r="AC1524" s="22"/>
      <c r="AD1524" s="22"/>
      <c r="AE1524" s="22"/>
      <c r="AF1524" s="22"/>
      <c r="AG1524" s="22"/>
      <c r="AH1524" s="22"/>
      <c r="AI1524" s="22"/>
      <c r="AJ1524" s="22"/>
      <c r="AK1524" s="22"/>
      <c r="AL1524" s="22"/>
      <c r="AM1524" s="22"/>
      <c r="AN1524" s="22"/>
      <c r="AO1524" s="22"/>
      <c r="AP1524" s="22"/>
      <c r="AQ1524" s="22"/>
      <c r="AR1524" s="22"/>
      <c r="AS1524" s="22"/>
      <c r="AT1524" s="22"/>
      <c r="AU1524" s="22"/>
      <c r="AV1524" s="22"/>
      <c r="AW1524" s="22"/>
      <c r="AX1524" s="22"/>
    </row>
    <row r="1525" spans="1:50" x14ac:dyDescent="0.35">
      <c r="A1525" s="23"/>
      <c r="B1525" s="23"/>
      <c r="C1525" s="23"/>
      <c r="D1525" s="23"/>
      <c r="E1525" s="23"/>
      <c r="F1525" s="23"/>
      <c r="G1525" s="23"/>
      <c r="H1525" s="23"/>
      <c r="I1525" s="23"/>
      <c r="J1525" s="23"/>
      <c r="K1525" s="23"/>
      <c r="L1525" s="23"/>
      <c r="M1525" s="23"/>
      <c r="N1525" s="23"/>
      <c r="O1525" s="23"/>
      <c r="P1525" s="23"/>
      <c r="Q1525" s="23"/>
      <c r="R1525" s="23"/>
      <c r="S1525" s="23"/>
      <c r="T1525" s="23"/>
      <c r="U1525" s="22"/>
      <c r="V1525" s="22"/>
      <c r="W1525" s="22"/>
      <c r="X1525" s="22"/>
      <c r="Y1525" s="22"/>
      <c r="Z1525" s="22"/>
      <c r="AA1525" s="22"/>
      <c r="AB1525" s="22"/>
      <c r="AC1525" s="22"/>
      <c r="AD1525" s="22"/>
      <c r="AE1525" s="22"/>
      <c r="AF1525" s="22"/>
      <c r="AG1525" s="22"/>
      <c r="AH1525" s="22"/>
      <c r="AI1525" s="22"/>
      <c r="AJ1525" s="22"/>
      <c r="AK1525" s="22"/>
      <c r="AL1525" s="22"/>
      <c r="AM1525" s="22"/>
      <c r="AN1525" s="22"/>
      <c r="AO1525" s="22"/>
      <c r="AP1525" s="22"/>
      <c r="AQ1525" s="22"/>
      <c r="AR1525" s="22"/>
      <c r="AS1525" s="22"/>
      <c r="AT1525" s="22"/>
      <c r="AU1525" s="22"/>
      <c r="AV1525" s="22"/>
      <c r="AW1525" s="22"/>
      <c r="AX1525" s="22"/>
    </row>
    <row r="1526" spans="1:50" x14ac:dyDescent="0.35">
      <c r="A1526" s="23"/>
      <c r="B1526" s="23"/>
      <c r="C1526" s="23"/>
      <c r="D1526" s="23"/>
      <c r="E1526" s="23"/>
      <c r="F1526" s="23"/>
      <c r="G1526" s="23"/>
      <c r="H1526" s="23"/>
      <c r="I1526" s="23"/>
      <c r="J1526" s="23"/>
      <c r="K1526" s="23"/>
      <c r="L1526" s="23"/>
      <c r="M1526" s="23"/>
      <c r="N1526" s="23"/>
      <c r="O1526" s="23"/>
      <c r="P1526" s="23"/>
      <c r="Q1526" s="23"/>
      <c r="R1526" s="23"/>
      <c r="S1526" s="23"/>
      <c r="T1526" s="23"/>
      <c r="U1526" s="22"/>
      <c r="V1526" s="22"/>
      <c r="W1526" s="22"/>
      <c r="X1526" s="22"/>
      <c r="Y1526" s="22"/>
      <c r="Z1526" s="22"/>
      <c r="AA1526" s="22"/>
      <c r="AB1526" s="22"/>
      <c r="AC1526" s="22"/>
      <c r="AD1526" s="22"/>
      <c r="AE1526" s="22"/>
      <c r="AF1526" s="22"/>
      <c r="AG1526" s="22"/>
      <c r="AH1526" s="22"/>
      <c r="AI1526" s="22"/>
      <c r="AJ1526" s="22"/>
      <c r="AK1526" s="22"/>
      <c r="AL1526" s="22"/>
      <c r="AM1526" s="22"/>
      <c r="AN1526" s="22"/>
      <c r="AO1526" s="22"/>
      <c r="AP1526" s="22"/>
      <c r="AQ1526" s="22"/>
      <c r="AR1526" s="22"/>
      <c r="AS1526" s="22"/>
      <c r="AT1526" s="22"/>
      <c r="AU1526" s="22"/>
      <c r="AV1526" s="22"/>
      <c r="AW1526" s="22"/>
      <c r="AX1526" s="22"/>
    </row>
    <row r="1527" spans="1:50" x14ac:dyDescent="0.35">
      <c r="A1527" s="23"/>
      <c r="B1527" s="23"/>
      <c r="C1527" s="23"/>
      <c r="D1527" s="23"/>
      <c r="E1527" s="23"/>
      <c r="F1527" s="23"/>
      <c r="G1527" s="23"/>
      <c r="H1527" s="23"/>
      <c r="I1527" s="23"/>
      <c r="J1527" s="23"/>
      <c r="K1527" s="23"/>
      <c r="L1527" s="23"/>
      <c r="M1527" s="23"/>
      <c r="N1527" s="23"/>
      <c r="O1527" s="23"/>
      <c r="P1527" s="23"/>
      <c r="Q1527" s="23"/>
      <c r="R1527" s="23"/>
      <c r="S1527" s="23"/>
      <c r="T1527" s="23"/>
      <c r="U1527" s="22"/>
      <c r="V1527" s="22"/>
      <c r="W1527" s="22"/>
      <c r="X1527" s="22"/>
      <c r="Y1527" s="22"/>
      <c r="Z1527" s="22"/>
      <c r="AA1527" s="22"/>
      <c r="AB1527" s="22"/>
      <c r="AC1527" s="22"/>
      <c r="AD1527" s="22"/>
      <c r="AE1527" s="22"/>
      <c r="AF1527" s="22"/>
      <c r="AG1527" s="22"/>
      <c r="AH1527" s="22"/>
      <c r="AI1527" s="22"/>
      <c r="AJ1527" s="22"/>
      <c r="AK1527" s="22"/>
      <c r="AL1527" s="22"/>
      <c r="AM1527" s="22"/>
      <c r="AN1527" s="22"/>
      <c r="AO1527" s="22"/>
      <c r="AP1527" s="22"/>
      <c r="AQ1527" s="22"/>
      <c r="AR1527" s="22"/>
      <c r="AS1527" s="22"/>
      <c r="AT1527" s="22"/>
      <c r="AU1527" s="22"/>
      <c r="AV1527" s="22"/>
      <c r="AW1527" s="22"/>
      <c r="AX1527" s="22"/>
    </row>
    <row r="1528" spans="1:50" x14ac:dyDescent="0.35">
      <c r="A1528" s="23"/>
      <c r="B1528" s="23"/>
      <c r="C1528" s="23"/>
      <c r="D1528" s="23"/>
      <c r="E1528" s="23"/>
      <c r="F1528" s="23"/>
      <c r="G1528" s="23"/>
      <c r="H1528" s="23"/>
      <c r="I1528" s="23"/>
      <c r="J1528" s="23"/>
      <c r="K1528" s="23"/>
      <c r="L1528" s="23"/>
      <c r="M1528" s="23"/>
      <c r="N1528" s="23"/>
      <c r="O1528" s="23"/>
      <c r="P1528" s="23"/>
      <c r="Q1528" s="23"/>
      <c r="R1528" s="23"/>
      <c r="S1528" s="23"/>
      <c r="T1528" s="23"/>
      <c r="U1528" s="22"/>
      <c r="V1528" s="22"/>
      <c r="W1528" s="22"/>
      <c r="X1528" s="22"/>
      <c r="Y1528" s="22"/>
      <c r="Z1528" s="22"/>
      <c r="AA1528" s="22"/>
      <c r="AB1528" s="22"/>
      <c r="AC1528" s="22"/>
      <c r="AD1528" s="22"/>
      <c r="AE1528" s="22"/>
      <c r="AF1528" s="22"/>
      <c r="AG1528" s="22"/>
      <c r="AH1528" s="22"/>
      <c r="AI1528" s="22"/>
      <c r="AJ1528" s="22"/>
      <c r="AK1528" s="22"/>
      <c r="AL1528" s="22"/>
      <c r="AM1528" s="22"/>
      <c r="AN1528" s="22"/>
      <c r="AO1528" s="22"/>
      <c r="AP1528" s="22"/>
      <c r="AQ1528" s="22"/>
      <c r="AR1528" s="22"/>
      <c r="AS1528" s="22"/>
      <c r="AT1528" s="22"/>
      <c r="AU1528" s="22"/>
      <c r="AV1528" s="22"/>
      <c r="AW1528" s="22"/>
      <c r="AX1528" s="22"/>
    </row>
    <row r="1529" spans="1:50" x14ac:dyDescent="0.35">
      <c r="A1529" s="23"/>
      <c r="B1529" s="23"/>
      <c r="C1529" s="23"/>
      <c r="D1529" s="23"/>
      <c r="E1529" s="23"/>
      <c r="F1529" s="23"/>
      <c r="G1529" s="23"/>
      <c r="H1529" s="23"/>
      <c r="I1529" s="23"/>
      <c r="J1529" s="23"/>
      <c r="K1529" s="23"/>
      <c r="L1529" s="23"/>
      <c r="M1529" s="23"/>
      <c r="N1529" s="23"/>
      <c r="O1529" s="23"/>
      <c r="P1529" s="23"/>
      <c r="Q1529" s="23"/>
      <c r="R1529" s="23"/>
      <c r="S1529" s="23"/>
      <c r="T1529" s="23"/>
      <c r="U1529" s="22"/>
      <c r="V1529" s="22"/>
      <c r="W1529" s="22"/>
      <c r="X1529" s="22"/>
      <c r="Y1529" s="22"/>
      <c r="Z1529" s="22"/>
      <c r="AA1529" s="22"/>
      <c r="AB1529" s="22"/>
      <c r="AC1529" s="22"/>
      <c r="AD1529" s="22"/>
      <c r="AE1529" s="22"/>
      <c r="AF1529" s="22"/>
      <c r="AG1529" s="22"/>
      <c r="AH1529" s="22"/>
      <c r="AI1529" s="22"/>
      <c r="AJ1529" s="22"/>
      <c r="AK1529" s="22"/>
      <c r="AL1529" s="22"/>
      <c r="AM1529" s="22"/>
      <c r="AN1529" s="22"/>
      <c r="AO1529" s="22"/>
      <c r="AP1529" s="22"/>
      <c r="AQ1529" s="22"/>
      <c r="AR1529" s="22"/>
      <c r="AS1529" s="22"/>
      <c r="AT1529" s="22"/>
      <c r="AU1529" s="22"/>
      <c r="AV1529" s="22"/>
      <c r="AW1529" s="22"/>
      <c r="AX1529" s="22"/>
    </row>
    <row r="1530" spans="1:50" x14ac:dyDescent="0.35">
      <c r="A1530" s="23"/>
      <c r="B1530" s="23"/>
      <c r="C1530" s="23"/>
      <c r="D1530" s="23"/>
      <c r="E1530" s="23"/>
      <c r="F1530" s="23"/>
      <c r="G1530" s="23"/>
      <c r="H1530" s="23"/>
      <c r="I1530" s="23"/>
      <c r="J1530" s="23"/>
      <c r="K1530" s="23"/>
      <c r="L1530" s="23"/>
      <c r="M1530" s="23"/>
      <c r="N1530" s="23"/>
      <c r="O1530" s="23"/>
      <c r="P1530" s="23"/>
      <c r="Q1530" s="23"/>
      <c r="R1530" s="23"/>
      <c r="S1530" s="23"/>
      <c r="T1530" s="23"/>
      <c r="U1530" s="22"/>
      <c r="V1530" s="22"/>
      <c r="W1530" s="22"/>
      <c r="X1530" s="22"/>
      <c r="Y1530" s="22"/>
      <c r="Z1530" s="22"/>
      <c r="AA1530" s="22"/>
      <c r="AB1530" s="22"/>
      <c r="AC1530" s="22"/>
      <c r="AD1530" s="22"/>
      <c r="AE1530" s="22"/>
      <c r="AF1530" s="22"/>
      <c r="AG1530" s="22"/>
      <c r="AH1530" s="22"/>
      <c r="AI1530" s="22"/>
      <c r="AJ1530" s="22"/>
      <c r="AK1530" s="22"/>
      <c r="AL1530" s="22"/>
      <c r="AM1530" s="22"/>
      <c r="AN1530" s="22"/>
      <c r="AO1530" s="22"/>
      <c r="AP1530" s="22"/>
      <c r="AQ1530" s="22"/>
      <c r="AR1530" s="22"/>
      <c r="AS1530" s="22"/>
      <c r="AT1530" s="22"/>
      <c r="AU1530" s="22"/>
      <c r="AV1530" s="22"/>
      <c r="AW1530" s="22"/>
      <c r="AX1530" s="22"/>
    </row>
    <row r="1531" spans="1:50" x14ac:dyDescent="0.35">
      <c r="A1531" s="23"/>
      <c r="B1531" s="23"/>
      <c r="C1531" s="23"/>
      <c r="D1531" s="23"/>
      <c r="E1531" s="23"/>
      <c r="F1531" s="23"/>
      <c r="G1531" s="23"/>
      <c r="H1531" s="23"/>
      <c r="I1531" s="23"/>
      <c r="J1531" s="23"/>
      <c r="K1531" s="23"/>
      <c r="L1531" s="23"/>
      <c r="M1531" s="23"/>
      <c r="N1531" s="23"/>
      <c r="O1531" s="23"/>
      <c r="P1531" s="23"/>
      <c r="Q1531" s="23"/>
      <c r="R1531" s="23"/>
      <c r="S1531" s="23"/>
      <c r="T1531" s="23"/>
      <c r="U1531" s="22"/>
      <c r="V1531" s="22"/>
      <c r="W1531" s="22"/>
      <c r="X1531" s="22"/>
      <c r="Y1531" s="22"/>
      <c r="Z1531" s="22"/>
      <c r="AA1531" s="22"/>
      <c r="AB1531" s="22"/>
      <c r="AC1531" s="22"/>
      <c r="AD1531" s="22"/>
      <c r="AE1531" s="22"/>
      <c r="AF1531" s="22"/>
      <c r="AG1531" s="22"/>
      <c r="AH1531" s="22"/>
      <c r="AI1531" s="22"/>
      <c r="AJ1531" s="22"/>
      <c r="AK1531" s="22"/>
      <c r="AL1531" s="22"/>
      <c r="AM1531" s="22"/>
      <c r="AN1531" s="22"/>
      <c r="AO1531" s="22"/>
      <c r="AP1531" s="22"/>
      <c r="AQ1531" s="22"/>
      <c r="AR1531" s="22"/>
      <c r="AS1531" s="22"/>
      <c r="AT1531" s="22"/>
      <c r="AU1531" s="22"/>
      <c r="AV1531" s="22"/>
      <c r="AW1531" s="22"/>
      <c r="AX1531" s="22"/>
    </row>
    <row r="1532" spans="1:50" x14ac:dyDescent="0.35">
      <c r="A1532" s="23"/>
      <c r="B1532" s="23"/>
      <c r="C1532" s="23"/>
      <c r="D1532" s="23"/>
      <c r="E1532" s="23"/>
      <c r="F1532" s="23"/>
      <c r="G1532" s="23"/>
      <c r="H1532" s="23"/>
      <c r="I1532" s="23"/>
      <c r="J1532" s="23"/>
      <c r="K1532" s="23"/>
      <c r="L1532" s="23"/>
      <c r="M1532" s="23"/>
      <c r="N1532" s="23"/>
      <c r="O1532" s="23"/>
      <c r="P1532" s="23"/>
      <c r="Q1532" s="23"/>
      <c r="R1532" s="23"/>
      <c r="S1532" s="23"/>
      <c r="T1532" s="23"/>
      <c r="U1532" s="22"/>
      <c r="V1532" s="22"/>
      <c r="W1532" s="22"/>
      <c r="X1532" s="22"/>
      <c r="Y1532" s="22"/>
      <c r="Z1532" s="22"/>
      <c r="AA1532" s="22"/>
      <c r="AB1532" s="22"/>
      <c r="AC1532" s="22"/>
      <c r="AD1532" s="22"/>
      <c r="AE1532" s="22"/>
      <c r="AF1532" s="22"/>
      <c r="AG1532" s="22"/>
      <c r="AH1532" s="22"/>
      <c r="AI1532" s="22"/>
      <c r="AJ1532" s="22"/>
      <c r="AK1532" s="22"/>
      <c r="AL1532" s="22"/>
      <c r="AM1532" s="22"/>
      <c r="AN1532" s="22"/>
      <c r="AO1532" s="22"/>
      <c r="AP1532" s="22"/>
      <c r="AQ1532" s="22"/>
      <c r="AR1532" s="22"/>
      <c r="AS1532" s="22"/>
      <c r="AT1532" s="22"/>
      <c r="AU1532" s="22"/>
      <c r="AV1532" s="22"/>
      <c r="AW1532" s="22"/>
      <c r="AX1532" s="22"/>
    </row>
    <row r="1533" spans="1:50" x14ac:dyDescent="0.35">
      <c r="A1533" s="23"/>
      <c r="B1533" s="23"/>
      <c r="C1533" s="23"/>
      <c r="D1533" s="23"/>
      <c r="E1533" s="23"/>
      <c r="F1533" s="23"/>
      <c r="G1533" s="23"/>
      <c r="H1533" s="23"/>
      <c r="I1533" s="23"/>
      <c r="J1533" s="23"/>
      <c r="K1533" s="23"/>
      <c r="L1533" s="23"/>
      <c r="M1533" s="23"/>
      <c r="N1533" s="23"/>
      <c r="O1533" s="23"/>
      <c r="P1533" s="23"/>
      <c r="Q1533" s="23"/>
      <c r="R1533" s="23"/>
      <c r="S1533" s="23"/>
      <c r="T1533" s="23"/>
      <c r="U1533" s="22"/>
      <c r="V1533" s="22"/>
      <c r="W1533" s="22"/>
      <c r="X1533" s="22"/>
      <c r="Y1533" s="22"/>
      <c r="Z1533" s="22"/>
      <c r="AA1533" s="22"/>
      <c r="AB1533" s="22"/>
      <c r="AC1533" s="22"/>
      <c r="AD1533" s="22"/>
      <c r="AE1533" s="22"/>
      <c r="AF1533" s="22"/>
      <c r="AG1533" s="22"/>
      <c r="AH1533" s="22"/>
      <c r="AI1533" s="22"/>
      <c r="AJ1533" s="22"/>
      <c r="AK1533" s="22"/>
      <c r="AL1533" s="22"/>
      <c r="AM1533" s="22"/>
      <c r="AN1533" s="22"/>
      <c r="AO1533" s="22"/>
      <c r="AP1533" s="22"/>
      <c r="AQ1533" s="22"/>
      <c r="AR1533" s="22"/>
      <c r="AS1533" s="22"/>
      <c r="AT1533" s="22"/>
      <c r="AU1533" s="22"/>
      <c r="AV1533" s="22"/>
      <c r="AW1533" s="22"/>
      <c r="AX1533" s="22"/>
    </row>
    <row r="1534" spans="1:50" x14ac:dyDescent="0.35">
      <c r="A1534" s="23"/>
      <c r="B1534" s="23"/>
      <c r="C1534" s="23"/>
      <c r="D1534" s="23"/>
      <c r="E1534" s="23"/>
      <c r="F1534" s="23"/>
      <c r="G1534" s="23"/>
      <c r="H1534" s="23"/>
      <c r="I1534" s="23"/>
      <c r="J1534" s="23"/>
      <c r="K1534" s="23"/>
      <c r="L1534" s="23"/>
      <c r="M1534" s="23"/>
      <c r="N1534" s="23"/>
      <c r="O1534" s="23"/>
      <c r="P1534" s="23"/>
      <c r="Q1534" s="23"/>
      <c r="R1534" s="23"/>
      <c r="S1534" s="23"/>
      <c r="T1534" s="23"/>
      <c r="U1534" s="22"/>
      <c r="V1534" s="22"/>
      <c r="W1534" s="22"/>
      <c r="X1534" s="22"/>
      <c r="Y1534" s="22"/>
      <c r="Z1534" s="22"/>
      <c r="AA1534" s="22"/>
      <c r="AB1534" s="22"/>
      <c r="AC1534" s="22"/>
      <c r="AD1534" s="22"/>
      <c r="AE1534" s="22"/>
      <c r="AF1534" s="22"/>
      <c r="AG1534" s="22"/>
      <c r="AH1534" s="22"/>
      <c r="AI1534" s="22"/>
      <c r="AJ1534" s="22"/>
      <c r="AK1534" s="22"/>
      <c r="AL1534" s="22"/>
      <c r="AM1534" s="22"/>
      <c r="AN1534" s="22"/>
      <c r="AO1534" s="22"/>
      <c r="AP1534" s="22"/>
      <c r="AQ1534" s="22"/>
      <c r="AR1534" s="22"/>
      <c r="AS1534" s="22"/>
      <c r="AT1534" s="22"/>
      <c r="AU1534" s="22"/>
      <c r="AV1534" s="22"/>
      <c r="AW1534" s="22"/>
      <c r="AX1534" s="22"/>
    </row>
    <row r="1535" spans="1:50" x14ac:dyDescent="0.35">
      <c r="A1535" s="23"/>
      <c r="B1535" s="23"/>
      <c r="C1535" s="23"/>
      <c r="D1535" s="23"/>
      <c r="E1535" s="23"/>
      <c r="F1535" s="23"/>
      <c r="G1535" s="23"/>
      <c r="H1535" s="23"/>
      <c r="I1535" s="23"/>
      <c r="J1535" s="23"/>
      <c r="K1535" s="23"/>
      <c r="L1535" s="23"/>
      <c r="M1535" s="23"/>
      <c r="N1535" s="23"/>
      <c r="O1535" s="23"/>
      <c r="P1535" s="23"/>
      <c r="Q1535" s="23"/>
      <c r="R1535" s="23"/>
      <c r="S1535" s="23"/>
      <c r="T1535" s="23"/>
      <c r="U1535" s="22"/>
      <c r="V1535" s="22"/>
      <c r="W1535" s="22"/>
      <c r="X1535" s="22"/>
      <c r="Y1535" s="22"/>
      <c r="Z1535" s="22"/>
      <c r="AA1535" s="22"/>
      <c r="AB1535" s="22"/>
      <c r="AC1535" s="22"/>
      <c r="AD1535" s="22"/>
      <c r="AE1535" s="22"/>
      <c r="AF1535" s="22"/>
      <c r="AG1535" s="22"/>
      <c r="AH1535" s="22"/>
      <c r="AI1535" s="22"/>
      <c r="AJ1535" s="22"/>
      <c r="AK1535" s="22"/>
      <c r="AL1535" s="22"/>
      <c r="AM1535" s="22"/>
      <c r="AN1535" s="22"/>
      <c r="AO1535" s="22"/>
      <c r="AP1535" s="22"/>
      <c r="AQ1535" s="22"/>
      <c r="AR1535" s="22"/>
      <c r="AS1535" s="22"/>
      <c r="AT1535" s="22"/>
      <c r="AU1535" s="22"/>
      <c r="AV1535" s="22"/>
      <c r="AW1535" s="22"/>
      <c r="AX1535" s="22"/>
    </row>
    <row r="1536" spans="1:50" x14ac:dyDescent="0.35">
      <c r="A1536" s="23"/>
      <c r="B1536" s="23"/>
      <c r="C1536" s="23"/>
      <c r="D1536" s="23"/>
      <c r="E1536" s="23"/>
      <c r="F1536" s="23"/>
      <c r="G1536" s="23"/>
      <c r="H1536" s="23"/>
      <c r="I1536" s="23"/>
      <c r="J1536" s="23"/>
      <c r="K1536" s="23"/>
      <c r="L1536" s="23"/>
      <c r="M1536" s="23"/>
      <c r="N1536" s="23"/>
      <c r="O1536" s="23"/>
      <c r="P1536" s="23"/>
      <c r="Q1536" s="23"/>
      <c r="R1536" s="23"/>
      <c r="S1536" s="23"/>
      <c r="T1536" s="23"/>
      <c r="U1536" s="22"/>
      <c r="V1536" s="22"/>
      <c r="W1536" s="22"/>
      <c r="X1536" s="22"/>
      <c r="Y1536" s="22"/>
      <c r="Z1536" s="22"/>
      <c r="AA1536" s="22"/>
      <c r="AB1536" s="22"/>
      <c r="AC1536" s="22"/>
      <c r="AD1536" s="22"/>
      <c r="AE1536" s="22"/>
      <c r="AF1536" s="22"/>
      <c r="AG1536" s="22"/>
      <c r="AH1536" s="22"/>
      <c r="AI1536" s="22"/>
      <c r="AJ1536" s="22"/>
      <c r="AK1536" s="22"/>
      <c r="AL1536" s="22"/>
      <c r="AM1536" s="22"/>
      <c r="AN1536" s="22"/>
      <c r="AO1536" s="22"/>
      <c r="AP1536" s="22"/>
      <c r="AQ1536" s="22"/>
      <c r="AR1536" s="22"/>
      <c r="AS1536" s="22"/>
      <c r="AT1536" s="22"/>
      <c r="AU1536" s="22"/>
      <c r="AV1536" s="22"/>
      <c r="AW1536" s="22"/>
      <c r="AX1536" s="22"/>
    </row>
    <row r="1537" spans="1:50" x14ac:dyDescent="0.35">
      <c r="A1537" s="23"/>
      <c r="B1537" s="23"/>
      <c r="C1537" s="23"/>
      <c r="D1537" s="23"/>
      <c r="E1537" s="23"/>
      <c r="F1537" s="23"/>
      <c r="G1537" s="23"/>
      <c r="H1537" s="23"/>
      <c r="I1537" s="23"/>
      <c r="J1537" s="23"/>
      <c r="K1537" s="23"/>
      <c r="L1537" s="23"/>
      <c r="M1537" s="23"/>
      <c r="N1537" s="23"/>
      <c r="O1537" s="23"/>
      <c r="P1537" s="23"/>
      <c r="Q1537" s="23"/>
      <c r="R1537" s="23"/>
      <c r="S1537" s="23"/>
      <c r="T1537" s="23"/>
      <c r="U1537" s="22"/>
      <c r="V1537" s="22"/>
      <c r="W1537" s="22"/>
      <c r="X1537" s="22"/>
      <c r="Y1537" s="22"/>
      <c r="Z1537" s="22"/>
      <c r="AA1537" s="22"/>
      <c r="AB1537" s="22"/>
      <c r="AC1537" s="22"/>
      <c r="AD1537" s="22"/>
      <c r="AE1537" s="22"/>
      <c r="AF1537" s="22"/>
      <c r="AG1537" s="22"/>
      <c r="AH1537" s="22"/>
      <c r="AI1537" s="22"/>
      <c r="AJ1537" s="22"/>
      <c r="AK1537" s="22"/>
      <c r="AL1537" s="22"/>
      <c r="AM1537" s="22"/>
      <c r="AN1537" s="22"/>
      <c r="AO1537" s="22"/>
      <c r="AP1537" s="22"/>
      <c r="AQ1537" s="22"/>
      <c r="AR1537" s="22"/>
      <c r="AS1537" s="22"/>
      <c r="AT1537" s="22"/>
      <c r="AU1537" s="22"/>
      <c r="AV1537" s="22"/>
      <c r="AW1537" s="22"/>
      <c r="AX1537" s="22"/>
    </row>
    <row r="1538" spans="1:50" x14ac:dyDescent="0.35">
      <c r="A1538" s="23"/>
      <c r="B1538" s="23"/>
      <c r="C1538" s="23"/>
      <c r="D1538" s="23"/>
      <c r="E1538" s="23"/>
      <c r="F1538" s="23"/>
      <c r="G1538" s="23"/>
      <c r="H1538" s="23"/>
      <c r="I1538" s="23"/>
      <c r="J1538" s="23"/>
      <c r="K1538" s="23"/>
      <c r="L1538" s="23"/>
      <c r="M1538" s="23"/>
      <c r="N1538" s="23"/>
      <c r="O1538" s="23"/>
      <c r="P1538" s="23"/>
      <c r="Q1538" s="23"/>
      <c r="R1538" s="23"/>
      <c r="S1538" s="23"/>
      <c r="T1538" s="23"/>
      <c r="U1538" s="22"/>
      <c r="V1538" s="22"/>
      <c r="W1538" s="22"/>
      <c r="X1538" s="22"/>
      <c r="Y1538" s="22"/>
      <c r="Z1538" s="22"/>
      <c r="AA1538" s="22"/>
      <c r="AB1538" s="22"/>
      <c r="AC1538" s="22"/>
      <c r="AD1538" s="22"/>
      <c r="AE1538" s="22"/>
      <c r="AF1538" s="22"/>
      <c r="AG1538" s="22"/>
      <c r="AH1538" s="22"/>
      <c r="AI1538" s="22"/>
      <c r="AJ1538" s="22"/>
      <c r="AK1538" s="22"/>
      <c r="AL1538" s="22"/>
      <c r="AM1538" s="22"/>
      <c r="AN1538" s="22"/>
      <c r="AO1538" s="22"/>
      <c r="AP1538" s="22"/>
      <c r="AQ1538" s="22"/>
      <c r="AR1538" s="22"/>
      <c r="AS1538" s="22"/>
      <c r="AT1538" s="22"/>
      <c r="AU1538" s="22"/>
      <c r="AV1538" s="22"/>
      <c r="AW1538" s="22"/>
      <c r="AX1538" s="22"/>
    </row>
    <row r="1539" spans="1:50" x14ac:dyDescent="0.35">
      <c r="A1539" s="23"/>
      <c r="B1539" s="23"/>
      <c r="C1539" s="23"/>
      <c r="D1539" s="23"/>
      <c r="E1539" s="23"/>
      <c r="F1539" s="23"/>
      <c r="G1539" s="23"/>
      <c r="H1539" s="23"/>
      <c r="I1539" s="23"/>
      <c r="J1539" s="23"/>
      <c r="K1539" s="23"/>
      <c r="L1539" s="23"/>
      <c r="M1539" s="23"/>
      <c r="N1539" s="23"/>
      <c r="O1539" s="23"/>
      <c r="P1539" s="23"/>
      <c r="Q1539" s="23"/>
      <c r="R1539" s="23"/>
      <c r="S1539" s="23"/>
      <c r="T1539" s="23"/>
      <c r="U1539" s="22"/>
      <c r="V1539" s="22"/>
      <c r="W1539" s="22"/>
      <c r="X1539" s="22"/>
      <c r="Y1539" s="22"/>
      <c r="Z1539" s="22"/>
      <c r="AA1539" s="22"/>
      <c r="AB1539" s="22"/>
      <c r="AC1539" s="22"/>
      <c r="AD1539" s="22"/>
      <c r="AE1539" s="22"/>
      <c r="AF1539" s="22"/>
      <c r="AG1539" s="22"/>
      <c r="AH1539" s="22"/>
      <c r="AI1539" s="22"/>
      <c r="AJ1539" s="22"/>
      <c r="AK1539" s="22"/>
      <c r="AL1539" s="22"/>
      <c r="AM1539" s="22"/>
      <c r="AN1539" s="22"/>
      <c r="AO1539" s="22"/>
      <c r="AP1539" s="22"/>
      <c r="AQ1539" s="22"/>
      <c r="AR1539" s="22"/>
      <c r="AS1539" s="22"/>
      <c r="AT1539" s="22"/>
      <c r="AU1539" s="22"/>
      <c r="AV1539" s="22"/>
      <c r="AW1539" s="22"/>
      <c r="AX1539" s="22"/>
    </row>
    <row r="1540" spans="1:50" x14ac:dyDescent="0.35">
      <c r="A1540" s="23"/>
      <c r="B1540" s="23"/>
      <c r="C1540" s="23"/>
      <c r="D1540" s="23"/>
      <c r="E1540" s="23"/>
      <c r="F1540" s="23"/>
      <c r="G1540" s="23"/>
      <c r="H1540" s="23"/>
      <c r="I1540" s="23"/>
      <c r="J1540" s="23"/>
      <c r="K1540" s="23"/>
      <c r="L1540" s="23"/>
      <c r="M1540" s="23"/>
      <c r="N1540" s="23"/>
      <c r="O1540" s="23"/>
      <c r="P1540" s="23"/>
      <c r="Q1540" s="23"/>
      <c r="R1540" s="23"/>
      <c r="S1540" s="23"/>
      <c r="T1540" s="23"/>
      <c r="U1540" s="22"/>
      <c r="V1540" s="22"/>
      <c r="W1540" s="22"/>
      <c r="X1540" s="22"/>
      <c r="Y1540" s="22"/>
      <c r="Z1540" s="22"/>
      <c r="AA1540" s="22"/>
      <c r="AB1540" s="22"/>
      <c r="AC1540" s="22"/>
      <c r="AD1540" s="22"/>
      <c r="AE1540" s="22"/>
      <c r="AF1540" s="22"/>
      <c r="AG1540" s="22"/>
      <c r="AH1540" s="22"/>
      <c r="AI1540" s="22"/>
      <c r="AJ1540" s="22"/>
      <c r="AK1540" s="22"/>
      <c r="AL1540" s="22"/>
      <c r="AM1540" s="22"/>
      <c r="AN1540" s="22"/>
      <c r="AO1540" s="22"/>
      <c r="AP1540" s="22"/>
      <c r="AQ1540" s="22"/>
      <c r="AR1540" s="22"/>
      <c r="AS1540" s="22"/>
      <c r="AT1540" s="22"/>
      <c r="AU1540" s="22"/>
      <c r="AV1540" s="22"/>
      <c r="AW1540" s="22"/>
      <c r="AX1540" s="22"/>
    </row>
    <row r="1541" spans="1:50" x14ac:dyDescent="0.35">
      <c r="A1541" s="23"/>
      <c r="B1541" s="23"/>
      <c r="C1541" s="23"/>
      <c r="D1541" s="23"/>
      <c r="E1541" s="23"/>
      <c r="F1541" s="23"/>
      <c r="G1541" s="23"/>
      <c r="H1541" s="23"/>
      <c r="I1541" s="23"/>
      <c r="J1541" s="23"/>
      <c r="K1541" s="23"/>
      <c r="L1541" s="23"/>
      <c r="M1541" s="23"/>
      <c r="N1541" s="23"/>
      <c r="O1541" s="23"/>
      <c r="P1541" s="23"/>
      <c r="Q1541" s="23"/>
      <c r="R1541" s="23"/>
      <c r="S1541" s="23"/>
      <c r="T1541" s="23"/>
      <c r="U1541" s="22"/>
      <c r="V1541" s="22"/>
      <c r="W1541" s="22"/>
      <c r="X1541" s="22"/>
      <c r="Y1541" s="22"/>
      <c r="Z1541" s="22"/>
      <c r="AA1541" s="22"/>
      <c r="AB1541" s="22"/>
      <c r="AC1541" s="22"/>
      <c r="AD1541" s="22"/>
      <c r="AE1541" s="22"/>
      <c r="AF1541" s="22"/>
      <c r="AG1541" s="22"/>
      <c r="AH1541" s="22"/>
      <c r="AI1541" s="22"/>
      <c r="AJ1541" s="22"/>
      <c r="AK1541" s="22"/>
      <c r="AL1541" s="22"/>
      <c r="AM1541" s="22"/>
      <c r="AN1541" s="22"/>
      <c r="AO1541" s="22"/>
      <c r="AP1541" s="22"/>
      <c r="AQ1541" s="22"/>
      <c r="AR1541" s="22"/>
      <c r="AS1541" s="22"/>
      <c r="AT1541" s="22"/>
      <c r="AU1541" s="22"/>
      <c r="AV1541" s="22"/>
      <c r="AW1541" s="22"/>
      <c r="AX1541" s="22"/>
    </row>
    <row r="1542" spans="1:50" x14ac:dyDescent="0.35">
      <c r="A1542" s="23"/>
      <c r="B1542" s="23"/>
      <c r="C1542" s="23"/>
      <c r="D1542" s="23"/>
      <c r="E1542" s="23"/>
      <c r="F1542" s="23"/>
      <c r="G1542" s="23"/>
      <c r="H1542" s="23"/>
      <c r="I1542" s="23"/>
      <c r="J1542" s="23"/>
      <c r="K1542" s="23"/>
      <c r="L1542" s="23"/>
      <c r="M1542" s="23"/>
      <c r="N1542" s="23"/>
      <c r="O1542" s="23"/>
      <c r="P1542" s="23"/>
      <c r="Q1542" s="23"/>
      <c r="R1542" s="23"/>
      <c r="S1542" s="23"/>
      <c r="T1542" s="23"/>
      <c r="U1542" s="22"/>
      <c r="V1542" s="22"/>
      <c r="W1542" s="22"/>
      <c r="X1542" s="22"/>
      <c r="Y1542" s="22"/>
      <c r="Z1542" s="22"/>
      <c r="AA1542" s="22"/>
      <c r="AB1542" s="22"/>
      <c r="AC1542" s="22"/>
      <c r="AD1542" s="22"/>
      <c r="AE1542" s="22"/>
      <c r="AF1542" s="22"/>
      <c r="AG1542" s="22"/>
      <c r="AH1542" s="22"/>
      <c r="AI1542" s="22"/>
      <c r="AJ1542" s="22"/>
      <c r="AK1542" s="22"/>
      <c r="AL1542" s="22"/>
      <c r="AM1542" s="22"/>
      <c r="AN1542" s="22"/>
      <c r="AO1542" s="22"/>
      <c r="AP1542" s="22"/>
      <c r="AQ1542" s="22"/>
      <c r="AR1542" s="22"/>
      <c r="AS1542" s="22"/>
      <c r="AT1542" s="22"/>
      <c r="AU1542" s="22"/>
      <c r="AV1542" s="22"/>
      <c r="AW1542" s="22"/>
      <c r="AX1542" s="22"/>
    </row>
    <row r="1543" spans="1:50" x14ac:dyDescent="0.35">
      <c r="A1543" s="23"/>
      <c r="B1543" s="23"/>
      <c r="C1543" s="23"/>
      <c r="D1543" s="23"/>
      <c r="E1543" s="23"/>
      <c r="F1543" s="23"/>
      <c r="G1543" s="23"/>
      <c r="H1543" s="23"/>
      <c r="I1543" s="23"/>
      <c r="J1543" s="23"/>
      <c r="K1543" s="23"/>
      <c r="L1543" s="23"/>
      <c r="M1543" s="23"/>
      <c r="N1543" s="23"/>
      <c r="O1543" s="23"/>
      <c r="P1543" s="23"/>
      <c r="Q1543" s="23"/>
      <c r="R1543" s="23"/>
      <c r="S1543" s="23"/>
      <c r="T1543" s="23"/>
      <c r="U1543" s="22"/>
      <c r="V1543" s="22"/>
      <c r="W1543" s="22"/>
      <c r="X1543" s="22"/>
      <c r="Y1543" s="22"/>
      <c r="Z1543" s="22"/>
      <c r="AA1543" s="22"/>
      <c r="AB1543" s="22"/>
      <c r="AC1543" s="22"/>
      <c r="AD1543" s="22"/>
      <c r="AE1543" s="22"/>
      <c r="AF1543" s="22"/>
      <c r="AG1543" s="22"/>
      <c r="AH1543" s="22"/>
      <c r="AI1543" s="22"/>
      <c r="AJ1543" s="22"/>
      <c r="AK1543" s="22"/>
      <c r="AL1543" s="22"/>
      <c r="AM1543" s="22"/>
      <c r="AN1543" s="22"/>
      <c r="AO1543" s="22"/>
      <c r="AP1543" s="22"/>
      <c r="AQ1543" s="22"/>
      <c r="AR1543" s="22"/>
      <c r="AS1543" s="22"/>
      <c r="AT1543" s="22"/>
      <c r="AU1543" s="22"/>
      <c r="AV1543" s="22"/>
      <c r="AW1543" s="22"/>
      <c r="AX1543" s="22"/>
    </row>
    <row r="1544" spans="1:50" x14ac:dyDescent="0.35">
      <c r="A1544" s="23"/>
      <c r="B1544" s="23"/>
      <c r="C1544" s="23"/>
      <c r="D1544" s="23"/>
      <c r="E1544" s="23"/>
      <c r="F1544" s="23"/>
      <c r="G1544" s="23"/>
      <c r="H1544" s="23"/>
      <c r="I1544" s="23"/>
      <c r="J1544" s="23"/>
      <c r="K1544" s="23"/>
      <c r="L1544" s="23"/>
      <c r="M1544" s="23"/>
      <c r="N1544" s="23"/>
      <c r="O1544" s="23"/>
      <c r="P1544" s="23"/>
      <c r="Q1544" s="23"/>
      <c r="R1544" s="23"/>
      <c r="S1544" s="23"/>
      <c r="T1544" s="23"/>
      <c r="U1544" s="22"/>
      <c r="V1544" s="22"/>
      <c r="W1544" s="22"/>
      <c r="X1544" s="22"/>
      <c r="Y1544" s="22"/>
      <c r="Z1544" s="22"/>
      <c r="AA1544" s="22"/>
      <c r="AB1544" s="22"/>
      <c r="AC1544" s="22"/>
      <c r="AD1544" s="22"/>
      <c r="AE1544" s="22"/>
      <c r="AF1544" s="22"/>
      <c r="AG1544" s="22"/>
      <c r="AH1544" s="22"/>
      <c r="AI1544" s="22"/>
      <c r="AJ1544" s="22"/>
      <c r="AK1544" s="22"/>
      <c r="AL1544" s="22"/>
      <c r="AM1544" s="22"/>
      <c r="AN1544" s="22"/>
      <c r="AO1544" s="22"/>
      <c r="AP1544" s="22"/>
      <c r="AQ1544" s="22"/>
      <c r="AR1544" s="22"/>
      <c r="AS1544" s="22"/>
      <c r="AT1544" s="22"/>
      <c r="AU1544" s="22"/>
      <c r="AV1544" s="22"/>
      <c r="AW1544" s="22"/>
      <c r="AX1544" s="22"/>
    </row>
    <row r="1545" spans="1:50" x14ac:dyDescent="0.35">
      <c r="A1545" s="23"/>
      <c r="B1545" s="23"/>
      <c r="C1545" s="23"/>
      <c r="D1545" s="23"/>
      <c r="E1545" s="23"/>
      <c r="F1545" s="23"/>
      <c r="G1545" s="23"/>
      <c r="H1545" s="23"/>
      <c r="I1545" s="23"/>
      <c r="J1545" s="23"/>
      <c r="K1545" s="23"/>
      <c r="L1545" s="23"/>
      <c r="M1545" s="23"/>
      <c r="N1545" s="23"/>
      <c r="O1545" s="23"/>
      <c r="P1545" s="23"/>
      <c r="Q1545" s="23"/>
      <c r="R1545" s="23"/>
      <c r="S1545" s="23"/>
      <c r="T1545" s="23"/>
      <c r="U1545" s="22"/>
      <c r="V1545" s="22"/>
      <c r="W1545" s="22"/>
      <c r="X1545" s="22"/>
      <c r="Y1545" s="22"/>
      <c r="Z1545" s="22"/>
      <c r="AA1545" s="22"/>
      <c r="AB1545" s="22"/>
      <c r="AC1545" s="22"/>
      <c r="AD1545" s="22"/>
      <c r="AE1545" s="22"/>
      <c r="AF1545" s="22"/>
      <c r="AG1545" s="22"/>
      <c r="AH1545" s="22"/>
      <c r="AI1545" s="22"/>
      <c r="AJ1545" s="22"/>
      <c r="AK1545" s="22"/>
      <c r="AL1545" s="22"/>
      <c r="AM1545" s="22"/>
      <c r="AN1545" s="22"/>
      <c r="AO1545" s="22"/>
      <c r="AP1545" s="22"/>
      <c r="AQ1545" s="22"/>
      <c r="AR1545" s="22"/>
      <c r="AS1545" s="22"/>
      <c r="AT1545" s="22"/>
      <c r="AU1545" s="22"/>
      <c r="AV1545" s="22"/>
      <c r="AW1545" s="22"/>
      <c r="AX1545" s="22"/>
    </row>
    <row r="1546" spans="1:50" x14ac:dyDescent="0.35">
      <c r="A1546" s="23"/>
      <c r="B1546" s="23"/>
      <c r="C1546" s="23"/>
      <c r="D1546" s="23"/>
      <c r="E1546" s="23"/>
      <c r="F1546" s="23"/>
      <c r="G1546" s="23"/>
      <c r="H1546" s="23"/>
      <c r="I1546" s="23"/>
      <c r="J1546" s="23"/>
      <c r="K1546" s="23"/>
      <c r="L1546" s="23"/>
      <c r="M1546" s="23"/>
      <c r="N1546" s="23"/>
      <c r="O1546" s="23"/>
      <c r="P1546" s="23"/>
      <c r="Q1546" s="23"/>
      <c r="R1546" s="23"/>
      <c r="S1546" s="23"/>
      <c r="T1546" s="23"/>
      <c r="U1546" s="22"/>
      <c r="V1546" s="22"/>
      <c r="W1546" s="22"/>
      <c r="X1546" s="22"/>
      <c r="Y1546" s="22"/>
      <c r="Z1546" s="22"/>
      <c r="AA1546" s="22"/>
      <c r="AB1546" s="22"/>
      <c r="AC1546" s="22"/>
      <c r="AD1546" s="22"/>
      <c r="AE1546" s="22"/>
      <c r="AF1546" s="22"/>
      <c r="AG1546" s="22"/>
      <c r="AH1546" s="22"/>
      <c r="AI1546" s="22"/>
      <c r="AJ1546" s="22"/>
      <c r="AK1546" s="22"/>
      <c r="AL1546" s="22"/>
      <c r="AM1546" s="22"/>
      <c r="AN1546" s="22"/>
      <c r="AO1546" s="22"/>
      <c r="AP1546" s="22"/>
      <c r="AQ1546" s="22"/>
      <c r="AR1546" s="22"/>
      <c r="AS1546" s="22"/>
      <c r="AT1546" s="22"/>
      <c r="AU1546" s="22"/>
      <c r="AV1546" s="22"/>
      <c r="AW1546" s="22"/>
      <c r="AX1546" s="22"/>
    </row>
    <row r="1547" spans="1:50" x14ac:dyDescent="0.35">
      <c r="A1547" s="23"/>
      <c r="B1547" s="23"/>
      <c r="C1547" s="23"/>
      <c r="D1547" s="23"/>
      <c r="E1547" s="23"/>
      <c r="F1547" s="23"/>
      <c r="G1547" s="23"/>
      <c r="H1547" s="23"/>
      <c r="I1547" s="23"/>
      <c r="J1547" s="23"/>
      <c r="K1547" s="23"/>
      <c r="L1547" s="23"/>
      <c r="M1547" s="23"/>
      <c r="N1547" s="23"/>
      <c r="O1547" s="23"/>
      <c r="P1547" s="23"/>
      <c r="Q1547" s="23"/>
      <c r="R1547" s="23"/>
      <c r="S1547" s="23"/>
      <c r="T1547" s="23"/>
      <c r="U1547" s="22"/>
      <c r="V1547" s="22"/>
      <c r="W1547" s="22"/>
      <c r="X1547" s="22"/>
      <c r="Y1547" s="22"/>
      <c r="Z1547" s="22"/>
      <c r="AA1547" s="22"/>
      <c r="AB1547" s="22"/>
      <c r="AC1547" s="22"/>
      <c r="AD1547" s="22"/>
      <c r="AE1547" s="22"/>
      <c r="AF1547" s="22"/>
      <c r="AG1547" s="22"/>
      <c r="AH1547" s="22"/>
      <c r="AI1547" s="22"/>
      <c r="AJ1547" s="22"/>
      <c r="AK1547" s="22"/>
      <c r="AL1547" s="22"/>
      <c r="AM1547" s="22"/>
      <c r="AN1547" s="22"/>
      <c r="AO1547" s="22"/>
      <c r="AP1547" s="22"/>
      <c r="AQ1547" s="22"/>
      <c r="AR1547" s="22"/>
      <c r="AS1547" s="22"/>
      <c r="AT1547" s="22"/>
      <c r="AU1547" s="22"/>
      <c r="AV1547" s="22"/>
      <c r="AW1547" s="22"/>
      <c r="AX1547" s="22"/>
    </row>
    <row r="1548" spans="1:50" x14ac:dyDescent="0.35">
      <c r="A1548" s="23"/>
      <c r="B1548" s="23"/>
      <c r="C1548" s="23"/>
      <c r="D1548" s="23"/>
      <c r="E1548" s="23"/>
      <c r="F1548" s="23"/>
      <c r="G1548" s="23"/>
      <c r="H1548" s="23"/>
      <c r="I1548" s="23"/>
      <c r="J1548" s="23"/>
      <c r="K1548" s="23"/>
      <c r="L1548" s="23"/>
      <c r="M1548" s="23"/>
      <c r="N1548" s="23"/>
      <c r="O1548" s="23"/>
      <c r="P1548" s="23"/>
      <c r="Q1548" s="23"/>
      <c r="R1548" s="23"/>
      <c r="S1548" s="23"/>
      <c r="T1548" s="23"/>
      <c r="U1548" s="22"/>
      <c r="V1548" s="22"/>
      <c r="W1548" s="22"/>
      <c r="X1548" s="22"/>
      <c r="Y1548" s="22"/>
      <c r="Z1548" s="22"/>
      <c r="AA1548" s="22"/>
      <c r="AB1548" s="22"/>
      <c r="AC1548" s="22"/>
      <c r="AD1548" s="22"/>
      <c r="AE1548" s="22"/>
      <c r="AF1548" s="22"/>
      <c r="AG1548" s="22"/>
      <c r="AH1548" s="22"/>
      <c r="AI1548" s="22"/>
      <c r="AJ1548" s="22"/>
      <c r="AK1548" s="22"/>
      <c r="AL1548" s="22"/>
      <c r="AM1548" s="22"/>
      <c r="AN1548" s="22"/>
      <c r="AO1548" s="22"/>
      <c r="AP1548" s="22"/>
      <c r="AQ1548" s="22"/>
      <c r="AR1548" s="22"/>
      <c r="AS1548" s="22"/>
      <c r="AT1548" s="22"/>
      <c r="AU1548" s="22"/>
      <c r="AV1548" s="22"/>
      <c r="AW1548" s="22"/>
      <c r="AX1548" s="22"/>
    </row>
    <row r="1549" spans="1:50" x14ac:dyDescent="0.35">
      <c r="A1549" s="23"/>
      <c r="B1549" s="23"/>
      <c r="C1549" s="23"/>
      <c r="D1549" s="23"/>
      <c r="E1549" s="23"/>
      <c r="F1549" s="23"/>
      <c r="G1549" s="23"/>
      <c r="H1549" s="23"/>
      <c r="I1549" s="23"/>
      <c r="J1549" s="23"/>
      <c r="K1549" s="23"/>
      <c r="L1549" s="23"/>
      <c r="M1549" s="23"/>
      <c r="N1549" s="23"/>
      <c r="O1549" s="23"/>
      <c r="P1549" s="23"/>
      <c r="Q1549" s="23"/>
      <c r="R1549" s="23"/>
      <c r="S1549" s="23"/>
      <c r="T1549" s="23"/>
      <c r="U1549" s="22"/>
      <c r="V1549" s="22"/>
      <c r="W1549" s="22"/>
      <c r="X1549" s="22"/>
      <c r="Y1549" s="22"/>
      <c r="Z1549" s="22"/>
      <c r="AA1549" s="22"/>
      <c r="AB1549" s="22"/>
      <c r="AC1549" s="22"/>
      <c r="AD1549" s="22"/>
      <c r="AE1549" s="22"/>
      <c r="AF1549" s="22"/>
      <c r="AG1549" s="22"/>
      <c r="AH1549" s="22"/>
      <c r="AI1549" s="22"/>
      <c r="AJ1549" s="22"/>
      <c r="AK1549" s="22"/>
      <c r="AL1549" s="22"/>
      <c r="AM1549" s="22"/>
      <c r="AN1549" s="22"/>
      <c r="AO1549" s="22"/>
      <c r="AP1549" s="22"/>
      <c r="AQ1549" s="22"/>
      <c r="AR1549" s="22"/>
      <c r="AS1549" s="22"/>
      <c r="AT1549" s="22"/>
      <c r="AU1549" s="22"/>
      <c r="AV1549" s="22"/>
      <c r="AW1549" s="22"/>
      <c r="AX1549" s="22"/>
    </row>
    <row r="1550" spans="1:50" x14ac:dyDescent="0.35">
      <c r="A1550" s="23"/>
      <c r="B1550" s="23"/>
      <c r="C1550" s="23"/>
      <c r="D1550" s="23"/>
      <c r="E1550" s="23"/>
      <c r="F1550" s="23"/>
      <c r="G1550" s="23"/>
      <c r="H1550" s="23"/>
      <c r="I1550" s="23"/>
      <c r="J1550" s="23"/>
      <c r="K1550" s="23"/>
      <c r="L1550" s="23"/>
      <c r="M1550" s="23"/>
      <c r="N1550" s="23"/>
      <c r="O1550" s="23"/>
      <c r="P1550" s="23"/>
      <c r="Q1550" s="23"/>
      <c r="R1550" s="23"/>
      <c r="S1550" s="23"/>
      <c r="T1550" s="23"/>
      <c r="U1550" s="22"/>
      <c r="V1550" s="22"/>
      <c r="W1550" s="22"/>
      <c r="X1550" s="22"/>
      <c r="Y1550" s="22"/>
      <c r="Z1550" s="22"/>
      <c r="AA1550" s="22"/>
      <c r="AB1550" s="22"/>
      <c r="AC1550" s="22"/>
      <c r="AD1550" s="22"/>
      <c r="AE1550" s="22"/>
      <c r="AF1550" s="22"/>
      <c r="AG1550" s="22"/>
      <c r="AH1550" s="22"/>
      <c r="AI1550" s="22"/>
      <c r="AJ1550" s="22"/>
      <c r="AK1550" s="22"/>
      <c r="AL1550" s="22"/>
      <c r="AM1550" s="22"/>
      <c r="AN1550" s="22"/>
      <c r="AO1550" s="22"/>
      <c r="AP1550" s="22"/>
      <c r="AQ1550" s="22"/>
      <c r="AR1550" s="22"/>
      <c r="AS1550" s="22"/>
      <c r="AT1550" s="22"/>
      <c r="AU1550" s="22"/>
      <c r="AV1550" s="22"/>
      <c r="AW1550" s="22"/>
      <c r="AX1550" s="22"/>
    </row>
    <row r="1551" spans="1:50" x14ac:dyDescent="0.35">
      <c r="A1551" s="23"/>
      <c r="B1551" s="23"/>
      <c r="C1551" s="23"/>
      <c r="D1551" s="23"/>
      <c r="E1551" s="23"/>
      <c r="F1551" s="23"/>
      <c r="G1551" s="23"/>
      <c r="H1551" s="23"/>
      <c r="I1551" s="23"/>
      <c r="J1551" s="23"/>
      <c r="K1551" s="23"/>
      <c r="L1551" s="23"/>
      <c r="M1551" s="23"/>
      <c r="N1551" s="23"/>
      <c r="O1551" s="23"/>
      <c r="P1551" s="23"/>
      <c r="Q1551" s="23"/>
      <c r="R1551" s="23"/>
      <c r="S1551" s="23"/>
      <c r="T1551" s="23"/>
      <c r="U1551" s="22"/>
      <c r="V1551" s="22"/>
      <c r="W1551" s="22"/>
      <c r="X1551" s="22"/>
      <c r="Y1551" s="22"/>
      <c r="Z1551" s="22"/>
      <c r="AA1551" s="22"/>
      <c r="AB1551" s="22"/>
      <c r="AC1551" s="22"/>
      <c r="AD1551" s="22"/>
      <c r="AE1551" s="22"/>
      <c r="AF1551" s="22"/>
      <c r="AG1551" s="22"/>
      <c r="AH1551" s="22"/>
      <c r="AI1551" s="22"/>
      <c r="AJ1551" s="22"/>
      <c r="AK1551" s="22"/>
      <c r="AL1551" s="22"/>
      <c r="AM1551" s="22"/>
      <c r="AN1551" s="22"/>
      <c r="AO1551" s="22"/>
      <c r="AP1551" s="22"/>
      <c r="AQ1551" s="22"/>
      <c r="AR1551" s="22"/>
      <c r="AS1551" s="22"/>
      <c r="AT1551" s="22"/>
      <c r="AU1551" s="22"/>
      <c r="AV1551" s="22"/>
      <c r="AW1551" s="22"/>
      <c r="AX1551" s="22"/>
    </row>
    <row r="1552" spans="1:50" x14ac:dyDescent="0.35">
      <c r="A1552" s="23"/>
      <c r="B1552" s="23"/>
      <c r="C1552" s="23"/>
      <c r="D1552" s="23"/>
      <c r="E1552" s="23"/>
      <c r="F1552" s="23"/>
      <c r="G1552" s="23"/>
      <c r="H1552" s="23"/>
      <c r="I1552" s="23"/>
      <c r="J1552" s="23"/>
      <c r="K1552" s="23"/>
      <c r="L1552" s="23"/>
      <c r="M1552" s="23"/>
      <c r="N1552" s="23"/>
      <c r="O1552" s="23"/>
      <c r="P1552" s="23"/>
      <c r="Q1552" s="23"/>
      <c r="R1552" s="23"/>
      <c r="S1552" s="23"/>
      <c r="T1552" s="23"/>
      <c r="U1552" s="22"/>
      <c r="V1552" s="22"/>
      <c r="W1552" s="22"/>
      <c r="X1552" s="22"/>
      <c r="Y1552" s="22"/>
      <c r="Z1552" s="22"/>
      <c r="AA1552" s="22"/>
      <c r="AB1552" s="22"/>
      <c r="AC1552" s="22"/>
      <c r="AD1552" s="22"/>
      <c r="AE1552" s="22"/>
      <c r="AF1552" s="22"/>
      <c r="AG1552" s="22"/>
      <c r="AH1552" s="22"/>
      <c r="AI1552" s="22"/>
      <c r="AJ1552" s="22"/>
      <c r="AK1552" s="22"/>
      <c r="AL1552" s="22"/>
      <c r="AM1552" s="22"/>
      <c r="AN1552" s="22"/>
      <c r="AO1552" s="22"/>
      <c r="AP1552" s="22"/>
      <c r="AQ1552" s="22"/>
      <c r="AR1552" s="22"/>
      <c r="AS1552" s="22"/>
      <c r="AT1552" s="22"/>
      <c r="AU1552" s="22"/>
      <c r="AV1552" s="22"/>
      <c r="AW1552" s="22"/>
      <c r="AX1552" s="22"/>
    </row>
    <row r="1553" spans="1:50" x14ac:dyDescent="0.35">
      <c r="A1553" s="23"/>
      <c r="B1553" s="23"/>
      <c r="C1553" s="23"/>
      <c r="D1553" s="23"/>
      <c r="E1553" s="23"/>
      <c r="F1553" s="23"/>
      <c r="G1553" s="23"/>
      <c r="H1553" s="23"/>
      <c r="I1553" s="23"/>
      <c r="J1553" s="23"/>
      <c r="K1553" s="23"/>
      <c r="L1553" s="23"/>
      <c r="M1553" s="23"/>
      <c r="N1553" s="23"/>
      <c r="O1553" s="23"/>
      <c r="P1553" s="23"/>
      <c r="Q1553" s="23"/>
      <c r="R1553" s="23"/>
      <c r="S1553" s="23"/>
      <c r="T1553" s="23"/>
      <c r="U1553" s="22"/>
      <c r="V1553" s="22"/>
      <c r="W1553" s="22"/>
      <c r="X1553" s="22"/>
      <c r="Y1553" s="22"/>
      <c r="Z1553" s="22"/>
      <c r="AA1553" s="22"/>
      <c r="AB1553" s="22"/>
      <c r="AC1553" s="22"/>
      <c r="AD1553" s="22"/>
      <c r="AE1553" s="22"/>
      <c r="AF1553" s="22"/>
      <c r="AG1553" s="22"/>
      <c r="AH1553" s="22"/>
      <c r="AI1553" s="22"/>
      <c r="AJ1553" s="22"/>
      <c r="AK1553" s="22"/>
      <c r="AL1553" s="22"/>
      <c r="AM1553" s="22"/>
      <c r="AN1553" s="22"/>
      <c r="AO1553" s="22"/>
      <c r="AP1553" s="22"/>
      <c r="AQ1553" s="22"/>
      <c r="AR1553" s="22"/>
      <c r="AS1553" s="22"/>
      <c r="AT1553" s="22"/>
      <c r="AU1553" s="22"/>
      <c r="AV1553" s="22"/>
      <c r="AW1553" s="22"/>
      <c r="AX1553" s="22"/>
    </row>
    <row r="1554" spans="1:50" x14ac:dyDescent="0.35">
      <c r="A1554" s="23"/>
      <c r="B1554" s="23"/>
      <c r="C1554" s="23"/>
      <c r="D1554" s="23"/>
      <c r="E1554" s="23"/>
      <c r="F1554" s="23"/>
      <c r="G1554" s="23"/>
      <c r="H1554" s="23"/>
      <c r="I1554" s="23"/>
      <c r="J1554" s="23"/>
      <c r="K1554" s="23"/>
      <c r="L1554" s="23"/>
      <c r="M1554" s="23"/>
      <c r="N1554" s="23"/>
      <c r="O1554" s="23"/>
      <c r="P1554" s="23"/>
      <c r="Q1554" s="23"/>
      <c r="R1554" s="23"/>
      <c r="S1554" s="23"/>
      <c r="T1554" s="23"/>
      <c r="U1554" s="22"/>
      <c r="V1554" s="22"/>
      <c r="W1554" s="22"/>
      <c r="X1554" s="22"/>
      <c r="Y1554" s="22"/>
      <c r="Z1554" s="22"/>
      <c r="AA1554" s="22"/>
      <c r="AB1554" s="22"/>
      <c r="AC1554" s="22"/>
      <c r="AD1554" s="22"/>
      <c r="AE1554" s="22"/>
      <c r="AF1554" s="22"/>
      <c r="AG1554" s="22"/>
      <c r="AH1554" s="22"/>
      <c r="AI1554" s="22"/>
      <c r="AJ1554" s="22"/>
      <c r="AK1554" s="22"/>
      <c r="AL1554" s="22"/>
      <c r="AM1554" s="22"/>
      <c r="AN1554" s="22"/>
      <c r="AO1554" s="22"/>
      <c r="AP1554" s="22"/>
      <c r="AQ1554" s="22"/>
      <c r="AR1554" s="22"/>
      <c r="AS1554" s="22"/>
      <c r="AT1554" s="22"/>
      <c r="AU1554" s="22"/>
      <c r="AV1554" s="22"/>
      <c r="AW1554" s="22"/>
      <c r="AX1554" s="22"/>
    </row>
    <row r="1555" spans="1:50" x14ac:dyDescent="0.35">
      <c r="A1555" s="23"/>
      <c r="B1555" s="23"/>
      <c r="C1555" s="23"/>
      <c r="D1555" s="23"/>
      <c r="E1555" s="23"/>
      <c r="F1555" s="23"/>
      <c r="G1555" s="23"/>
      <c r="H1555" s="23"/>
      <c r="I1555" s="23"/>
      <c r="J1555" s="23"/>
      <c r="K1555" s="23"/>
      <c r="L1555" s="23"/>
      <c r="M1555" s="23"/>
      <c r="N1555" s="23"/>
      <c r="O1555" s="23"/>
      <c r="P1555" s="23"/>
      <c r="Q1555" s="23"/>
      <c r="R1555" s="23"/>
      <c r="S1555" s="23"/>
      <c r="T1555" s="23"/>
      <c r="U1555" s="22"/>
      <c r="V1555" s="22"/>
      <c r="W1555" s="22"/>
      <c r="X1555" s="22"/>
      <c r="Y1555" s="22"/>
      <c r="Z1555" s="22"/>
      <c r="AA1555" s="22"/>
      <c r="AB1555" s="22"/>
      <c r="AC1555" s="22"/>
      <c r="AD1555" s="22"/>
      <c r="AE1555" s="22"/>
      <c r="AF1555" s="22"/>
      <c r="AG1555" s="22"/>
      <c r="AH1555" s="22"/>
      <c r="AI1555" s="22"/>
      <c r="AJ1555" s="22"/>
      <c r="AK1555" s="22"/>
      <c r="AL1555" s="22"/>
      <c r="AM1555" s="22"/>
      <c r="AN1555" s="22"/>
      <c r="AO1555" s="22"/>
      <c r="AP1555" s="22"/>
      <c r="AQ1555" s="22"/>
      <c r="AR1555" s="22"/>
      <c r="AS1555" s="22"/>
      <c r="AT1555" s="22"/>
      <c r="AU1555" s="22"/>
      <c r="AV1555" s="22"/>
      <c r="AW1555" s="22"/>
      <c r="AX1555" s="22"/>
    </row>
    <row r="1556" spans="1:50" x14ac:dyDescent="0.35">
      <c r="A1556" s="23"/>
      <c r="B1556" s="23"/>
      <c r="C1556" s="23"/>
      <c r="D1556" s="23"/>
      <c r="E1556" s="23"/>
      <c r="F1556" s="23"/>
      <c r="G1556" s="23"/>
      <c r="H1556" s="23"/>
      <c r="I1556" s="23"/>
      <c r="J1556" s="23"/>
      <c r="K1556" s="23"/>
      <c r="L1556" s="23"/>
      <c r="M1556" s="23"/>
      <c r="N1556" s="23"/>
      <c r="O1556" s="23"/>
      <c r="P1556" s="23"/>
      <c r="Q1556" s="23"/>
      <c r="R1556" s="23"/>
      <c r="S1556" s="23"/>
      <c r="T1556" s="23"/>
      <c r="U1556" s="22"/>
      <c r="V1556" s="22"/>
      <c r="W1556" s="22"/>
      <c r="X1556" s="22"/>
      <c r="Y1556" s="22"/>
      <c r="Z1556" s="22"/>
      <c r="AA1556" s="22"/>
      <c r="AB1556" s="22"/>
      <c r="AC1556" s="22"/>
      <c r="AD1556" s="22"/>
      <c r="AE1556" s="22"/>
      <c r="AF1556" s="22"/>
      <c r="AG1556" s="22"/>
      <c r="AH1556" s="22"/>
      <c r="AI1556" s="22"/>
      <c r="AJ1556" s="22"/>
      <c r="AK1556" s="22"/>
      <c r="AL1556" s="22"/>
      <c r="AM1556" s="22"/>
      <c r="AN1556" s="22"/>
      <c r="AO1556" s="22"/>
      <c r="AP1556" s="22"/>
      <c r="AQ1556" s="22"/>
      <c r="AR1556" s="22"/>
      <c r="AS1556" s="22"/>
      <c r="AT1556" s="22"/>
      <c r="AU1556" s="22"/>
      <c r="AV1556" s="22"/>
      <c r="AW1556" s="22"/>
      <c r="AX1556" s="22"/>
    </row>
    <row r="1557" spans="1:50" x14ac:dyDescent="0.35">
      <c r="A1557" s="23"/>
      <c r="B1557" s="23"/>
      <c r="C1557" s="23"/>
      <c r="D1557" s="23"/>
      <c r="E1557" s="23"/>
      <c r="F1557" s="23"/>
      <c r="G1557" s="23"/>
      <c r="H1557" s="23"/>
      <c r="I1557" s="23"/>
      <c r="J1557" s="23"/>
      <c r="K1557" s="23"/>
      <c r="L1557" s="23"/>
      <c r="M1557" s="23"/>
      <c r="N1557" s="23"/>
      <c r="O1557" s="23"/>
      <c r="P1557" s="23"/>
      <c r="Q1557" s="23"/>
      <c r="R1557" s="23"/>
      <c r="S1557" s="23"/>
      <c r="T1557" s="23"/>
      <c r="U1557" s="22"/>
      <c r="V1557" s="22"/>
      <c r="W1557" s="22"/>
      <c r="X1557" s="22"/>
      <c r="Y1557" s="22"/>
      <c r="Z1557" s="22"/>
      <c r="AA1557" s="22"/>
      <c r="AB1557" s="22"/>
      <c r="AC1557" s="22"/>
      <c r="AD1557" s="22"/>
      <c r="AE1557" s="22"/>
      <c r="AF1557" s="22"/>
      <c r="AG1557" s="22"/>
      <c r="AH1557" s="22"/>
      <c r="AI1557" s="22"/>
      <c r="AJ1557" s="22"/>
      <c r="AK1557" s="22"/>
      <c r="AL1557" s="22"/>
      <c r="AM1557" s="22"/>
      <c r="AN1557" s="22"/>
      <c r="AO1557" s="22"/>
      <c r="AP1557" s="22"/>
      <c r="AQ1557" s="22"/>
      <c r="AR1557" s="22"/>
      <c r="AS1557" s="22"/>
      <c r="AT1557" s="22"/>
      <c r="AU1557" s="22"/>
      <c r="AV1557" s="22"/>
      <c r="AW1557" s="22"/>
      <c r="AX1557" s="22"/>
    </row>
    <row r="1558" spans="1:50" x14ac:dyDescent="0.35">
      <c r="A1558" s="23"/>
      <c r="B1558" s="23"/>
      <c r="C1558" s="23"/>
      <c r="D1558" s="23"/>
      <c r="E1558" s="23"/>
      <c r="F1558" s="23"/>
      <c r="G1558" s="23"/>
      <c r="H1558" s="23"/>
      <c r="I1558" s="23"/>
      <c r="J1558" s="23"/>
      <c r="K1558" s="23"/>
      <c r="L1558" s="23"/>
      <c r="M1558" s="23"/>
      <c r="N1558" s="23"/>
      <c r="O1558" s="23"/>
      <c r="P1558" s="23"/>
      <c r="Q1558" s="23"/>
      <c r="R1558" s="23"/>
      <c r="S1558" s="23"/>
      <c r="T1558" s="23"/>
      <c r="U1558" s="22"/>
      <c r="V1558" s="22"/>
      <c r="W1558" s="22"/>
      <c r="X1558" s="22"/>
      <c r="Y1558" s="22"/>
      <c r="Z1558" s="22"/>
      <c r="AA1558" s="22"/>
      <c r="AB1558" s="22"/>
      <c r="AC1558" s="22"/>
      <c r="AD1558" s="22"/>
      <c r="AE1558" s="22"/>
      <c r="AF1558" s="22"/>
      <c r="AG1558" s="22"/>
      <c r="AH1558" s="22"/>
      <c r="AI1558" s="22"/>
      <c r="AJ1558" s="22"/>
      <c r="AK1558" s="22"/>
      <c r="AL1558" s="22"/>
      <c r="AM1558" s="22"/>
      <c r="AN1558" s="22"/>
      <c r="AO1558" s="22"/>
      <c r="AP1558" s="22"/>
      <c r="AQ1558" s="22"/>
      <c r="AR1558" s="22"/>
      <c r="AS1558" s="22"/>
      <c r="AT1558" s="22"/>
      <c r="AU1558" s="22"/>
      <c r="AV1558" s="22"/>
      <c r="AW1558" s="22"/>
      <c r="AX1558" s="22"/>
    </row>
    <row r="1559" spans="1:50" x14ac:dyDescent="0.35">
      <c r="A1559" s="23"/>
      <c r="B1559" s="23"/>
      <c r="C1559" s="23"/>
      <c r="D1559" s="23"/>
      <c r="E1559" s="23"/>
      <c r="F1559" s="23"/>
      <c r="G1559" s="23"/>
      <c r="H1559" s="23"/>
      <c r="I1559" s="23"/>
      <c r="J1559" s="23"/>
      <c r="K1559" s="23"/>
      <c r="L1559" s="23"/>
      <c r="M1559" s="23"/>
      <c r="N1559" s="23"/>
      <c r="O1559" s="23"/>
      <c r="P1559" s="23"/>
      <c r="Q1559" s="23"/>
      <c r="R1559" s="23"/>
      <c r="S1559" s="23"/>
      <c r="T1559" s="23"/>
      <c r="U1559" s="22"/>
      <c r="V1559" s="22"/>
      <c r="W1559" s="22"/>
      <c r="X1559" s="22"/>
      <c r="Y1559" s="22"/>
      <c r="Z1559" s="22"/>
      <c r="AA1559" s="22"/>
      <c r="AB1559" s="22"/>
      <c r="AC1559" s="22"/>
      <c r="AD1559" s="22"/>
      <c r="AE1559" s="22"/>
      <c r="AF1559" s="22"/>
      <c r="AG1559" s="22"/>
      <c r="AH1559" s="22"/>
      <c r="AI1559" s="22"/>
      <c r="AJ1559" s="22"/>
      <c r="AK1559" s="22"/>
      <c r="AL1559" s="22"/>
      <c r="AM1559" s="22"/>
      <c r="AN1559" s="22"/>
      <c r="AO1559" s="22"/>
      <c r="AP1559" s="22"/>
      <c r="AQ1559" s="22"/>
      <c r="AR1559" s="22"/>
      <c r="AS1559" s="22"/>
      <c r="AT1559" s="22"/>
      <c r="AU1559" s="22"/>
      <c r="AV1559" s="22"/>
      <c r="AW1559" s="22"/>
      <c r="AX1559" s="22"/>
    </row>
    <row r="1560" spans="1:50" x14ac:dyDescent="0.35">
      <c r="A1560" s="23"/>
      <c r="B1560" s="23"/>
      <c r="C1560" s="23"/>
      <c r="D1560" s="23"/>
      <c r="E1560" s="23"/>
      <c r="F1560" s="23"/>
      <c r="G1560" s="23"/>
      <c r="H1560" s="23"/>
      <c r="I1560" s="23"/>
      <c r="J1560" s="23"/>
      <c r="K1560" s="23"/>
      <c r="L1560" s="23"/>
      <c r="M1560" s="23"/>
      <c r="N1560" s="23"/>
      <c r="O1560" s="23"/>
      <c r="P1560" s="23"/>
      <c r="Q1560" s="23"/>
      <c r="R1560" s="23"/>
      <c r="S1560" s="23"/>
      <c r="T1560" s="23"/>
      <c r="U1560" s="22"/>
      <c r="V1560" s="22"/>
      <c r="W1560" s="22"/>
      <c r="X1560" s="22"/>
      <c r="Y1560" s="22"/>
      <c r="Z1560" s="22"/>
      <c r="AA1560" s="22"/>
      <c r="AB1560" s="22"/>
      <c r="AC1560" s="22"/>
      <c r="AD1560" s="22"/>
      <c r="AE1560" s="22"/>
      <c r="AF1560" s="22"/>
      <c r="AG1560" s="22"/>
      <c r="AH1560" s="22"/>
      <c r="AI1560" s="22"/>
      <c r="AJ1560" s="22"/>
      <c r="AK1560" s="22"/>
      <c r="AL1560" s="22"/>
      <c r="AM1560" s="22"/>
      <c r="AN1560" s="22"/>
      <c r="AO1560" s="22"/>
      <c r="AP1560" s="22"/>
      <c r="AQ1560" s="22"/>
      <c r="AR1560" s="22"/>
      <c r="AS1560" s="22"/>
      <c r="AT1560" s="22"/>
      <c r="AU1560" s="22"/>
      <c r="AV1560" s="22"/>
      <c r="AW1560" s="22"/>
      <c r="AX1560" s="22"/>
    </row>
    <row r="1561" spans="1:50" x14ac:dyDescent="0.35">
      <c r="A1561" s="23"/>
      <c r="B1561" s="23"/>
      <c r="C1561" s="23"/>
      <c r="D1561" s="23"/>
      <c r="E1561" s="23"/>
      <c r="F1561" s="23"/>
      <c r="G1561" s="23"/>
      <c r="H1561" s="23"/>
      <c r="I1561" s="23"/>
      <c r="J1561" s="23"/>
      <c r="K1561" s="23"/>
      <c r="L1561" s="23"/>
      <c r="M1561" s="23"/>
      <c r="N1561" s="23"/>
      <c r="O1561" s="23"/>
      <c r="P1561" s="23"/>
      <c r="Q1561" s="23"/>
      <c r="R1561" s="23"/>
      <c r="S1561" s="23"/>
      <c r="T1561" s="23"/>
      <c r="U1561" s="22"/>
      <c r="V1561" s="22"/>
      <c r="W1561" s="22"/>
      <c r="X1561" s="22"/>
      <c r="Y1561" s="22"/>
      <c r="Z1561" s="22"/>
      <c r="AA1561" s="22"/>
      <c r="AB1561" s="22"/>
      <c r="AC1561" s="22"/>
      <c r="AD1561" s="22"/>
      <c r="AE1561" s="22"/>
      <c r="AF1561" s="22"/>
      <c r="AG1561" s="22"/>
      <c r="AH1561" s="22"/>
      <c r="AI1561" s="22"/>
      <c r="AJ1561" s="22"/>
      <c r="AK1561" s="22"/>
      <c r="AL1561" s="22"/>
      <c r="AM1561" s="22"/>
      <c r="AN1561" s="22"/>
      <c r="AO1561" s="22"/>
      <c r="AP1561" s="22"/>
      <c r="AQ1561" s="22"/>
      <c r="AR1561" s="22"/>
      <c r="AS1561" s="22"/>
      <c r="AT1561" s="22"/>
      <c r="AU1561" s="22"/>
      <c r="AV1561" s="22"/>
      <c r="AW1561" s="22"/>
      <c r="AX1561" s="22"/>
    </row>
    <row r="1562" spans="1:50" x14ac:dyDescent="0.35">
      <c r="A1562" s="23"/>
      <c r="B1562" s="23"/>
      <c r="C1562" s="23"/>
      <c r="D1562" s="23"/>
      <c r="E1562" s="23"/>
      <c r="F1562" s="23"/>
      <c r="G1562" s="23"/>
      <c r="H1562" s="23"/>
      <c r="I1562" s="23"/>
      <c r="J1562" s="23"/>
      <c r="K1562" s="23"/>
      <c r="L1562" s="23"/>
      <c r="M1562" s="23"/>
      <c r="N1562" s="23"/>
      <c r="O1562" s="23"/>
      <c r="P1562" s="23"/>
      <c r="Q1562" s="23"/>
      <c r="R1562" s="23"/>
      <c r="S1562" s="23"/>
      <c r="T1562" s="23"/>
      <c r="U1562" s="22"/>
      <c r="V1562" s="22"/>
      <c r="W1562" s="22"/>
      <c r="X1562" s="22"/>
      <c r="Y1562" s="22"/>
      <c r="Z1562" s="22"/>
      <c r="AA1562" s="22"/>
      <c r="AB1562" s="22"/>
      <c r="AC1562" s="22"/>
      <c r="AD1562" s="22"/>
      <c r="AE1562" s="22"/>
      <c r="AF1562" s="22"/>
      <c r="AG1562" s="22"/>
      <c r="AH1562" s="22"/>
      <c r="AI1562" s="22"/>
      <c r="AJ1562" s="22"/>
      <c r="AK1562" s="22"/>
      <c r="AL1562" s="22"/>
      <c r="AM1562" s="22"/>
      <c r="AN1562" s="22"/>
      <c r="AO1562" s="22"/>
      <c r="AP1562" s="22"/>
      <c r="AQ1562" s="22"/>
      <c r="AR1562" s="22"/>
      <c r="AS1562" s="22"/>
      <c r="AT1562" s="22"/>
      <c r="AU1562" s="22"/>
      <c r="AV1562" s="22"/>
      <c r="AW1562" s="22"/>
      <c r="AX1562" s="22"/>
    </row>
    <row r="1563" spans="1:50" x14ac:dyDescent="0.35">
      <c r="A1563" s="23"/>
      <c r="B1563" s="23"/>
      <c r="C1563" s="23"/>
      <c r="D1563" s="23"/>
      <c r="E1563" s="23"/>
      <c r="F1563" s="23"/>
      <c r="G1563" s="23"/>
      <c r="H1563" s="23"/>
      <c r="I1563" s="23"/>
      <c r="J1563" s="23"/>
      <c r="K1563" s="23"/>
      <c r="L1563" s="23"/>
      <c r="M1563" s="23"/>
      <c r="N1563" s="23"/>
      <c r="O1563" s="23"/>
      <c r="P1563" s="23"/>
      <c r="Q1563" s="23"/>
      <c r="R1563" s="23"/>
      <c r="S1563" s="23"/>
      <c r="T1563" s="23"/>
      <c r="U1563" s="22"/>
      <c r="V1563" s="22"/>
      <c r="W1563" s="22"/>
      <c r="X1563" s="22"/>
      <c r="Y1563" s="22"/>
      <c r="Z1563" s="22"/>
      <c r="AA1563" s="22"/>
      <c r="AB1563" s="22"/>
      <c r="AC1563" s="22"/>
      <c r="AD1563" s="22"/>
      <c r="AE1563" s="22"/>
      <c r="AF1563" s="22"/>
      <c r="AG1563" s="22"/>
      <c r="AH1563" s="22"/>
      <c r="AI1563" s="22"/>
      <c r="AJ1563" s="22"/>
      <c r="AK1563" s="22"/>
      <c r="AL1563" s="22"/>
      <c r="AM1563" s="22"/>
      <c r="AN1563" s="22"/>
      <c r="AO1563" s="22"/>
      <c r="AP1563" s="22"/>
      <c r="AQ1563" s="22"/>
      <c r="AR1563" s="22"/>
      <c r="AS1563" s="22"/>
      <c r="AT1563" s="22"/>
      <c r="AU1563" s="22"/>
      <c r="AV1563" s="22"/>
      <c r="AW1563" s="22"/>
      <c r="AX1563" s="22"/>
    </row>
    <row r="1564" spans="1:50" x14ac:dyDescent="0.35">
      <c r="A1564" s="23"/>
      <c r="B1564" s="23"/>
      <c r="C1564" s="23"/>
      <c r="D1564" s="23"/>
      <c r="E1564" s="23"/>
      <c r="F1564" s="23"/>
      <c r="G1564" s="23"/>
      <c r="H1564" s="23"/>
      <c r="I1564" s="23"/>
      <c r="J1564" s="23"/>
      <c r="K1564" s="23"/>
      <c r="L1564" s="23"/>
      <c r="M1564" s="23"/>
      <c r="N1564" s="23"/>
      <c r="O1564" s="23"/>
      <c r="P1564" s="23"/>
      <c r="Q1564" s="23"/>
      <c r="R1564" s="23"/>
      <c r="S1564" s="23"/>
      <c r="T1564" s="23"/>
      <c r="U1564" s="22"/>
      <c r="V1564" s="22"/>
      <c r="W1564" s="22"/>
      <c r="X1564" s="22"/>
      <c r="Y1564" s="22"/>
      <c r="Z1564" s="22"/>
      <c r="AA1564" s="22"/>
      <c r="AB1564" s="22"/>
      <c r="AC1564" s="22"/>
      <c r="AD1564" s="22"/>
      <c r="AE1564" s="22"/>
      <c r="AF1564" s="22"/>
      <c r="AG1564" s="22"/>
      <c r="AH1564" s="22"/>
      <c r="AI1564" s="22"/>
      <c r="AJ1564" s="22"/>
      <c r="AK1564" s="22"/>
      <c r="AL1564" s="22"/>
      <c r="AM1564" s="22"/>
      <c r="AN1564" s="22"/>
      <c r="AO1564" s="22"/>
      <c r="AP1564" s="22"/>
      <c r="AQ1564" s="22"/>
      <c r="AR1564" s="22"/>
      <c r="AS1564" s="22"/>
      <c r="AT1564" s="22"/>
      <c r="AU1564" s="22"/>
      <c r="AV1564" s="22"/>
      <c r="AW1564" s="22"/>
      <c r="AX1564" s="22"/>
    </row>
    <row r="1565" spans="1:50" x14ac:dyDescent="0.35">
      <c r="A1565" s="23"/>
      <c r="B1565" s="23"/>
      <c r="C1565" s="23"/>
      <c r="D1565" s="23"/>
      <c r="E1565" s="23"/>
      <c r="F1565" s="23"/>
      <c r="G1565" s="23"/>
      <c r="H1565" s="23"/>
      <c r="I1565" s="23"/>
      <c r="J1565" s="23"/>
      <c r="K1565" s="23"/>
      <c r="L1565" s="23"/>
      <c r="M1565" s="23"/>
      <c r="N1565" s="23"/>
      <c r="O1565" s="23"/>
      <c r="P1565" s="23"/>
      <c r="Q1565" s="23"/>
      <c r="R1565" s="23"/>
      <c r="S1565" s="23"/>
      <c r="T1565" s="23"/>
      <c r="U1565" s="22"/>
      <c r="V1565" s="22"/>
      <c r="W1565" s="22"/>
      <c r="X1565" s="22"/>
      <c r="Y1565" s="22"/>
      <c r="Z1565" s="22"/>
      <c r="AA1565" s="22"/>
      <c r="AB1565" s="22"/>
      <c r="AC1565" s="22"/>
      <c r="AD1565" s="22"/>
      <c r="AE1565" s="22"/>
      <c r="AF1565" s="22"/>
      <c r="AG1565" s="22"/>
      <c r="AH1565" s="22"/>
      <c r="AI1565" s="22"/>
      <c r="AJ1565" s="22"/>
      <c r="AK1565" s="22"/>
      <c r="AL1565" s="22"/>
      <c r="AM1565" s="22"/>
      <c r="AN1565" s="22"/>
      <c r="AO1565" s="22"/>
      <c r="AP1565" s="22"/>
      <c r="AQ1565" s="22"/>
      <c r="AR1565" s="22"/>
      <c r="AS1565" s="22"/>
      <c r="AT1565" s="22"/>
      <c r="AU1565" s="22"/>
      <c r="AV1565" s="22"/>
      <c r="AW1565" s="22"/>
      <c r="AX1565" s="22"/>
    </row>
    <row r="1566" spans="1:50" x14ac:dyDescent="0.35">
      <c r="A1566" s="23"/>
      <c r="B1566" s="23"/>
      <c r="C1566" s="23"/>
      <c r="D1566" s="23"/>
      <c r="E1566" s="23"/>
      <c r="F1566" s="23"/>
      <c r="G1566" s="23"/>
      <c r="H1566" s="23"/>
      <c r="I1566" s="23"/>
      <c r="J1566" s="23"/>
      <c r="K1566" s="23"/>
      <c r="L1566" s="23"/>
      <c r="M1566" s="23"/>
      <c r="N1566" s="23"/>
      <c r="O1566" s="23"/>
      <c r="P1566" s="23"/>
      <c r="Q1566" s="23"/>
      <c r="R1566" s="23"/>
      <c r="S1566" s="23"/>
      <c r="T1566" s="23"/>
      <c r="U1566" s="22"/>
      <c r="V1566" s="22"/>
      <c r="W1566" s="22"/>
      <c r="X1566" s="22"/>
      <c r="Y1566" s="22"/>
      <c r="Z1566" s="22"/>
      <c r="AA1566" s="22"/>
      <c r="AB1566" s="22"/>
      <c r="AC1566" s="22"/>
      <c r="AD1566" s="22"/>
      <c r="AE1566" s="22"/>
      <c r="AF1566" s="22"/>
      <c r="AG1566" s="22"/>
      <c r="AH1566" s="22"/>
      <c r="AI1566" s="22"/>
      <c r="AJ1566" s="22"/>
      <c r="AK1566" s="22"/>
      <c r="AL1566" s="22"/>
      <c r="AM1566" s="22"/>
      <c r="AN1566" s="22"/>
      <c r="AO1566" s="22"/>
      <c r="AP1566" s="22"/>
      <c r="AQ1566" s="22"/>
      <c r="AR1566" s="22"/>
      <c r="AS1566" s="22"/>
      <c r="AT1566" s="22"/>
      <c r="AU1566" s="22"/>
      <c r="AV1566" s="22"/>
      <c r="AW1566" s="22"/>
      <c r="AX1566" s="22"/>
    </row>
    <row r="1567" spans="1:50" x14ac:dyDescent="0.35">
      <c r="A1567" s="23"/>
      <c r="B1567" s="23"/>
      <c r="C1567" s="23"/>
      <c r="D1567" s="23"/>
      <c r="E1567" s="23"/>
      <c r="F1567" s="23"/>
      <c r="G1567" s="23"/>
      <c r="H1567" s="23"/>
      <c r="I1567" s="23"/>
      <c r="J1567" s="23"/>
      <c r="K1567" s="23"/>
      <c r="L1567" s="23"/>
      <c r="M1567" s="23"/>
      <c r="N1567" s="23"/>
      <c r="O1567" s="23"/>
      <c r="P1567" s="23"/>
      <c r="Q1567" s="23"/>
      <c r="R1567" s="23"/>
      <c r="S1567" s="23"/>
      <c r="T1567" s="23"/>
      <c r="U1567" s="22"/>
      <c r="V1567" s="22"/>
      <c r="W1567" s="22"/>
      <c r="X1567" s="22"/>
      <c r="Y1567" s="22"/>
      <c r="Z1567" s="22"/>
      <c r="AA1567" s="22"/>
      <c r="AB1567" s="22"/>
      <c r="AC1567" s="22"/>
      <c r="AD1567" s="22"/>
      <c r="AE1567" s="22"/>
      <c r="AF1567" s="22"/>
      <c r="AG1567" s="22"/>
      <c r="AH1567" s="22"/>
      <c r="AI1567" s="22"/>
      <c r="AJ1567" s="22"/>
      <c r="AK1567" s="22"/>
      <c r="AL1567" s="22"/>
      <c r="AM1567" s="22"/>
      <c r="AN1567" s="22"/>
      <c r="AO1567" s="22"/>
      <c r="AP1567" s="22"/>
      <c r="AQ1567" s="22"/>
      <c r="AR1567" s="22"/>
      <c r="AS1567" s="22"/>
      <c r="AT1567" s="22"/>
      <c r="AU1567" s="22"/>
      <c r="AV1567" s="22"/>
      <c r="AW1567" s="22"/>
      <c r="AX1567" s="22"/>
    </row>
    <row r="1568" spans="1:50" x14ac:dyDescent="0.35">
      <c r="A1568" s="23"/>
      <c r="B1568" s="23"/>
      <c r="C1568" s="23"/>
      <c r="D1568" s="23"/>
      <c r="E1568" s="23"/>
      <c r="F1568" s="23"/>
      <c r="G1568" s="23"/>
      <c r="H1568" s="23"/>
      <c r="I1568" s="23"/>
      <c r="J1568" s="23"/>
      <c r="K1568" s="23"/>
      <c r="L1568" s="23"/>
      <c r="M1568" s="23"/>
      <c r="N1568" s="23"/>
      <c r="O1568" s="23"/>
      <c r="P1568" s="23"/>
      <c r="Q1568" s="23"/>
      <c r="R1568" s="23"/>
      <c r="S1568" s="23"/>
      <c r="T1568" s="23"/>
      <c r="U1568" s="22"/>
      <c r="V1568" s="22"/>
      <c r="W1568" s="22"/>
      <c r="X1568" s="22"/>
      <c r="Y1568" s="22"/>
      <c r="Z1568" s="22"/>
      <c r="AA1568" s="22"/>
      <c r="AB1568" s="22"/>
      <c r="AC1568" s="22"/>
      <c r="AD1568" s="22"/>
      <c r="AE1568" s="22"/>
      <c r="AF1568" s="22"/>
      <c r="AG1568" s="22"/>
      <c r="AH1568" s="22"/>
      <c r="AI1568" s="22"/>
      <c r="AJ1568" s="22"/>
      <c r="AK1568" s="22"/>
      <c r="AL1568" s="22"/>
      <c r="AM1568" s="22"/>
      <c r="AN1568" s="22"/>
      <c r="AO1568" s="22"/>
      <c r="AP1568" s="22"/>
      <c r="AQ1568" s="22"/>
      <c r="AR1568" s="22"/>
      <c r="AS1568" s="22"/>
      <c r="AT1568" s="22"/>
      <c r="AU1568" s="22"/>
      <c r="AV1568" s="22"/>
      <c r="AW1568" s="22"/>
      <c r="AX1568" s="22"/>
    </row>
    <row r="1569" spans="1:50" x14ac:dyDescent="0.35">
      <c r="A1569" s="23"/>
      <c r="B1569" s="23"/>
      <c r="C1569" s="23"/>
      <c r="D1569" s="23"/>
      <c r="E1569" s="23"/>
      <c r="F1569" s="23"/>
      <c r="G1569" s="23"/>
      <c r="H1569" s="23"/>
      <c r="I1569" s="23"/>
      <c r="J1569" s="23"/>
      <c r="K1569" s="23"/>
      <c r="L1569" s="23"/>
      <c r="M1569" s="23"/>
      <c r="N1569" s="23"/>
      <c r="O1569" s="23"/>
      <c r="P1569" s="23"/>
      <c r="Q1569" s="23"/>
      <c r="R1569" s="23"/>
      <c r="S1569" s="23"/>
      <c r="T1569" s="23"/>
      <c r="U1569" s="22"/>
      <c r="V1569" s="22"/>
      <c r="W1569" s="22"/>
      <c r="X1569" s="22"/>
      <c r="Y1569" s="22"/>
      <c r="Z1569" s="22"/>
      <c r="AA1569" s="22"/>
      <c r="AB1569" s="22"/>
      <c r="AC1569" s="22"/>
      <c r="AD1569" s="22"/>
      <c r="AE1569" s="22"/>
      <c r="AF1569" s="22"/>
      <c r="AG1569" s="22"/>
      <c r="AH1569" s="22"/>
      <c r="AI1569" s="22"/>
      <c r="AJ1569" s="22"/>
      <c r="AK1569" s="22"/>
      <c r="AL1569" s="22"/>
      <c r="AM1569" s="22"/>
      <c r="AN1569" s="22"/>
      <c r="AO1569" s="22"/>
      <c r="AP1569" s="22"/>
      <c r="AQ1569" s="22"/>
      <c r="AR1569" s="22"/>
      <c r="AS1569" s="22"/>
      <c r="AT1569" s="22"/>
      <c r="AU1569" s="22"/>
      <c r="AV1569" s="22"/>
      <c r="AW1569" s="22"/>
      <c r="AX1569" s="22"/>
    </row>
    <row r="1570" spans="1:50" x14ac:dyDescent="0.35">
      <c r="A1570" s="23"/>
      <c r="B1570" s="23"/>
      <c r="C1570" s="23"/>
      <c r="D1570" s="23"/>
      <c r="E1570" s="23"/>
      <c r="F1570" s="23"/>
      <c r="G1570" s="23"/>
      <c r="H1570" s="23"/>
      <c r="I1570" s="23"/>
      <c r="J1570" s="23"/>
      <c r="K1570" s="23"/>
      <c r="L1570" s="23"/>
      <c r="M1570" s="23"/>
      <c r="N1570" s="23"/>
      <c r="O1570" s="23"/>
      <c r="P1570" s="23"/>
      <c r="Q1570" s="23"/>
      <c r="R1570" s="23"/>
      <c r="S1570" s="23"/>
      <c r="T1570" s="23"/>
      <c r="U1570" s="22"/>
      <c r="V1570" s="22"/>
      <c r="W1570" s="22"/>
      <c r="X1570" s="22"/>
      <c r="Y1570" s="22"/>
      <c r="Z1570" s="22"/>
      <c r="AA1570" s="22"/>
      <c r="AB1570" s="22"/>
      <c r="AC1570" s="22"/>
      <c r="AD1570" s="22"/>
      <c r="AE1570" s="22"/>
      <c r="AF1570" s="22"/>
      <c r="AG1570" s="22"/>
      <c r="AH1570" s="22"/>
      <c r="AI1570" s="22"/>
      <c r="AJ1570" s="22"/>
      <c r="AK1570" s="22"/>
      <c r="AL1570" s="22"/>
      <c r="AM1570" s="22"/>
      <c r="AN1570" s="22"/>
      <c r="AO1570" s="22"/>
      <c r="AP1570" s="22"/>
      <c r="AQ1570" s="22"/>
      <c r="AR1570" s="22"/>
      <c r="AS1570" s="22"/>
      <c r="AT1570" s="22"/>
      <c r="AU1570" s="22"/>
      <c r="AV1570" s="22"/>
      <c r="AW1570" s="22"/>
      <c r="AX1570" s="22"/>
    </row>
    <row r="1571" spans="1:50" x14ac:dyDescent="0.35">
      <c r="A1571" s="23"/>
      <c r="B1571" s="23"/>
      <c r="C1571" s="23"/>
      <c r="D1571" s="23"/>
      <c r="E1571" s="23"/>
      <c r="F1571" s="23"/>
      <c r="G1571" s="23"/>
      <c r="H1571" s="23"/>
      <c r="I1571" s="23"/>
      <c r="J1571" s="23"/>
      <c r="K1571" s="23"/>
      <c r="L1571" s="23"/>
      <c r="M1571" s="23"/>
      <c r="N1571" s="23"/>
      <c r="O1571" s="23"/>
      <c r="P1571" s="23"/>
      <c r="Q1571" s="23"/>
      <c r="R1571" s="23"/>
      <c r="S1571" s="23"/>
      <c r="T1571" s="23"/>
      <c r="U1571" s="22"/>
      <c r="V1571" s="22"/>
      <c r="W1571" s="22"/>
      <c r="X1571" s="22"/>
      <c r="Y1571" s="22"/>
      <c r="Z1571" s="22"/>
      <c r="AA1571" s="22"/>
      <c r="AB1571" s="22"/>
      <c r="AC1571" s="22"/>
      <c r="AD1571" s="22"/>
      <c r="AE1571" s="22"/>
      <c r="AF1571" s="22"/>
      <c r="AG1571" s="22"/>
      <c r="AH1571" s="22"/>
      <c r="AI1571" s="22"/>
      <c r="AJ1571" s="22"/>
      <c r="AK1571" s="22"/>
      <c r="AL1571" s="22"/>
      <c r="AM1571" s="22"/>
      <c r="AN1571" s="22"/>
      <c r="AO1571" s="22"/>
      <c r="AP1571" s="22"/>
      <c r="AQ1571" s="22"/>
      <c r="AR1571" s="22"/>
      <c r="AS1571" s="22"/>
      <c r="AT1571" s="22"/>
      <c r="AU1571" s="22"/>
      <c r="AV1571" s="22"/>
      <c r="AW1571" s="22"/>
      <c r="AX1571" s="22"/>
    </row>
    <row r="1572" spans="1:50" x14ac:dyDescent="0.35">
      <c r="A1572" s="23"/>
      <c r="B1572" s="23"/>
      <c r="C1572" s="23"/>
      <c r="D1572" s="23"/>
      <c r="E1572" s="23"/>
      <c r="F1572" s="23"/>
      <c r="G1572" s="23"/>
      <c r="H1572" s="23"/>
      <c r="I1572" s="23"/>
      <c r="J1572" s="23"/>
      <c r="K1572" s="23"/>
      <c r="L1572" s="23"/>
      <c r="M1572" s="23"/>
      <c r="N1572" s="23"/>
      <c r="O1572" s="23"/>
      <c r="P1572" s="23"/>
      <c r="Q1572" s="23"/>
      <c r="R1572" s="23"/>
      <c r="S1572" s="23"/>
      <c r="T1572" s="23"/>
      <c r="U1572" s="22"/>
      <c r="V1572" s="22"/>
      <c r="W1572" s="22"/>
      <c r="X1572" s="22"/>
      <c r="Y1572" s="22"/>
      <c r="Z1572" s="22"/>
      <c r="AA1572" s="22"/>
      <c r="AB1572" s="22"/>
      <c r="AC1572" s="22"/>
      <c r="AD1572" s="22"/>
      <c r="AE1572" s="22"/>
      <c r="AF1572" s="22"/>
      <c r="AG1572" s="22"/>
      <c r="AH1572" s="22"/>
      <c r="AI1572" s="22"/>
      <c r="AJ1572" s="22"/>
      <c r="AK1572" s="22"/>
      <c r="AL1572" s="22"/>
      <c r="AM1572" s="22"/>
      <c r="AN1572" s="22"/>
      <c r="AO1572" s="22"/>
      <c r="AP1572" s="22"/>
      <c r="AQ1572" s="22"/>
      <c r="AR1572" s="22"/>
      <c r="AS1572" s="22"/>
      <c r="AT1572" s="22"/>
      <c r="AU1572" s="22"/>
      <c r="AV1572" s="22"/>
      <c r="AW1572" s="22"/>
      <c r="AX1572" s="22"/>
    </row>
    <row r="1573" spans="1:50" x14ac:dyDescent="0.35">
      <c r="A1573" s="23"/>
      <c r="B1573" s="23"/>
      <c r="C1573" s="23"/>
      <c r="D1573" s="23"/>
      <c r="E1573" s="23"/>
      <c r="F1573" s="23"/>
      <c r="G1573" s="23"/>
      <c r="H1573" s="23"/>
      <c r="I1573" s="23"/>
      <c r="J1573" s="23"/>
      <c r="K1573" s="23"/>
      <c r="L1573" s="23"/>
      <c r="M1573" s="23"/>
      <c r="N1573" s="23"/>
      <c r="O1573" s="23"/>
      <c r="P1573" s="23"/>
      <c r="Q1573" s="23"/>
      <c r="R1573" s="23"/>
      <c r="S1573" s="23"/>
      <c r="T1573" s="23"/>
      <c r="U1573" s="22"/>
      <c r="V1573" s="22"/>
      <c r="W1573" s="22"/>
      <c r="X1573" s="22"/>
      <c r="Y1573" s="22"/>
      <c r="Z1573" s="22"/>
      <c r="AA1573" s="22"/>
      <c r="AB1573" s="22"/>
      <c r="AC1573" s="22"/>
      <c r="AD1573" s="22"/>
      <c r="AE1573" s="22"/>
      <c r="AF1573" s="22"/>
      <c r="AG1573" s="22"/>
      <c r="AH1573" s="22"/>
      <c r="AI1573" s="22"/>
      <c r="AJ1573" s="22"/>
      <c r="AK1573" s="22"/>
      <c r="AL1573" s="22"/>
      <c r="AM1573" s="22"/>
      <c r="AN1573" s="22"/>
      <c r="AO1573" s="22"/>
      <c r="AP1573" s="22"/>
      <c r="AQ1573" s="22"/>
      <c r="AR1573" s="22"/>
      <c r="AS1573" s="22"/>
      <c r="AT1573" s="22"/>
      <c r="AU1573" s="22"/>
      <c r="AV1573" s="22"/>
      <c r="AW1573" s="22"/>
      <c r="AX1573" s="22"/>
    </row>
    <row r="1574" spans="1:50" x14ac:dyDescent="0.35">
      <c r="A1574" s="23"/>
      <c r="B1574" s="23"/>
      <c r="C1574" s="23"/>
      <c r="D1574" s="23"/>
      <c r="E1574" s="23"/>
      <c r="F1574" s="23"/>
      <c r="G1574" s="23"/>
      <c r="H1574" s="23"/>
      <c r="I1574" s="23"/>
      <c r="J1574" s="23"/>
      <c r="K1574" s="23"/>
      <c r="L1574" s="23"/>
      <c r="M1574" s="23"/>
      <c r="N1574" s="23"/>
      <c r="O1574" s="23"/>
      <c r="P1574" s="23"/>
      <c r="Q1574" s="23"/>
      <c r="R1574" s="23"/>
      <c r="S1574" s="23"/>
      <c r="T1574" s="23"/>
      <c r="U1574" s="22"/>
      <c r="V1574" s="22"/>
      <c r="W1574" s="22"/>
      <c r="X1574" s="22"/>
      <c r="Y1574" s="22"/>
      <c r="Z1574" s="22"/>
      <c r="AA1574" s="22"/>
      <c r="AB1574" s="22"/>
      <c r="AC1574" s="22"/>
      <c r="AD1574" s="22"/>
      <c r="AE1574" s="22"/>
      <c r="AF1574" s="22"/>
      <c r="AG1574" s="22"/>
      <c r="AH1574" s="22"/>
      <c r="AI1574" s="22"/>
      <c r="AJ1574" s="22"/>
      <c r="AK1574" s="22"/>
      <c r="AL1574" s="22"/>
      <c r="AM1574" s="22"/>
      <c r="AN1574" s="22"/>
      <c r="AO1574" s="22"/>
      <c r="AP1574" s="22"/>
      <c r="AQ1574" s="22"/>
      <c r="AR1574" s="22"/>
      <c r="AS1574" s="22"/>
      <c r="AT1574" s="22"/>
      <c r="AU1574" s="22"/>
      <c r="AV1574" s="22"/>
      <c r="AW1574" s="22"/>
      <c r="AX1574" s="22"/>
    </row>
    <row r="1575" spans="1:50" x14ac:dyDescent="0.35">
      <c r="A1575" s="23"/>
      <c r="B1575" s="23"/>
      <c r="C1575" s="23"/>
      <c r="D1575" s="23"/>
      <c r="E1575" s="23"/>
      <c r="F1575" s="23"/>
      <c r="G1575" s="23"/>
      <c r="H1575" s="23"/>
      <c r="I1575" s="23"/>
      <c r="J1575" s="23"/>
      <c r="K1575" s="23"/>
      <c r="L1575" s="23"/>
      <c r="M1575" s="23"/>
      <c r="N1575" s="23"/>
      <c r="O1575" s="23"/>
      <c r="P1575" s="23"/>
      <c r="Q1575" s="23"/>
      <c r="R1575" s="23"/>
      <c r="S1575" s="23"/>
      <c r="T1575" s="23"/>
      <c r="U1575" s="22"/>
      <c r="V1575" s="22"/>
      <c r="W1575" s="22"/>
      <c r="X1575" s="22"/>
      <c r="Y1575" s="22"/>
      <c r="Z1575" s="22"/>
      <c r="AA1575" s="22"/>
      <c r="AB1575" s="22"/>
      <c r="AC1575" s="22"/>
      <c r="AD1575" s="22"/>
      <c r="AE1575" s="22"/>
      <c r="AF1575" s="22"/>
      <c r="AG1575" s="22"/>
      <c r="AH1575" s="22"/>
      <c r="AI1575" s="22"/>
      <c r="AJ1575" s="22"/>
      <c r="AK1575" s="22"/>
      <c r="AL1575" s="22"/>
      <c r="AM1575" s="22"/>
      <c r="AN1575" s="22"/>
      <c r="AO1575" s="22"/>
      <c r="AP1575" s="22"/>
      <c r="AQ1575" s="22"/>
      <c r="AR1575" s="22"/>
      <c r="AS1575" s="22"/>
      <c r="AT1575" s="22"/>
      <c r="AU1575" s="22"/>
      <c r="AV1575" s="22"/>
      <c r="AW1575" s="22"/>
      <c r="AX1575" s="22"/>
    </row>
    <row r="1576" spans="1:50" x14ac:dyDescent="0.35">
      <c r="A1576" s="23"/>
      <c r="B1576" s="23"/>
      <c r="C1576" s="23"/>
      <c r="D1576" s="23"/>
      <c r="E1576" s="23"/>
      <c r="F1576" s="23"/>
      <c r="G1576" s="23"/>
      <c r="H1576" s="23"/>
      <c r="I1576" s="23"/>
      <c r="J1576" s="23"/>
      <c r="K1576" s="23"/>
      <c r="L1576" s="23"/>
      <c r="M1576" s="23"/>
      <c r="N1576" s="23"/>
      <c r="O1576" s="23"/>
      <c r="P1576" s="23"/>
      <c r="Q1576" s="23"/>
      <c r="R1576" s="23"/>
      <c r="S1576" s="23"/>
      <c r="T1576" s="23"/>
      <c r="U1576" s="22"/>
      <c r="V1576" s="22"/>
      <c r="W1576" s="22"/>
      <c r="X1576" s="22"/>
      <c r="Y1576" s="22"/>
      <c r="Z1576" s="22"/>
      <c r="AA1576" s="22"/>
      <c r="AB1576" s="22"/>
      <c r="AC1576" s="22"/>
      <c r="AD1576" s="22"/>
      <c r="AE1576" s="22"/>
      <c r="AF1576" s="22"/>
      <c r="AG1576" s="22"/>
      <c r="AH1576" s="22"/>
      <c r="AI1576" s="22"/>
      <c r="AJ1576" s="22"/>
      <c r="AK1576" s="22"/>
      <c r="AL1576" s="22"/>
      <c r="AM1576" s="22"/>
      <c r="AN1576" s="22"/>
      <c r="AO1576" s="22"/>
      <c r="AP1576" s="22"/>
      <c r="AQ1576" s="22"/>
      <c r="AR1576" s="22"/>
      <c r="AS1576" s="22"/>
      <c r="AT1576" s="22"/>
      <c r="AU1576" s="22"/>
      <c r="AV1576" s="22"/>
      <c r="AW1576" s="22"/>
      <c r="AX1576" s="22"/>
    </row>
    <row r="1577" spans="1:50" x14ac:dyDescent="0.35">
      <c r="A1577" s="23"/>
      <c r="B1577" s="23"/>
      <c r="C1577" s="23"/>
      <c r="D1577" s="23"/>
      <c r="E1577" s="23"/>
      <c r="F1577" s="23"/>
      <c r="G1577" s="23"/>
      <c r="H1577" s="23"/>
      <c r="I1577" s="23"/>
      <c r="J1577" s="23"/>
      <c r="K1577" s="23"/>
      <c r="L1577" s="23"/>
      <c r="M1577" s="23"/>
      <c r="N1577" s="23"/>
      <c r="O1577" s="23"/>
      <c r="P1577" s="23"/>
      <c r="Q1577" s="23"/>
      <c r="R1577" s="23"/>
      <c r="S1577" s="23"/>
      <c r="T1577" s="23"/>
      <c r="U1577" s="22"/>
      <c r="V1577" s="22"/>
      <c r="W1577" s="22"/>
      <c r="X1577" s="22"/>
      <c r="Y1577" s="22"/>
      <c r="Z1577" s="22"/>
      <c r="AA1577" s="22"/>
      <c r="AB1577" s="22"/>
      <c r="AC1577" s="22"/>
      <c r="AD1577" s="22"/>
      <c r="AE1577" s="22"/>
      <c r="AF1577" s="22"/>
      <c r="AG1577" s="22"/>
      <c r="AH1577" s="22"/>
      <c r="AI1577" s="22"/>
      <c r="AJ1577" s="22"/>
      <c r="AK1577" s="22"/>
      <c r="AL1577" s="22"/>
      <c r="AM1577" s="22"/>
      <c r="AN1577" s="22"/>
      <c r="AO1577" s="22"/>
      <c r="AP1577" s="22"/>
      <c r="AQ1577" s="22"/>
      <c r="AR1577" s="22"/>
      <c r="AS1577" s="22"/>
      <c r="AT1577" s="22"/>
      <c r="AU1577" s="22"/>
      <c r="AV1577" s="22"/>
      <c r="AW1577" s="22"/>
      <c r="AX1577" s="22"/>
    </row>
    <row r="1578" spans="1:50" x14ac:dyDescent="0.35">
      <c r="A1578" s="23"/>
      <c r="B1578" s="23"/>
      <c r="C1578" s="23"/>
      <c r="D1578" s="23"/>
      <c r="E1578" s="23"/>
      <c r="F1578" s="23"/>
      <c r="G1578" s="23"/>
      <c r="H1578" s="23"/>
      <c r="I1578" s="23"/>
      <c r="J1578" s="23"/>
      <c r="K1578" s="23"/>
      <c r="L1578" s="23"/>
      <c r="M1578" s="23"/>
      <c r="N1578" s="23"/>
      <c r="O1578" s="23"/>
      <c r="P1578" s="23"/>
      <c r="Q1578" s="23"/>
      <c r="R1578" s="23"/>
      <c r="S1578" s="23"/>
      <c r="T1578" s="23"/>
      <c r="U1578" s="22"/>
      <c r="V1578" s="22"/>
      <c r="W1578" s="22"/>
      <c r="X1578" s="22"/>
      <c r="Y1578" s="22"/>
      <c r="Z1578" s="22"/>
      <c r="AA1578" s="22"/>
      <c r="AB1578" s="22"/>
      <c r="AC1578" s="22"/>
      <c r="AD1578" s="22"/>
      <c r="AE1578" s="22"/>
      <c r="AF1578" s="22"/>
      <c r="AG1578" s="22"/>
      <c r="AH1578" s="22"/>
      <c r="AI1578" s="22"/>
      <c r="AJ1578" s="22"/>
      <c r="AK1578" s="22"/>
      <c r="AL1578" s="22"/>
      <c r="AM1578" s="22"/>
      <c r="AN1578" s="22"/>
      <c r="AO1578" s="22"/>
      <c r="AP1578" s="22"/>
      <c r="AQ1578" s="22"/>
      <c r="AR1578" s="22"/>
      <c r="AS1578" s="22"/>
      <c r="AT1578" s="22"/>
      <c r="AU1578" s="22"/>
      <c r="AV1578" s="22"/>
      <c r="AW1578" s="22"/>
      <c r="AX1578" s="22"/>
    </row>
    <row r="1579" spans="1:50" x14ac:dyDescent="0.35">
      <c r="A1579" s="23"/>
      <c r="B1579" s="23"/>
      <c r="C1579" s="23"/>
      <c r="D1579" s="23"/>
      <c r="E1579" s="23"/>
      <c r="F1579" s="23"/>
      <c r="G1579" s="23"/>
      <c r="H1579" s="23"/>
      <c r="I1579" s="23"/>
      <c r="J1579" s="23"/>
      <c r="K1579" s="23"/>
      <c r="L1579" s="23"/>
      <c r="M1579" s="23"/>
      <c r="N1579" s="23"/>
      <c r="O1579" s="23"/>
      <c r="P1579" s="23"/>
      <c r="Q1579" s="23"/>
      <c r="R1579" s="23"/>
      <c r="S1579" s="23"/>
      <c r="T1579" s="23"/>
      <c r="U1579" s="22"/>
      <c r="V1579" s="22"/>
      <c r="W1579" s="22"/>
      <c r="X1579" s="22"/>
      <c r="Y1579" s="22"/>
      <c r="Z1579" s="22"/>
      <c r="AA1579" s="22"/>
      <c r="AB1579" s="22"/>
      <c r="AC1579" s="22"/>
      <c r="AD1579" s="22"/>
      <c r="AE1579" s="22"/>
      <c r="AF1579" s="22"/>
      <c r="AG1579" s="22"/>
      <c r="AH1579" s="22"/>
      <c r="AI1579" s="22"/>
      <c r="AJ1579" s="22"/>
      <c r="AK1579" s="22"/>
      <c r="AL1579" s="22"/>
      <c r="AM1579" s="22"/>
      <c r="AN1579" s="22"/>
      <c r="AO1579" s="22"/>
      <c r="AP1579" s="22"/>
      <c r="AQ1579" s="22"/>
      <c r="AR1579" s="22"/>
      <c r="AS1579" s="22"/>
      <c r="AT1579" s="22"/>
      <c r="AU1579" s="22"/>
      <c r="AV1579" s="22"/>
      <c r="AW1579" s="22"/>
      <c r="AX1579" s="22"/>
    </row>
    <row r="1580" spans="1:50" x14ac:dyDescent="0.35">
      <c r="A1580" s="23"/>
      <c r="B1580" s="23"/>
      <c r="C1580" s="23"/>
      <c r="D1580" s="23"/>
      <c r="E1580" s="23"/>
      <c r="F1580" s="23"/>
      <c r="G1580" s="23"/>
      <c r="H1580" s="23"/>
      <c r="I1580" s="23"/>
      <c r="J1580" s="23"/>
      <c r="K1580" s="23"/>
      <c r="L1580" s="23"/>
      <c r="M1580" s="23"/>
      <c r="N1580" s="23"/>
      <c r="O1580" s="23"/>
      <c r="P1580" s="23"/>
      <c r="Q1580" s="23"/>
      <c r="R1580" s="23"/>
      <c r="S1580" s="23"/>
      <c r="T1580" s="23"/>
      <c r="U1580" s="22"/>
      <c r="V1580" s="22"/>
      <c r="W1580" s="22"/>
      <c r="X1580" s="22"/>
      <c r="Y1580" s="22"/>
      <c r="Z1580" s="22"/>
      <c r="AA1580" s="22"/>
      <c r="AB1580" s="22"/>
      <c r="AC1580" s="22"/>
      <c r="AD1580" s="22"/>
      <c r="AE1580" s="22"/>
      <c r="AF1580" s="22"/>
      <c r="AG1580" s="22"/>
      <c r="AH1580" s="22"/>
      <c r="AI1580" s="22"/>
      <c r="AJ1580" s="22"/>
      <c r="AK1580" s="22"/>
      <c r="AL1580" s="22"/>
      <c r="AM1580" s="22"/>
      <c r="AN1580" s="22"/>
      <c r="AO1580" s="22"/>
      <c r="AP1580" s="22"/>
      <c r="AQ1580" s="22"/>
      <c r="AR1580" s="22"/>
      <c r="AS1580" s="22"/>
      <c r="AT1580" s="22"/>
      <c r="AU1580" s="22"/>
      <c r="AV1580" s="22"/>
      <c r="AW1580" s="22"/>
      <c r="AX1580" s="22"/>
    </row>
    <row r="1581" spans="1:50" x14ac:dyDescent="0.35">
      <c r="A1581" s="23"/>
      <c r="B1581" s="23"/>
      <c r="C1581" s="23"/>
      <c r="D1581" s="23"/>
      <c r="E1581" s="23"/>
      <c r="F1581" s="23"/>
      <c r="G1581" s="23"/>
      <c r="H1581" s="23"/>
      <c r="I1581" s="23"/>
      <c r="J1581" s="23"/>
      <c r="K1581" s="23"/>
      <c r="L1581" s="23"/>
      <c r="M1581" s="23"/>
      <c r="N1581" s="23"/>
      <c r="O1581" s="23"/>
      <c r="P1581" s="23"/>
      <c r="Q1581" s="23"/>
      <c r="R1581" s="23"/>
      <c r="S1581" s="23"/>
      <c r="T1581" s="23"/>
      <c r="U1581" s="22"/>
      <c r="V1581" s="22"/>
      <c r="W1581" s="22"/>
      <c r="X1581" s="22"/>
      <c r="Y1581" s="22"/>
      <c r="Z1581" s="22"/>
      <c r="AA1581" s="22"/>
      <c r="AB1581" s="22"/>
      <c r="AC1581" s="22"/>
      <c r="AD1581" s="22"/>
      <c r="AE1581" s="22"/>
      <c r="AF1581" s="22"/>
      <c r="AG1581" s="22"/>
      <c r="AH1581" s="22"/>
      <c r="AI1581" s="22"/>
      <c r="AJ1581" s="22"/>
      <c r="AK1581" s="22"/>
      <c r="AL1581" s="22"/>
      <c r="AM1581" s="22"/>
      <c r="AN1581" s="22"/>
      <c r="AO1581" s="22"/>
      <c r="AP1581" s="22"/>
      <c r="AQ1581" s="22"/>
      <c r="AR1581" s="22"/>
      <c r="AS1581" s="22"/>
      <c r="AT1581" s="22"/>
      <c r="AU1581" s="22"/>
      <c r="AV1581" s="22"/>
      <c r="AW1581" s="22"/>
      <c r="AX1581" s="22"/>
    </row>
    <row r="1582" spans="1:50" x14ac:dyDescent="0.35">
      <c r="A1582" s="23"/>
      <c r="B1582" s="23"/>
      <c r="C1582" s="23"/>
      <c r="D1582" s="23"/>
      <c r="E1582" s="23"/>
      <c r="F1582" s="23"/>
      <c r="G1582" s="23"/>
      <c r="H1582" s="23"/>
      <c r="I1582" s="23"/>
      <c r="J1582" s="23"/>
      <c r="K1582" s="23"/>
      <c r="L1582" s="23"/>
      <c r="M1582" s="23"/>
      <c r="N1582" s="23"/>
      <c r="O1582" s="23"/>
      <c r="P1582" s="23"/>
      <c r="Q1582" s="23"/>
      <c r="R1582" s="23"/>
      <c r="S1582" s="23"/>
      <c r="T1582" s="23"/>
      <c r="U1582" s="22"/>
      <c r="V1582" s="22"/>
      <c r="W1582" s="22"/>
      <c r="X1582" s="22"/>
      <c r="Y1582" s="22"/>
      <c r="Z1582" s="22"/>
      <c r="AA1582" s="22"/>
      <c r="AB1582" s="22"/>
      <c r="AC1582" s="22"/>
      <c r="AD1582" s="22"/>
      <c r="AE1582" s="22"/>
      <c r="AF1582" s="22"/>
      <c r="AG1582" s="22"/>
      <c r="AH1582" s="22"/>
      <c r="AI1582" s="22"/>
      <c r="AJ1582" s="22"/>
      <c r="AK1582" s="22"/>
      <c r="AL1582" s="22"/>
      <c r="AM1582" s="22"/>
      <c r="AN1582" s="22"/>
      <c r="AO1582" s="22"/>
      <c r="AP1582" s="22"/>
      <c r="AQ1582" s="22"/>
      <c r="AR1582" s="22"/>
      <c r="AS1582" s="22"/>
      <c r="AT1582" s="22"/>
      <c r="AU1582" s="22"/>
      <c r="AV1582" s="22"/>
      <c r="AW1582" s="22"/>
      <c r="AX1582" s="22"/>
    </row>
    <row r="1583" spans="1:50" x14ac:dyDescent="0.35">
      <c r="A1583" s="23"/>
      <c r="B1583" s="23"/>
      <c r="C1583" s="23"/>
      <c r="D1583" s="23"/>
      <c r="E1583" s="23"/>
      <c r="F1583" s="23"/>
      <c r="G1583" s="23"/>
      <c r="H1583" s="23"/>
      <c r="I1583" s="23"/>
      <c r="J1583" s="23"/>
      <c r="K1583" s="23"/>
      <c r="L1583" s="23"/>
      <c r="M1583" s="23"/>
      <c r="N1583" s="23"/>
      <c r="O1583" s="23"/>
      <c r="P1583" s="23"/>
      <c r="Q1583" s="23"/>
      <c r="R1583" s="23"/>
      <c r="S1583" s="23"/>
      <c r="T1583" s="23"/>
      <c r="U1583" s="22"/>
      <c r="V1583" s="22"/>
      <c r="W1583" s="22"/>
      <c r="X1583" s="22"/>
      <c r="Y1583" s="22"/>
      <c r="Z1583" s="22"/>
      <c r="AA1583" s="22"/>
      <c r="AB1583" s="22"/>
      <c r="AC1583" s="22"/>
      <c r="AD1583" s="22"/>
      <c r="AE1583" s="22"/>
      <c r="AF1583" s="22"/>
      <c r="AG1583" s="22"/>
      <c r="AH1583" s="22"/>
      <c r="AI1583" s="22"/>
      <c r="AJ1583" s="22"/>
      <c r="AK1583" s="22"/>
      <c r="AL1583" s="22"/>
      <c r="AM1583" s="22"/>
      <c r="AN1583" s="22"/>
      <c r="AO1583" s="22"/>
      <c r="AP1583" s="22"/>
      <c r="AQ1583" s="22"/>
      <c r="AR1583" s="22"/>
      <c r="AS1583" s="22"/>
      <c r="AT1583" s="22"/>
      <c r="AU1583" s="22"/>
      <c r="AV1583" s="22"/>
      <c r="AW1583" s="22"/>
      <c r="AX1583" s="22"/>
    </row>
    <row r="1584" spans="1:50" x14ac:dyDescent="0.35">
      <c r="A1584" s="23"/>
      <c r="B1584" s="23"/>
      <c r="C1584" s="23"/>
      <c r="D1584" s="23"/>
      <c r="E1584" s="23"/>
      <c r="F1584" s="23"/>
      <c r="G1584" s="23"/>
      <c r="H1584" s="23"/>
      <c r="I1584" s="23"/>
      <c r="J1584" s="23"/>
      <c r="K1584" s="23"/>
      <c r="L1584" s="23"/>
      <c r="M1584" s="23"/>
      <c r="N1584" s="23"/>
      <c r="O1584" s="23"/>
      <c r="P1584" s="23"/>
      <c r="Q1584" s="23"/>
      <c r="R1584" s="23"/>
      <c r="S1584" s="23"/>
      <c r="T1584" s="23"/>
      <c r="U1584" s="22"/>
      <c r="V1584" s="22"/>
      <c r="W1584" s="22"/>
      <c r="X1584" s="22"/>
      <c r="Y1584" s="22"/>
      <c r="Z1584" s="22"/>
      <c r="AA1584" s="22"/>
      <c r="AB1584" s="22"/>
      <c r="AC1584" s="22"/>
      <c r="AD1584" s="22"/>
      <c r="AE1584" s="22"/>
      <c r="AF1584" s="22"/>
      <c r="AG1584" s="22"/>
      <c r="AH1584" s="22"/>
      <c r="AI1584" s="22"/>
      <c r="AJ1584" s="22"/>
      <c r="AK1584" s="22"/>
      <c r="AL1584" s="22"/>
      <c r="AM1584" s="22"/>
      <c r="AN1584" s="22"/>
      <c r="AO1584" s="22"/>
      <c r="AP1584" s="22"/>
      <c r="AQ1584" s="22"/>
      <c r="AR1584" s="22"/>
      <c r="AS1584" s="22"/>
      <c r="AT1584" s="22"/>
      <c r="AU1584" s="22"/>
      <c r="AV1584" s="22"/>
      <c r="AW1584" s="22"/>
      <c r="AX1584" s="22"/>
    </row>
    <row r="1585" spans="1:50" x14ac:dyDescent="0.35">
      <c r="A1585" s="23"/>
      <c r="B1585" s="23"/>
      <c r="C1585" s="23"/>
      <c r="D1585" s="23"/>
      <c r="E1585" s="23"/>
      <c r="F1585" s="23"/>
      <c r="G1585" s="23"/>
      <c r="H1585" s="23"/>
      <c r="I1585" s="23"/>
      <c r="J1585" s="23"/>
      <c r="K1585" s="23"/>
      <c r="L1585" s="23"/>
      <c r="M1585" s="23"/>
      <c r="N1585" s="23"/>
      <c r="O1585" s="23"/>
      <c r="P1585" s="23"/>
      <c r="Q1585" s="23"/>
      <c r="R1585" s="23"/>
      <c r="S1585" s="23"/>
      <c r="T1585" s="23"/>
      <c r="U1585" s="22"/>
      <c r="V1585" s="22"/>
      <c r="W1585" s="22"/>
      <c r="X1585" s="22"/>
      <c r="Y1585" s="22"/>
      <c r="Z1585" s="22"/>
      <c r="AA1585" s="22"/>
      <c r="AB1585" s="22"/>
      <c r="AC1585" s="22"/>
      <c r="AD1585" s="22"/>
      <c r="AE1585" s="22"/>
      <c r="AF1585" s="22"/>
      <c r="AG1585" s="22"/>
      <c r="AH1585" s="22"/>
      <c r="AI1585" s="22"/>
      <c r="AJ1585" s="22"/>
      <c r="AK1585" s="22"/>
      <c r="AL1585" s="22"/>
      <c r="AM1585" s="22"/>
      <c r="AN1585" s="22"/>
      <c r="AO1585" s="22"/>
      <c r="AP1585" s="22"/>
      <c r="AQ1585" s="22"/>
      <c r="AR1585" s="22"/>
      <c r="AS1585" s="22"/>
      <c r="AT1585" s="22"/>
      <c r="AU1585" s="22"/>
      <c r="AV1585" s="22"/>
      <c r="AW1585" s="22"/>
      <c r="AX1585" s="22"/>
    </row>
    <row r="1586" spans="1:50" x14ac:dyDescent="0.35">
      <c r="A1586" s="23"/>
      <c r="B1586" s="23"/>
      <c r="C1586" s="23"/>
      <c r="D1586" s="23"/>
      <c r="E1586" s="23"/>
      <c r="F1586" s="23"/>
      <c r="G1586" s="23"/>
      <c r="H1586" s="23"/>
      <c r="I1586" s="23"/>
      <c r="J1586" s="23"/>
      <c r="K1586" s="23"/>
      <c r="L1586" s="23"/>
      <c r="M1586" s="23"/>
      <c r="N1586" s="23"/>
      <c r="O1586" s="23"/>
      <c r="P1586" s="23"/>
      <c r="Q1586" s="23"/>
      <c r="R1586" s="23"/>
      <c r="S1586" s="23"/>
      <c r="T1586" s="23"/>
      <c r="U1586" s="22"/>
      <c r="V1586" s="22"/>
      <c r="W1586" s="22"/>
      <c r="X1586" s="22"/>
      <c r="Y1586" s="22"/>
      <c r="Z1586" s="22"/>
      <c r="AA1586" s="22"/>
      <c r="AB1586" s="22"/>
      <c r="AC1586" s="22"/>
      <c r="AD1586" s="22"/>
      <c r="AE1586" s="22"/>
      <c r="AF1586" s="22"/>
      <c r="AG1586" s="22"/>
      <c r="AH1586" s="22"/>
      <c r="AI1586" s="22"/>
      <c r="AJ1586" s="22"/>
      <c r="AK1586" s="22"/>
      <c r="AL1586" s="22"/>
      <c r="AM1586" s="22"/>
      <c r="AN1586" s="22"/>
      <c r="AO1586" s="22"/>
      <c r="AP1586" s="22"/>
      <c r="AQ1586" s="22"/>
      <c r="AR1586" s="22"/>
      <c r="AS1586" s="22"/>
      <c r="AT1586" s="22"/>
      <c r="AU1586" s="22"/>
      <c r="AV1586" s="22"/>
      <c r="AW1586" s="22"/>
      <c r="AX1586" s="22"/>
    </row>
    <row r="1587" spans="1:50" x14ac:dyDescent="0.35">
      <c r="A1587" s="23"/>
      <c r="B1587" s="23"/>
      <c r="C1587" s="23"/>
      <c r="D1587" s="23"/>
      <c r="E1587" s="23"/>
      <c r="F1587" s="23"/>
      <c r="G1587" s="23"/>
      <c r="H1587" s="23"/>
      <c r="I1587" s="23"/>
      <c r="J1587" s="23"/>
      <c r="K1587" s="23"/>
      <c r="L1587" s="23"/>
      <c r="M1587" s="23"/>
      <c r="N1587" s="23"/>
      <c r="O1587" s="23"/>
      <c r="P1587" s="23"/>
      <c r="Q1587" s="23"/>
      <c r="R1587" s="23"/>
      <c r="S1587" s="23"/>
      <c r="T1587" s="23"/>
      <c r="U1587" s="22"/>
      <c r="V1587" s="22"/>
      <c r="W1587" s="22"/>
      <c r="X1587" s="22"/>
      <c r="Y1587" s="22"/>
      <c r="Z1587" s="22"/>
      <c r="AA1587" s="22"/>
      <c r="AB1587" s="22"/>
      <c r="AC1587" s="22"/>
      <c r="AD1587" s="22"/>
      <c r="AE1587" s="22"/>
      <c r="AF1587" s="22"/>
      <c r="AG1587" s="22"/>
      <c r="AH1587" s="22"/>
      <c r="AI1587" s="22"/>
      <c r="AJ1587" s="22"/>
      <c r="AK1587" s="22"/>
      <c r="AL1587" s="22"/>
      <c r="AM1587" s="22"/>
      <c r="AN1587" s="22"/>
      <c r="AO1587" s="22"/>
      <c r="AP1587" s="22"/>
      <c r="AQ1587" s="22"/>
      <c r="AR1587" s="22"/>
      <c r="AS1587" s="22"/>
      <c r="AT1587" s="22"/>
      <c r="AU1587" s="22"/>
      <c r="AV1587" s="22"/>
      <c r="AW1587" s="22"/>
      <c r="AX1587" s="22"/>
    </row>
    <row r="1588" spans="1:50" x14ac:dyDescent="0.35">
      <c r="A1588" s="23"/>
      <c r="B1588" s="23"/>
      <c r="C1588" s="23"/>
      <c r="D1588" s="23"/>
      <c r="E1588" s="23"/>
      <c r="F1588" s="23"/>
      <c r="G1588" s="23"/>
      <c r="H1588" s="23"/>
      <c r="I1588" s="23"/>
      <c r="J1588" s="23"/>
      <c r="K1588" s="23"/>
      <c r="L1588" s="23"/>
      <c r="M1588" s="23"/>
      <c r="N1588" s="23"/>
      <c r="O1588" s="23"/>
      <c r="P1588" s="23"/>
      <c r="Q1588" s="23"/>
      <c r="R1588" s="23"/>
      <c r="S1588" s="23"/>
      <c r="T1588" s="23"/>
      <c r="U1588" s="22"/>
      <c r="V1588" s="22"/>
      <c r="W1588" s="22"/>
      <c r="X1588" s="22"/>
      <c r="Y1588" s="22"/>
      <c r="Z1588" s="22"/>
      <c r="AA1588" s="22"/>
      <c r="AB1588" s="22"/>
      <c r="AC1588" s="22"/>
      <c r="AD1588" s="22"/>
      <c r="AE1588" s="22"/>
      <c r="AF1588" s="22"/>
      <c r="AG1588" s="22"/>
      <c r="AH1588" s="22"/>
      <c r="AI1588" s="22"/>
      <c r="AJ1588" s="22"/>
      <c r="AK1588" s="22"/>
      <c r="AL1588" s="22"/>
      <c r="AM1588" s="22"/>
      <c r="AN1588" s="22"/>
      <c r="AO1588" s="22"/>
      <c r="AP1588" s="22"/>
      <c r="AQ1588" s="22"/>
      <c r="AR1588" s="22"/>
      <c r="AS1588" s="22"/>
      <c r="AT1588" s="22"/>
      <c r="AU1588" s="22"/>
      <c r="AV1588" s="22"/>
      <c r="AW1588" s="22"/>
      <c r="AX1588" s="22"/>
    </row>
    <row r="1589" spans="1:50" x14ac:dyDescent="0.35">
      <c r="A1589" s="23"/>
      <c r="B1589" s="23"/>
      <c r="C1589" s="23"/>
      <c r="D1589" s="23"/>
      <c r="E1589" s="23"/>
      <c r="F1589" s="23"/>
      <c r="G1589" s="23"/>
      <c r="H1589" s="23"/>
      <c r="I1589" s="23"/>
      <c r="J1589" s="23"/>
      <c r="K1589" s="23"/>
      <c r="L1589" s="23"/>
      <c r="M1589" s="23"/>
      <c r="N1589" s="23"/>
      <c r="O1589" s="23"/>
      <c r="P1589" s="23"/>
      <c r="Q1589" s="23"/>
      <c r="R1589" s="23"/>
      <c r="S1589" s="23"/>
      <c r="T1589" s="23"/>
      <c r="U1589" s="22"/>
      <c r="V1589" s="22"/>
      <c r="W1589" s="22"/>
      <c r="X1589" s="22"/>
      <c r="Y1589" s="22"/>
      <c r="Z1589" s="22"/>
      <c r="AA1589" s="22"/>
      <c r="AB1589" s="22"/>
      <c r="AC1589" s="22"/>
      <c r="AD1589" s="22"/>
      <c r="AE1589" s="22"/>
      <c r="AF1589" s="22"/>
      <c r="AG1589" s="22"/>
      <c r="AH1589" s="22"/>
      <c r="AI1589" s="22"/>
      <c r="AJ1589" s="22"/>
      <c r="AK1589" s="22"/>
      <c r="AL1589" s="22"/>
      <c r="AM1589" s="22"/>
      <c r="AN1589" s="22"/>
      <c r="AO1589" s="22"/>
      <c r="AP1589" s="22"/>
      <c r="AQ1589" s="22"/>
      <c r="AR1589" s="22"/>
      <c r="AS1589" s="22"/>
      <c r="AT1589" s="22"/>
      <c r="AU1589" s="22"/>
      <c r="AV1589" s="22"/>
      <c r="AW1589" s="22"/>
      <c r="AX1589" s="22"/>
    </row>
    <row r="1590" spans="1:50" x14ac:dyDescent="0.35">
      <c r="A1590" s="23"/>
      <c r="B1590" s="23"/>
      <c r="C1590" s="23"/>
      <c r="D1590" s="23"/>
      <c r="E1590" s="23"/>
      <c r="F1590" s="23"/>
      <c r="G1590" s="23"/>
      <c r="H1590" s="23"/>
      <c r="I1590" s="23"/>
      <c r="J1590" s="23"/>
      <c r="K1590" s="23"/>
      <c r="L1590" s="23"/>
      <c r="M1590" s="23"/>
      <c r="N1590" s="23"/>
      <c r="O1590" s="23"/>
      <c r="P1590" s="23"/>
      <c r="Q1590" s="23"/>
      <c r="R1590" s="23"/>
      <c r="S1590" s="23"/>
      <c r="T1590" s="23"/>
      <c r="U1590" s="22"/>
      <c r="V1590" s="22"/>
      <c r="W1590" s="22"/>
      <c r="X1590" s="22"/>
      <c r="Y1590" s="22"/>
      <c r="Z1590" s="22"/>
      <c r="AA1590" s="22"/>
      <c r="AB1590" s="22"/>
      <c r="AC1590" s="22"/>
      <c r="AD1590" s="22"/>
      <c r="AE1590" s="22"/>
      <c r="AF1590" s="22"/>
      <c r="AG1590" s="22"/>
      <c r="AH1590" s="22"/>
      <c r="AI1590" s="22"/>
      <c r="AJ1590" s="22"/>
      <c r="AK1590" s="22"/>
      <c r="AL1590" s="22"/>
      <c r="AM1590" s="22"/>
      <c r="AN1590" s="22"/>
      <c r="AO1590" s="22"/>
      <c r="AP1590" s="22"/>
      <c r="AQ1590" s="22"/>
      <c r="AR1590" s="22"/>
      <c r="AS1590" s="22"/>
      <c r="AT1590" s="22"/>
      <c r="AU1590" s="22"/>
      <c r="AV1590" s="22"/>
      <c r="AW1590" s="22"/>
      <c r="AX1590" s="22"/>
    </row>
    <row r="1591" spans="1:50" x14ac:dyDescent="0.35">
      <c r="A1591" s="23"/>
      <c r="B1591" s="23"/>
      <c r="C1591" s="23"/>
      <c r="D1591" s="23"/>
      <c r="E1591" s="23"/>
      <c r="F1591" s="23"/>
      <c r="G1591" s="23"/>
      <c r="H1591" s="23"/>
      <c r="I1591" s="23"/>
      <c r="J1591" s="23"/>
      <c r="K1591" s="23"/>
      <c r="L1591" s="23"/>
      <c r="M1591" s="23"/>
      <c r="N1591" s="23"/>
      <c r="O1591" s="23"/>
      <c r="P1591" s="23"/>
      <c r="Q1591" s="23"/>
      <c r="R1591" s="23"/>
      <c r="S1591" s="23"/>
      <c r="T1591" s="23"/>
      <c r="U1591" s="22"/>
      <c r="V1591" s="22"/>
      <c r="W1591" s="22"/>
      <c r="X1591" s="22"/>
      <c r="Y1591" s="22"/>
      <c r="Z1591" s="22"/>
      <c r="AA1591" s="22"/>
      <c r="AB1591" s="22"/>
      <c r="AC1591" s="22"/>
      <c r="AD1591" s="22"/>
      <c r="AE1591" s="22"/>
      <c r="AF1591" s="22"/>
      <c r="AG1591" s="22"/>
      <c r="AH1591" s="22"/>
      <c r="AI1591" s="22"/>
      <c r="AJ1591" s="22"/>
      <c r="AK1591" s="22"/>
      <c r="AL1591" s="22"/>
      <c r="AM1591" s="22"/>
      <c r="AN1591" s="22"/>
      <c r="AO1591" s="22"/>
      <c r="AP1591" s="22"/>
      <c r="AQ1591" s="22"/>
      <c r="AR1591" s="22"/>
      <c r="AS1591" s="22"/>
      <c r="AT1591" s="22"/>
      <c r="AU1591" s="22"/>
      <c r="AV1591" s="22"/>
      <c r="AW1591" s="22"/>
      <c r="AX1591" s="22"/>
    </row>
    <row r="1592" spans="1:50" x14ac:dyDescent="0.35">
      <c r="A1592" s="23"/>
      <c r="B1592" s="23"/>
      <c r="C1592" s="23"/>
      <c r="D1592" s="23"/>
      <c r="E1592" s="23"/>
      <c r="F1592" s="23"/>
      <c r="G1592" s="23"/>
      <c r="H1592" s="23"/>
      <c r="I1592" s="23"/>
      <c r="J1592" s="23"/>
      <c r="K1592" s="23"/>
      <c r="L1592" s="23"/>
      <c r="M1592" s="23"/>
      <c r="N1592" s="23"/>
      <c r="O1592" s="23"/>
      <c r="P1592" s="23"/>
      <c r="Q1592" s="23"/>
      <c r="R1592" s="23"/>
      <c r="S1592" s="23"/>
      <c r="T1592" s="23"/>
      <c r="U1592" s="22"/>
      <c r="V1592" s="22"/>
      <c r="W1592" s="22"/>
      <c r="X1592" s="22"/>
      <c r="Y1592" s="22"/>
      <c r="Z1592" s="22"/>
      <c r="AA1592" s="22"/>
      <c r="AB1592" s="22"/>
      <c r="AC1592" s="22"/>
      <c r="AD1592" s="22"/>
      <c r="AE1592" s="22"/>
      <c r="AF1592" s="22"/>
      <c r="AG1592" s="22"/>
      <c r="AH1592" s="22"/>
      <c r="AI1592" s="22"/>
      <c r="AJ1592" s="22"/>
      <c r="AK1592" s="22"/>
      <c r="AL1592" s="22"/>
      <c r="AM1592" s="22"/>
      <c r="AN1592" s="22"/>
      <c r="AO1592" s="22"/>
      <c r="AP1592" s="22"/>
      <c r="AQ1592" s="22"/>
      <c r="AR1592" s="22"/>
      <c r="AS1592" s="22"/>
      <c r="AT1592" s="22"/>
      <c r="AU1592" s="22"/>
      <c r="AV1592" s="22"/>
      <c r="AW1592" s="22"/>
      <c r="AX1592" s="22"/>
    </row>
    <row r="1593" spans="1:50" x14ac:dyDescent="0.35">
      <c r="A1593" s="23"/>
      <c r="B1593" s="23"/>
      <c r="C1593" s="23"/>
      <c r="D1593" s="23"/>
      <c r="E1593" s="23"/>
      <c r="F1593" s="23"/>
      <c r="G1593" s="23"/>
      <c r="H1593" s="23"/>
      <c r="I1593" s="23"/>
      <c r="J1593" s="23"/>
      <c r="K1593" s="23"/>
      <c r="L1593" s="23"/>
      <c r="M1593" s="23"/>
      <c r="N1593" s="23"/>
      <c r="O1593" s="23"/>
      <c r="P1593" s="23"/>
      <c r="Q1593" s="23"/>
      <c r="R1593" s="23"/>
      <c r="S1593" s="23"/>
      <c r="T1593" s="23"/>
      <c r="U1593" s="22"/>
      <c r="V1593" s="22"/>
      <c r="W1593" s="22"/>
      <c r="X1593" s="22"/>
      <c r="Y1593" s="22"/>
      <c r="Z1593" s="22"/>
      <c r="AA1593" s="22"/>
      <c r="AB1593" s="22"/>
      <c r="AC1593" s="22"/>
      <c r="AD1593" s="22"/>
      <c r="AE1593" s="22"/>
      <c r="AF1593" s="22"/>
      <c r="AG1593" s="22"/>
      <c r="AH1593" s="22"/>
      <c r="AI1593" s="22"/>
      <c r="AJ1593" s="22"/>
      <c r="AK1593" s="22"/>
      <c r="AL1593" s="22"/>
      <c r="AM1593" s="22"/>
      <c r="AN1593" s="22"/>
      <c r="AO1593" s="22"/>
      <c r="AP1593" s="22"/>
      <c r="AQ1593" s="22"/>
      <c r="AR1593" s="22"/>
      <c r="AS1593" s="22"/>
      <c r="AT1593" s="22"/>
      <c r="AU1593" s="22"/>
      <c r="AV1593" s="22"/>
      <c r="AW1593" s="22"/>
      <c r="AX1593" s="22"/>
    </row>
    <row r="1594" spans="1:50" x14ac:dyDescent="0.35">
      <c r="A1594" s="23"/>
      <c r="B1594" s="23"/>
      <c r="C1594" s="23"/>
      <c r="D1594" s="23"/>
      <c r="E1594" s="23"/>
      <c r="F1594" s="23"/>
      <c r="G1594" s="23"/>
      <c r="H1594" s="23"/>
      <c r="I1594" s="23"/>
      <c r="J1594" s="23"/>
      <c r="K1594" s="23"/>
      <c r="L1594" s="23"/>
      <c r="M1594" s="23"/>
      <c r="N1594" s="23"/>
      <c r="O1594" s="23"/>
      <c r="P1594" s="23"/>
      <c r="Q1594" s="23"/>
      <c r="R1594" s="23"/>
      <c r="S1594" s="23"/>
      <c r="T1594" s="23"/>
      <c r="U1594" s="22"/>
      <c r="V1594" s="22"/>
      <c r="W1594" s="22"/>
      <c r="X1594" s="22"/>
      <c r="Y1594" s="22"/>
      <c r="Z1594" s="22"/>
      <c r="AA1594" s="22"/>
      <c r="AB1594" s="22"/>
      <c r="AC1594" s="22"/>
      <c r="AD1594" s="22"/>
      <c r="AE1594" s="22"/>
      <c r="AF1594" s="22"/>
      <c r="AG1594" s="22"/>
      <c r="AH1594" s="22"/>
      <c r="AI1594" s="22"/>
      <c r="AJ1594" s="22"/>
      <c r="AK1594" s="22"/>
      <c r="AL1594" s="22"/>
      <c r="AM1594" s="22"/>
      <c r="AN1594" s="22"/>
      <c r="AO1594" s="22"/>
      <c r="AP1594" s="22"/>
      <c r="AQ1594" s="22"/>
      <c r="AR1594" s="22"/>
      <c r="AS1594" s="22"/>
      <c r="AT1594" s="22"/>
      <c r="AU1594" s="22"/>
      <c r="AV1594" s="22"/>
      <c r="AW1594" s="22"/>
      <c r="AX1594" s="22"/>
    </row>
    <row r="1595" spans="1:50" x14ac:dyDescent="0.35">
      <c r="A1595" s="23"/>
      <c r="B1595" s="23"/>
      <c r="C1595" s="23"/>
      <c r="D1595" s="23"/>
      <c r="E1595" s="23"/>
      <c r="F1595" s="23"/>
      <c r="G1595" s="23"/>
      <c r="H1595" s="23"/>
      <c r="I1595" s="23"/>
      <c r="J1595" s="23"/>
      <c r="K1595" s="23"/>
      <c r="L1595" s="23"/>
      <c r="M1595" s="23"/>
      <c r="N1595" s="23"/>
      <c r="O1595" s="23"/>
      <c r="P1595" s="23"/>
      <c r="Q1595" s="23"/>
      <c r="R1595" s="23"/>
      <c r="S1595" s="23"/>
      <c r="T1595" s="23"/>
      <c r="U1595" s="22"/>
      <c r="V1595" s="22"/>
      <c r="W1595" s="22"/>
      <c r="X1595" s="22"/>
      <c r="Y1595" s="22"/>
      <c r="Z1595" s="22"/>
      <c r="AA1595" s="22"/>
      <c r="AB1595" s="22"/>
      <c r="AC1595" s="22"/>
      <c r="AD1595" s="22"/>
      <c r="AE1595" s="22"/>
      <c r="AF1595" s="22"/>
      <c r="AG1595" s="22"/>
      <c r="AH1595" s="22"/>
      <c r="AI1595" s="22"/>
      <c r="AJ1595" s="22"/>
      <c r="AK1595" s="22"/>
      <c r="AL1595" s="22"/>
      <c r="AM1595" s="22"/>
      <c r="AN1595" s="22"/>
      <c r="AO1595" s="22"/>
      <c r="AP1595" s="22"/>
      <c r="AQ1595" s="22"/>
      <c r="AR1595" s="22"/>
      <c r="AS1595" s="22"/>
      <c r="AT1595" s="22"/>
      <c r="AU1595" s="22"/>
      <c r="AV1595" s="22"/>
      <c r="AW1595" s="22"/>
      <c r="AX1595" s="22"/>
    </row>
    <row r="1596" spans="1:50" x14ac:dyDescent="0.35">
      <c r="A1596" s="23"/>
      <c r="B1596" s="23"/>
      <c r="C1596" s="23"/>
      <c r="D1596" s="23"/>
      <c r="E1596" s="23"/>
      <c r="F1596" s="23"/>
      <c r="G1596" s="23"/>
      <c r="H1596" s="23"/>
      <c r="I1596" s="23"/>
      <c r="J1596" s="23"/>
      <c r="K1596" s="23"/>
      <c r="L1596" s="23"/>
      <c r="M1596" s="23"/>
      <c r="N1596" s="23"/>
      <c r="O1596" s="23"/>
      <c r="P1596" s="23"/>
      <c r="Q1596" s="23"/>
      <c r="R1596" s="23"/>
      <c r="S1596" s="23"/>
      <c r="T1596" s="23"/>
      <c r="U1596" s="22"/>
      <c r="V1596" s="22"/>
      <c r="W1596" s="22"/>
      <c r="X1596" s="22"/>
      <c r="Y1596" s="22"/>
      <c r="Z1596" s="22"/>
      <c r="AA1596" s="22"/>
      <c r="AB1596" s="22"/>
      <c r="AC1596" s="22"/>
      <c r="AD1596" s="22"/>
      <c r="AE1596" s="22"/>
      <c r="AF1596" s="22"/>
      <c r="AG1596" s="22"/>
      <c r="AH1596" s="22"/>
      <c r="AI1596" s="22"/>
      <c r="AJ1596" s="22"/>
      <c r="AK1596" s="22"/>
      <c r="AL1596" s="22"/>
      <c r="AM1596" s="22"/>
      <c r="AN1596" s="22"/>
      <c r="AO1596" s="22"/>
      <c r="AP1596" s="22"/>
      <c r="AQ1596" s="22"/>
      <c r="AR1596" s="22"/>
      <c r="AS1596" s="22"/>
      <c r="AT1596" s="22"/>
      <c r="AU1596" s="22"/>
      <c r="AV1596" s="22"/>
      <c r="AW1596" s="22"/>
      <c r="AX1596" s="22"/>
    </row>
    <row r="1597" spans="1:50" x14ac:dyDescent="0.35">
      <c r="A1597" s="23"/>
      <c r="B1597" s="23"/>
      <c r="C1597" s="23"/>
      <c r="D1597" s="23"/>
      <c r="E1597" s="23"/>
      <c r="F1597" s="23"/>
      <c r="G1597" s="23"/>
      <c r="H1597" s="23"/>
      <c r="I1597" s="23"/>
      <c r="J1597" s="23"/>
      <c r="K1597" s="23"/>
      <c r="L1597" s="23"/>
      <c r="M1597" s="23"/>
      <c r="N1597" s="23"/>
      <c r="O1597" s="23"/>
      <c r="P1597" s="23"/>
      <c r="Q1597" s="23"/>
      <c r="R1597" s="23"/>
      <c r="S1597" s="23"/>
      <c r="T1597" s="23"/>
      <c r="U1597" s="22"/>
      <c r="V1597" s="22"/>
      <c r="W1597" s="22"/>
      <c r="X1597" s="22"/>
      <c r="Y1597" s="22"/>
      <c r="Z1597" s="22"/>
      <c r="AA1597" s="22"/>
      <c r="AB1597" s="22"/>
      <c r="AC1597" s="22"/>
      <c r="AD1597" s="22"/>
      <c r="AE1597" s="22"/>
      <c r="AF1597" s="22"/>
      <c r="AG1597" s="22"/>
      <c r="AH1597" s="22"/>
      <c r="AI1597" s="22"/>
      <c r="AJ1597" s="22"/>
      <c r="AK1597" s="22"/>
      <c r="AL1597" s="22"/>
      <c r="AM1597" s="22"/>
      <c r="AN1597" s="22"/>
      <c r="AO1597" s="22"/>
      <c r="AP1597" s="22"/>
      <c r="AQ1597" s="22"/>
      <c r="AR1597" s="22"/>
      <c r="AS1597" s="22"/>
      <c r="AT1597" s="22"/>
      <c r="AU1597" s="22"/>
      <c r="AV1597" s="22"/>
      <c r="AW1597" s="22"/>
      <c r="AX1597" s="22"/>
    </row>
    <row r="1598" spans="1:50" x14ac:dyDescent="0.35">
      <c r="A1598" s="23"/>
      <c r="B1598" s="23"/>
      <c r="C1598" s="23"/>
      <c r="D1598" s="23"/>
      <c r="E1598" s="23"/>
      <c r="F1598" s="23"/>
      <c r="G1598" s="23"/>
      <c r="H1598" s="23"/>
      <c r="I1598" s="23"/>
      <c r="J1598" s="23"/>
      <c r="K1598" s="23"/>
      <c r="L1598" s="23"/>
      <c r="M1598" s="23"/>
      <c r="N1598" s="23"/>
      <c r="O1598" s="23"/>
      <c r="P1598" s="23"/>
      <c r="Q1598" s="23"/>
      <c r="R1598" s="23"/>
      <c r="S1598" s="23"/>
      <c r="T1598" s="23"/>
      <c r="U1598" s="22"/>
      <c r="V1598" s="22"/>
      <c r="W1598" s="22"/>
      <c r="X1598" s="22"/>
      <c r="Y1598" s="22"/>
      <c r="Z1598" s="22"/>
      <c r="AA1598" s="22"/>
      <c r="AB1598" s="22"/>
      <c r="AC1598" s="22"/>
      <c r="AD1598" s="22"/>
      <c r="AE1598" s="22"/>
      <c r="AF1598" s="22"/>
      <c r="AG1598" s="22"/>
      <c r="AH1598" s="22"/>
      <c r="AI1598" s="22"/>
      <c r="AJ1598" s="22"/>
      <c r="AK1598" s="22"/>
      <c r="AL1598" s="22"/>
      <c r="AM1598" s="22"/>
      <c r="AN1598" s="22"/>
      <c r="AO1598" s="22"/>
      <c r="AP1598" s="22"/>
      <c r="AQ1598" s="22"/>
      <c r="AR1598" s="22"/>
      <c r="AS1598" s="22"/>
      <c r="AT1598" s="22"/>
      <c r="AU1598" s="22"/>
      <c r="AV1598" s="22"/>
      <c r="AW1598" s="22"/>
      <c r="AX1598" s="22"/>
    </row>
    <row r="1599" spans="1:50" x14ac:dyDescent="0.35">
      <c r="A1599" s="23"/>
      <c r="B1599" s="23"/>
      <c r="C1599" s="23"/>
      <c r="D1599" s="23"/>
      <c r="E1599" s="23"/>
      <c r="F1599" s="23"/>
      <c r="G1599" s="23"/>
      <c r="H1599" s="23"/>
      <c r="I1599" s="23"/>
      <c r="J1599" s="23"/>
      <c r="K1599" s="23"/>
      <c r="L1599" s="23"/>
      <c r="M1599" s="23"/>
      <c r="N1599" s="23"/>
      <c r="O1599" s="23"/>
      <c r="P1599" s="23"/>
      <c r="Q1599" s="23"/>
      <c r="R1599" s="23"/>
      <c r="S1599" s="23"/>
      <c r="T1599" s="23"/>
      <c r="U1599" s="22"/>
      <c r="V1599" s="22"/>
      <c r="W1599" s="22"/>
      <c r="X1599" s="22"/>
      <c r="Y1599" s="22"/>
      <c r="Z1599" s="22"/>
      <c r="AA1599" s="22"/>
      <c r="AB1599" s="22"/>
      <c r="AC1599" s="22"/>
      <c r="AD1599" s="22"/>
      <c r="AE1599" s="22"/>
      <c r="AF1599" s="22"/>
      <c r="AG1599" s="22"/>
      <c r="AH1599" s="22"/>
      <c r="AI1599" s="22"/>
      <c r="AJ1599" s="22"/>
      <c r="AK1599" s="22"/>
      <c r="AL1599" s="22"/>
      <c r="AM1599" s="22"/>
      <c r="AN1599" s="22"/>
      <c r="AO1599" s="22"/>
      <c r="AP1599" s="22"/>
      <c r="AQ1599" s="22"/>
      <c r="AR1599" s="22"/>
      <c r="AS1599" s="22"/>
      <c r="AT1599" s="22"/>
      <c r="AU1599" s="22"/>
      <c r="AV1599" s="22"/>
      <c r="AW1599" s="22"/>
      <c r="AX1599" s="22"/>
    </row>
    <row r="1600" spans="1:50" x14ac:dyDescent="0.35">
      <c r="A1600" s="23"/>
      <c r="B1600" s="23"/>
      <c r="C1600" s="23"/>
      <c r="D1600" s="23"/>
      <c r="E1600" s="23"/>
      <c r="F1600" s="23"/>
      <c r="G1600" s="23"/>
      <c r="H1600" s="23"/>
      <c r="I1600" s="23"/>
      <c r="J1600" s="23"/>
      <c r="K1600" s="23"/>
      <c r="L1600" s="23"/>
      <c r="M1600" s="23"/>
      <c r="N1600" s="23"/>
      <c r="O1600" s="23"/>
      <c r="P1600" s="23"/>
      <c r="Q1600" s="23"/>
      <c r="R1600" s="23"/>
      <c r="S1600" s="23"/>
      <c r="T1600" s="23"/>
      <c r="U1600" s="22"/>
      <c r="V1600" s="22"/>
      <c r="W1600" s="22"/>
      <c r="X1600" s="22"/>
      <c r="Y1600" s="22"/>
      <c r="Z1600" s="22"/>
      <c r="AA1600" s="22"/>
      <c r="AB1600" s="22"/>
      <c r="AC1600" s="22"/>
      <c r="AD1600" s="22"/>
      <c r="AE1600" s="22"/>
      <c r="AF1600" s="22"/>
      <c r="AG1600" s="22"/>
      <c r="AH1600" s="22"/>
      <c r="AI1600" s="22"/>
      <c r="AJ1600" s="22"/>
      <c r="AK1600" s="22"/>
      <c r="AL1600" s="22"/>
      <c r="AM1600" s="22"/>
      <c r="AN1600" s="22"/>
      <c r="AO1600" s="22"/>
      <c r="AP1600" s="22"/>
      <c r="AQ1600" s="22"/>
      <c r="AR1600" s="22"/>
      <c r="AS1600" s="22"/>
      <c r="AT1600" s="22"/>
      <c r="AU1600" s="22"/>
      <c r="AV1600" s="22"/>
      <c r="AW1600" s="22"/>
      <c r="AX1600" s="22"/>
    </row>
    <row r="1601" spans="1:50" x14ac:dyDescent="0.35">
      <c r="A1601" s="23"/>
      <c r="B1601" s="23"/>
      <c r="C1601" s="23"/>
      <c r="D1601" s="23"/>
      <c r="E1601" s="23"/>
      <c r="F1601" s="23"/>
      <c r="G1601" s="23"/>
      <c r="H1601" s="23"/>
      <c r="I1601" s="23"/>
      <c r="J1601" s="23"/>
      <c r="K1601" s="23"/>
      <c r="L1601" s="23"/>
      <c r="M1601" s="23"/>
      <c r="N1601" s="23"/>
      <c r="O1601" s="23"/>
      <c r="P1601" s="23"/>
      <c r="Q1601" s="23"/>
      <c r="R1601" s="23"/>
      <c r="S1601" s="23"/>
      <c r="T1601" s="23"/>
      <c r="U1601" s="22"/>
      <c r="V1601" s="22"/>
      <c r="W1601" s="22"/>
      <c r="X1601" s="22"/>
      <c r="Y1601" s="22"/>
      <c r="Z1601" s="22"/>
      <c r="AA1601" s="22"/>
      <c r="AB1601" s="22"/>
      <c r="AC1601" s="22"/>
      <c r="AD1601" s="22"/>
      <c r="AE1601" s="22"/>
      <c r="AF1601" s="22"/>
      <c r="AG1601" s="22"/>
      <c r="AH1601" s="22"/>
      <c r="AI1601" s="22"/>
      <c r="AJ1601" s="22"/>
      <c r="AK1601" s="22"/>
      <c r="AL1601" s="22"/>
      <c r="AM1601" s="22"/>
      <c r="AN1601" s="22"/>
      <c r="AO1601" s="22"/>
      <c r="AP1601" s="22"/>
      <c r="AQ1601" s="22"/>
      <c r="AR1601" s="22"/>
      <c r="AS1601" s="22"/>
      <c r="AT1601" s="22"/>
      <c r="AU1601" s="22"/>
      <c r="AV1601" s="22"/>
      <c r="AW1601" s="22"/>
      <c r="AX1601" s="22"/>
    </row>
    <row r="1602" spans="1:50" x14ac:dyDescent="0.35">
      <c r="A1602" s="23"/>
      <c r="B1602" s="23"/>
      <c r="C1602" s="23"/>
      <c r="D1602" s="23"/>
      <c r="E1602" s="23"/>
      <c r="F1602" s="23"/>
      <c r="G1602" s="23"/>
      <c r="H1602" s="23"/>
      <c r="I1602" s="23"/>
      <c r="J1602" s="23"/>
      <c r="K1602" s="23"/>
      <c r="L1602" s="23"/>
      <c r="M1602" s="23"/>
      <c r="N1602" s="23"/>
      <c r="O1602" s="23"/>
      <c r="P1602" s="23"/>
      <c r="Q1602" s="23"/>
      <c r="R1602" s="23"/>
      <c r="S1602" s="23"/>
      <c r="T1602" s="23"/>
      <c r="U1602" s="22"/>
      <c r="V1602" s="22"/>
      <c r="W1602" s="22"/>
      <c r="X1602" s="22"/>
      <c r="Y1602" s="22"/>
      <c r="Z1602" s="22"/>
      <c r="AA1602" s="22"/>
      <c r="AB1602" s="22"/>
      <c r="AC1602" s="22"/>
      <c r="AD1602" s="22"/>
      <c r="AE1602" s="22"/>
      <c r="AF1602" s="22"/>
      <c r="AG1602" s="22"/>
      <c r="AH1602" s="22"/>
      <c r="AI1602" s="22"/>
      <c r="AJ1602" s="22"/>
      <c r="AK1602" s="22"/>
      <c r="AL1602" s="22"/>
      <c r="AM1602" s="22"/>
      <c r="AN1602" s="22"/>
      <c r="AO1602" s="22"/>
      <c r="AP1602" s="22"/>
      <c r="AQ1602" s="22"/>
      <c r="AR1602" s="22"/>
      <c r="AS1602" s="22"/>
      <c r="AT1602" s="22"/>
      <c r="AU1602" s="22"/>
      <c r="AV1602" s="22"/>
      <c r="AW1602" s="22"/>
      <c r="AX1602" s="22"/>
    </row>
    <row r="1603" spans="1:50" x14ac:dyDescent="0.35">
      <c r="A1603" s="23"/>
      <c r="B1603" s="23"/>
      <c r="C1603" s="23"/>
      <c r="D1603" s="23"/>
      <c r="E1603" s="23"/>
      <c r="F1603" s="23"/>
      <c r="G1603" s="23"/>
      <c r="H1603" s="23"/>
      <c r="I1603" s="23"/>
      <c r="J1603" s="23"/>
      <c r="K1603" s="23"/>
      <c r="L1603" s="23"/>
      <c r="M1603" s="23"/>
      <c r="N1603" s="23"/>
      <c r="O1603" s="23"/>
      <c r="P1603" s="23"/>
      <c r="Q1603" s="23"/>
      <c r="R1603" s="23"/>
      <c r="S1603" s="23"/>
      <c r="T1603" s="23"/>
      <c r="U1603" s="22"/>
      <c r="V1603" s="22"/>
      <c r="W1603" s="22"/>
      <c r="X1603" s="22"/>
      <c r="Y1603" s="22"/>
      <c r="Z1603" s="22"/>
      <c r="AA1603" s="22"/>
      <c r="AB1603" s="22"/>
      <c r="AC1603" s="22"/>
      <c r="AD1603" s="22"/>
      <c r="AE1603" s="22"/>
      <c r="AF1603" s="22"/>
      <c r="AG1603" s="22"/>
      <c r="AH1603" s="22"/>
      <c r="AI1603" s="22"/>
      <c r="AJ1603" s="22"/>
      <c r="AK1603" s="22"/>
      <c r="AL1603" s="22"/>
      <c r="AM1603" s="22"/>
      <c r="AN1603" s="22"/>
      <c r="AO1603" s="22"/>
      <c r="AP1603" s="22"/>
      <c r="AQ1603" s="22"/>
      <c r="AR1603" s="22"/>
      <c r="AS1603" s="22"/>
      <c r="AT1603" s="22"/>
      <c r="AU1603" s="22"/>
      <c r="AV1603" s="22"/>
      <c r="AW1603" s="22"/>
      <c r="AX1603" s="22"/>
    </row>
    <row r="1604" spans="1:50" x14ac:dyDescent="0.35">
      <c r="A1604" s="23"/>
      <c r="B1604" s="23"/>
      <c r="C1604" s="23"/>
      <c r="D1604" s="23"/>
      <c r="E1604" s="23"/>
      <c r="F1604" s="23"/>
      <c r="G1604" s="23"/>
      <c r="H1604" s="23"/>
      <c r="I1604" s="23"/>
      <c r="J1604" s="23"/>
      <c r="K1604" s="23"/>
      <c r="L1604" s="23"/>
      <c r="M1604" s="23"/>
      <c r="N1604" s="23"/>
      <c r="O1604" s="23"/>
      <c r="P1604" s="23"/>
      <c r="Q1604" s="23"/>
      <c r="R1604" s="23"/>
      <c r="S1604" s="23"/>
      <c r="T1604" s="23"/>
      <c r="U1604" s="22"/>
      <c r="V1604" s="22"/>
      <c r="W1604" s="22"/>
      <c r="X1604" s="22"/>
      <c r="Y1604" s="22"/>
      <c r="Z1604" s="22"/>
      <c r="AA1604" s="22"/>
      <c r="AB1604" s="22"/>
      <c r="AC1604" s="22"/>
      <c r="AD1604" s="22"/>
      <c r="AE1604" s="22"/>
      <c r="AF1604" s="22"/>
      <c r="AG1604" s="22"/>
      <c r="AH1604" s="22"/>
      <c r="AI1604" s="22"/>
      <c r="AJ1604" s="22"/>
      <c r="AK1604" s="22"/>
      <c r="AL1604" s="22"/>
      <c r="AM1604" s="22"/>
      <c r="AN1604" s="22"/>
      <c r="AO1604" s="22"/>
      <c r="AP1604" s="22"/>
      <c r="AQ1604" s="22"/>
      <c r="AR1604" s="22"/>
      <c r="AS1604" s="22"/>
      <c r="AT1604" s="22"/>
      <c r="AU1604" s="22"/>
      <c r="AV1604" s="22"/>
      <c r="AW1604" s="22"/>
      <c r="AX1604" s="22"/>
    </row>
    <row r="1605" spans="1:50" x14ac:dyDescent="0.35">
      <c r="A1605" s="23"/>
      <c r="B1605" s="23"/>
      <c r="C1605" s="23"/>
      <c r="D1605" s="23"/>
      <c r="E1605" s="23"/>
      <c r="F1605" s="23"/>
      <c r="G1605" s="23"/>
      <c r="H1605" s="23"/>
      <c r="I1605" s="23"/>
      <c r="J1605" s="23"/>
      <c r="K1605" s="23"/>
      <c r="L1605" s="23"/>
      <c r="M1605" s="23"/>
      <c r="N1605" s="23"/>
      <c r="O1605" s="23"/>
      <c r="P1605" s="23"/>
      <c r="Q1605" s="23"/>
      <c r="R1605" s="23"/>
      <c r="S1605" s="23"/>
      <c r="T1605" s="23"/>
      <c r="U1605" s="22"/>
      <c r="V1605" s="22"/>
      <c r="W1605" s="22"/>
      <c r="X1605" s="22"/>
      <c r="Y1605" s="22"/>
      <c r="Z1605" s="22"/>
      <c r="AA1605" s="22"/>
      <c r="AB1605" s="22"/>
      <c r="AC1605" s="22"/>
      <c r="AD1605" s="22"/>
      <c r="AE1605" s="22"/>
      <c r="AF1605" s="22"/>
      <c r="AG1605" s="22"/>
      <c r="AH1605" s="22"/>
      <c r="AI1605" s="22"/>
      <c r="AJ1605" s="22"/>
      <c r="AK1605" s="22"/>
      <c r="AL1605" s="22"/>
      <c r="AM1605" s="22"/>
      <c r="AN1605" s="22"/>
      <c r="AO1605" s="22"/>
      <c r="AP1605" s="22"/>
      <c r="AQ1605" s="22"/>
      <c r="AR1605" s="22"/>
      <c r="AS1605" s="22"/>
      <c r="AT1605" s="22"/>
      <c r="AU1605" s="22"/>
      <c r="AV1605" s="22"/>
      <c r="AW1605" s="22"/>
      <c r="AX1605" s="22"/>
    </row>
    <row r="1606" spans="1:50" x14ac:dyDescent="0.35">
      <c r="A1606" s="23"/>
      <c r="B1606" s="23"/>
      <c r="C1606" s="23"/>
      <c r="D1606" s="23"/>
      <c r="E1606" s="23"/>
      <c r="F1606" s="23"/>
      <c r="G1606" s="23"/>
      <c r="H1606" s="23"/>
      <c r="I1606" s="23"/>
      <c r="J1606" s="23"/>
      <c r="K1606" s="23"/>
      <c r="L1606" s="23"/>
      <c r="M1606" s="23"/>
      <c r="N1606" s="23"/>
      <c r="O1606" s="23"/>
      <c r="P1606" s="23"/>
      <c r="Q1606" s="23"/>
      <c r="R1606" s="23"/>
      <c r="S1606" s="23"/>
      <c r="T1606" s="23"/>
      <c r="U1606" s="22"/>
      <c r="V1606" s="22"/>
      <c r="W1606" s="22"/>
      <c r="X1606" s="22"/>
      <c r="Y1606" s="22"/>
      <c r="Z1606" s="22"/>
      <c r="AA1606" s="22"/>
      <c r="AB1606" s="22"/>
      <c r="AC1606" s="22"/>
      <c r="AD1606" s="22"/>
      <c r="AE1606" s="22"/>
      <c r="AF1606" s="22"/>
      <c r="AG1606" s="22"/>
      <c r="AH1606" s="22"/>
      <c r="AI1606" s="22"/>
      <c r="AJ1606" s="22"/>
      <c r="AK1606" s="22"/>
      <c r="AL1606" s="22"/>
      <c r="AM1606" s="22"/>
      <c r="AN1606" s="22"/>
      <c r="AO1606" s="22"/>
      <c r="AP1606" s="22"/>
      <c r="AQ1606" s="22"/>
      <c r="AR1606" s="22"/>
      <c r="AS1606" s="22"/>
      <c r="AT1606" s="22"/>
      <c r="AU1606" s="22"/>
      <c r="AV1606" s="22"/>
      <c r="AW1606" s="22"/>
      <c r="AX1606" s="22"/>
    </row>
    <row r="1607" spans="1:50" x14ac:dyDescent="0.35">
      <c r="A1607" s="23"/>
      <c r="B1607" s="23"/>
      <c r="C1607" s="23"/>
      <c r="D1607" s="23"/>
      <c r="E1607" s="23"/>
      <c r="F1607" s="23"/>
      <c r="G1607" s="23"/>
      <c r="H1607" s="23"/>
      <c r="I1607" s="23"/>
      <c r="J1607" s="23"/>
      <c r="K1607" s="23"/>
      <c r="L1607" s="23"/>
      <c r="M1607" s="23"/>
      <c r="N1607" s="23"/>
      <c r="O1607" s="23"/>
      <c r="P1607" s="23"/>
      <c r="Q1607" s="23"/>
      <c r="R1607" s="23"/>
      <c r="S1607" s="23"/>
      <c r="T1607" s="23"/>
      <c r="U1607" s="22"/>
      <c r="V1607" s="22"/>
      <c r="W1607" s="22"/>
      <c r="X1607" s="22"/>
      <c r="Y1607" s="22"/>
      <c r="Z1607" s="22"/>
      <c r="AA1607" s="22"/>
      <c r="AB1607" s="22"/>
      <c r="AC1607" s="22"/>
      <c r="AD1607" s="22"/>
      <c r="AE1607" s="22"/>
      <c r="AF1607" s="22"/>
      <c r="AG1607" s="22"/>
      <c r="AH1607" s="22"/>
      <c r="AI1607" s="22"/>
      <c r="AJ1607" s="22"/>
      <c r="AK1607" s="22"/>
      <c r="AL1607" s="22"/>
      <c r="AM1607" s="22"/>
      <c r="AN1607" s="22"/>
      <c r="AO1607" s="22"/>
      <c r="AP1607" s="22"/>
      <c r="AQ1607" s="22"/>
      <c r="AR1607" s="22"/>
      <c r="AS1607" s="22"/>
      <c r="AT1607" s="22"/>
      <c r="AU1607" s="22"/>
      <c r="AV1607" s="22"/>
      <c r="AW1607" s="22"/>
      <c r="AX1607" s="22"/>
    </row>
    <row r="1608" spans="1:50" x14ac:dyDescent="0.35">
      <c r="A1608" s="23"/>
      <c r="B1608" s="23"/>
      <c r="C1608" s="23"/>
      <c r="D1608" s="23"/>
      <c r="E1608" s="23"/>
      <c r="F1608" s="23"/>
      <c r="G1608" s="23"/>
      <c r="H1608" s="23"/>
      <c r="I1608" s="23"/>
      <c r="J1608" s="23"/>
      <c r="K1608" s="23"/>
      <c r="L1608" s="23"/>
      <c r="M1608" s="23"/>
      <c r="N1608" s="23"/>
      <c r="O1608" s="23"/>
      <c r="P1608" s="23"/>
      <c r="Q1608" s="23"/>
      <c r="R1608" s="23"/>
      <c r="S1608" s="23"/>
      <c r="T1608" s="23"/>
      <c r="U1608" s="22"/>
      <c r="V1608" s="22"/>
      <c r="W1608" s="22"/>
      <c r="X1608" s="22"/>
      <c r="Y1608" s="22"/>
      <c r="Z1608" s="22"/>
      <c r="AA1608" s="22"/>
      <c r="AB1608" s="22"/>
      <c r="AC1608" s="22"/>
      <c r="AD1608" s="22"/>
      <c r="AE1608" s="22"/>
      <c r="AF1608" s="22"/>
      <c r="AG1608" s="22"/>
      <c r="AH1608" s="22"/>
      <c r="AI1608" s="22"/>
      <c r="AJ1608" s="22"/>
      <c r="AK1608" s="22"/>
      <c r="AL1608" s="22"/>
      <c r="AM1608" s="22"/>
      <c r="AN1608" s="22"/>
      <c r="AO1608" s="22"/>
      <c r="AP1608" s="22"/>
      <c r="AQ1608" s="22"/>
      <c r="AR1608" s="22"/>
      <c r="AS1608" s="22"/>
      <c r="AT1608" s="22"/>
      <c r="AU1608" s="22"/>
      <c r="AV1608" s="22"/>
      <c r="AW1608" s="22"/>
      <c r="AX1608" s="22"/>
    </row>
    <row r="1609" spans="1:50" x14ac:dyDescent="0.35">
      <c r="A1609" s="23"/>
      <c r="B1609" s="23"/>
      <c r="C1609" s="23"/>
      <c r="D1609" s="23"/>
      <c r="E1609" s="23"/>
      <c r="F1609" s="23"/>
      <c r="G1609" s="23"/>
      <c r="H1609" s="23"/>
      <c r="I1609" s="23"/>
      <c r="J1609" s="23"/>
      <c r="K1609" s="23"/>
      <c r="L1609" s="23"/>
      <c r="M1609" s="23"/>
      <c r="N1609" s="23"/>
      <c r="O1609" s="23"/>
      <c r="P1609" s="23"/>
      <c r="Q1609" s="23"/>
      <c r="R1609" s="23"/>
      <c r="S1609" s="23"/>
      <c r="T1609" s="23"/>
      <c r="U1609" s="22"/>
      <c r="V1609" s="22"/>
      <c r="W1609" s="22"/>
      <c r="X1609" s="22"/>
      <c r="Y1609" s="22"/>
      <c r="Z1609" s="22"/>
      <c r="AA1609" s="22"/>
      <c r="AB1609" s="22"/>
      <c r="AC1609" s="22"/>
      <c r="AD1609" s="22"/>
      <c r="AE1609" s="22"/>
      <c r="AF1609" s="22"/>
      <c r="AG1609" s="22"/>
      <c r="AH1609" s="22"/>
      <c r="AI1609" s="22"/>
      <c r="AJ1609" s="22"/>
      <c r="AK1609" s="22"/>
      <c r="AL1609" s="22"/>
      <c r="AM1609" s="22"/>
      <c r="AN1609" s="22"/>
      <c r="AO1609" s="22"/>
      <c r="AP1609" s="22"/>
      <c r="AQ1609" s="22"/>
      <c r="AR1609" s="22"/>
      <c r="AS1609" s="22"/>
      <c r="AT1609" s="22"/>
      <c r="AU1609" s="22"/>
      <c r="AV1609" s="22"/>
      <c r="AW1609" s="22"/>
      <c r="AX1609" s="22"/>
    </row>
    <row r="1610" spans="1:50" x14ac:dyDescent="0.35">
      <c r="A1610" s="23"/>
      <c r="B1610" s="23"/>
      <c r="C1610" s="23"/>
      <c r="D1610" s="23"/>
      <c r="E1610" s="23"/>
      <c r="F1610" s="23"/>
      <c r="G1610" s="23"/>
      <c r="H1610" s="23"/>
      <c r="I1610" s="23"/>
      <c r="J1610" s="23"/>
      <c r="K1610" s="23"/>
      <c r="L1610" s="23"/>
      <c r="M1610" s="23"/>
      <c r="N1610" s="23"/>
      <c r="O1610" s="23"/>
      <c r="P1610" s="23"/>
      <c r="Q1610" s="23"/>
      <c r="R1610" s="23"/>
      <c r="S1610" s="23"/>
      <c r="T1610" s="23"/>
      <c r="U1610" s="22"/>
      <c r="V1610" s="22"/>
      <c r="W1610" s="22"/>
      <c r="X1610" s="22"/>
      <c r="Y1610" s="22"/>
      <c r="Z1610" s="22"/>
      <c r="AA1610" s="22"/>
      <c r="AB1610" s="22"/>
      <c r="AC1610" s="22"/>
      <c r="AD1610" s="22"/>
      <c r="AE1610" s="22"/>
      <c r="AF1610" s="22"/>
      <c r="AG1610" s="22"/>
      <c r="AH1610" s="22"/>
      <c r="AI1610" s="22"/>
      <c r="AJ1610" s="22"/>
      <c r="AK1610" s="22"/>
      <c r="AL1610" s="22"/>
      <c r="AM1610" s="22"/>
      <c r="AN1610" s="22"/>
      <c r="AO1610" s="22"/>
      <c r="AP1610" s="22"/>
      <c r="AQ1610" s="22"/>
      <c r="AR1610" s="22"/>
      <c r="AS1610" s="22"/>
      <c r="AT1610" s="22"/>
      <c r="AU1610" s="22"/>
      <c r="AV1610" s="22"/>
      <c r="AW1610" s="22"/>
      <c r="AX1610" s="22"/>
    </row>
    <row r="1611" spans="1:50" x14ac:dyDescent="0.35">
      <c r="A1611" s="23"/>
      <c r="B1611" s="23"/>
      <c r="C1611" s="23"/>
      <c r="D1611" s="23"/>
      <c r="E1611" s="23"/>
      <c r="F1611" s="23"/>
      <c r="G1611" s="23"/>
      <c r="H1611" s="23"/>
      <c r="I1611" s="23"/>
      <c r="J1611" s="23"/>
      <c r="K1611" s="23"/>
      <c r="L1611" s="23"/>
      <c r="M1611" s="23"/>
      <c r="N1611" s="23"/>
      <c r="O1611" s="23"/>
      <c r="P1611" s="23"/>
      <c r="Q1611" s="23"/>
      <c r="R1611" s="23"/>
      <c r="S1611" s="23"/>
      <c r="T1611" s="23"/>
      <c r="U1611" s="22"/>
      <c r="V1611" s="22"/>
      <c r="W1611" s="22"/>
      <c r="X1611" s="22"/>
      <c r="Y1611" s="22"/>
      <c r="Z1611" s="22"/>
      <c r="AA1611" s="22"/>
      <c r="AB1611" s="22"/>
      <c r="AC1611" s="22"/>
      <c r="AD1611" s="22"/>
      <c r="AE1611" s="22"/>
      <c r="AF1611" s="22"/>
      <c r="AG1611" s="22"/>
      <c r="AH1611" s="22"/>
      <c r="AI1611" s="22"/>
      <c r="AJ1611" s="22"/>
      <c r="AK1611" s="22"/>
      <c r="AL1611" s="22"/>
      <c r="AM1611" s="22"/>
      <c r="AN1611" s="22"/>
      <c r="AO1611" s="22"/>
      <c r="AP1611" s="22"/>
      <c r="AQ1611" s="22"/>
      <c r="AR1611" s="22"/>
      <c r="AS1611" s="22"/>
      <c r="AT1611" s="22"/>
      <c r="AU1611" s="22"/>
      <c r="AV1611" s="22"/>
      <c r="AW1611" s="22"/>
      <c r="AX1611" s="22"/>
    </row>
    <row r="1612" spans="1:50" x14ac:dyDescent="0.35">
      <c r="A1612" s="23"/>
      <c r="B1612" s="23"/>
      <c r="C1612" s="23"/>
      <c r="D1612" s="23"/>
      <c r="E1612" s="23"/>
      <c r="F1612" s="23"/>
      <c r="G1612" s="23"/>
      <c r="H1612" s="23"/>
      <c r="I1612" s="23"/>
      <c r="J1612" s="23"/>
      <c r="K1612" s="23"/>
      <c r="L1612" s="23"/>
      <c r="M1612" s="23"/>
      <c r="N1612" s="23"/>
      <c r="O1612" s="23"/>
      <c r="P1612" s="23"/>
      <c r="Q1612" s="23"/>
      <c r="R1612" s="23"/>
      <c r="S1612" s="23"/>
      <c r="T1612" s="23"/>
      <c r="U1612" s="22"/>
      <c r="V1612" s="22"/>
      <c r="W1612" s="22"/>
      <c r="X1612" s="22"/>
      <c r="Y1612" s="22"/>
      <c r="Z1612" s="22"/>
      <c r="AA1612" s="22"/>
      <c r="AB1612" s="22"/>
      <c r="AC1612" s="22"/>
      <c r="AD1612" s="22"/>
      <c r="AE1612" s="22"/>
      <c r="AF1612" s="22"/>
      <c r="AG1612" s="22"/>
      <c r="AH1612" s="22"/>
      <c r="AI1612" s="22"/>
      <c r="AJ1612" s="22"/>
      <c r="AK1612" s="22"/>
      <c r="AL1612" s="22"/>
      <c r="AM1612" s="22"/>
      <c r="AN1612" s="22"/>
      <c r="AO1612" s="22"/>
      <c r="AP1612" s="22"/>
      <c r="AQ1612" s="22"/>
      <c r="AR1612" s="22"/>
      <c r="AS1612" s="22"/>
      <c r="AT1612" s="22"/>
      <c r="AU1612" s="22"/>
      <c r="AV1612" s="22"/>
      <c r="AW1612" s="22"/>
      <c r="AX1612" s="22"/>
    </row>
    <row r="1613" spans="1:50" x14ac:dyDescent="0.35">
      <c r="A1613" s="23"/>
      <c r="B1613" s="23"/>
      <c r="C1613" s="23"/>
      <c r="D1613" s="23"/>
      <c r="E1613" s="23"/>
      <c r="F1613" s="23"/>
      <c r="G1613" s="23"/>
      <c r="H1613" s="23"/>
      <c r="I1613" s="23"/>
      <c r="J1613" s="23"/>
      <c r="K1613" s="23"/>
      <c r="L1613" s="23"/>
      <c r="M1613" s="23"/>
      <c r="N1613" s="23"/>
      <c r="O1613" s="23"/>
      <c r="P1613" s="23"/>
      <c r="Q1613" s="23"/>
      <c r="R1613" s="23"/>
      <c r="S1613" s="23"/>
      <c r="T1613" s="23"/>
      <c r="U1613" s="22"/>
      <c r="V1613" s="22"/>
      <c r="W1613" s="22"/>
      <c r="X1613" s="22"/>
      <c r="Y1613" s="22"/>
      <c r="Z1613" s="22"/>
      <c r="AA1613" s="22"/>
      <c r="AB1613" s="22"/>
      <c r="AC1613" s="22"/>
      <c r="AD1613" s="22"/>
      <c r="AE1613" s="22"/>
      <c r="AF1613" s="22"/>
      <c r="AG1613" s="22"/>
      <c r="AH1613" s="22"/>
      <c r="AI1613" s="22"/>
      <c r="AJ1613" s="22"/>
      <c r="AK1613" s="22"/>
      <c r="AL1613" s="22"/>
      <c r="AM1613" s="22"/>
      <c r="AN1613" s="22"/>
      <c r="AO1613" s="22"/>
      <c r="AP1613" s="22"/>
      <c r="AQ1613" s="22"/>
      <c r="AR1613" s="22"/>
      <c r="AS1613" s="22"/>
      <c r="AT1613" s="22"/>
      <c r="AU1613" s="22"/>
      <c r="AV1613" s="22"/>
      <c r="AW1613" s="22"/>
      <c r="AX1613" s="22"/>
    </row>
    <row r="1614" spans="1:50" x14ac:dyDescent="0.35">
      <c r="A1614" s="23"/>
      <c r="B1614" s="23"/>
      <c r="C1614" s="23"/>
      <c r="D1614" s="23"/>
      <c r="E1614" s="23"/>
      <c r="F1614" s="23"/>
      <c r="G1614" s="23"/>
      <c r="H1614" s="23"/>
      <c r="I1614" s="23"/>
      <c r="J1614" s="23"/>
      <c r="K1614" s="23"/>
      <c r="L1614" s="23"/>
      <c r="M1614" s="23"/>
      <c r="N1614" s="23"/>
      <c r="O1614" s="23"/>
      <c r="P1614" s="23"/>
      <c r="Q1614" s="23"/>
      <c r="R1614" s="23"/>
      <c r="S1614" s="23"/>
      <c r="T1614" s="23"/>
      <c r="U1614" s="22"/>
      <c r="V1614" s="22"/>
      <c r="W1614" s="22"/>
      <c r="X1614" s="22"/>
      <c r="Y1614" s="22"/>
      <c r="Z1614" s="22"/>
      <c r="AA1614" s="22"/>
      <c r="AB1614" s="22"/>
      <c r="AC1614" s="22"/>
      <c r="AD1614" s="22"/>
      <c r="AE1614" s="22"/>
      <c r="AF1614" s="22"/>
      <c r="AG1614" s="22"/>
      <c r="AH1614" s="22"/>
      <c r="AI1614" s="22"/>
      <c r="AJ1614" s="22"/>
      <c r="AK1614" s="22"/>
      <c r="AL1614" s="22"/>
      <c r="AM1614" s="22"/>
      <c r="AN1614" s="22"/>
      <c r="AO1614" s="22"/>
      <c r="AP1614" s="22"/>
      <c r="AQ1614" s="22"/>
      <c r="AR1614" s="22"/>
      <c r="AS1614" s="22"/>
      <c r="AT1614" s="22"/>
      <c r="AU1614" s="22"/>
      <c r="AV1614" s="22"/>
      <c r="AW1614" s="22"/>
      <c r="AX1614" s="22"/>
    </row>
    <row r="1615" spans="1:50" x14ac:dyDescent="0.35">
      <c r="A1615" s="23"/>
      <c r="B1615" s="23"/>
      <c r="C1615" s="23"/>
      <c r="D1615" s="23"/>
      <c r="E1615" s="23"/>
      <c r="F1615" s="23"/>
      <c r="G1615" s="23"/>
      <c r="H1615" s="23"/>
      <c r="I1615" s="23"/>
      <c r="J1615" s="23"/>
      <c r="K1615" s="23"/>
      <c r="L1615" s="23"/>
      <c r="M1615" s="23"/>
      <c r="N1615" s="23"/>
      <c r="O1615" s="23"/>
      <c r="P1615" s="23"/>
      <c r="Q1615" s="23"/>
      <c r="R1615" s="23"/>
      <c r="S1615" s="23"/>
      <c r="T1615" s="23"/>
      <c r="U1615" s="22"/>
      <c r="V1615" s="22"/>
      <c r="W1615" s="22"/>
      <c r="X1615" s="22"/>
      <c r="Y1615" s="22"/>
      <c r="Z1615" s="22"/>
      <c r="AA1615" s="22"/>
      <c r="AB1615" s="22"/>
      <c r="AC1615" s="22"/>
      <c r="AD1615" s="22"/>
      <c r="AE1615" s="22"/>
      <c r="AF1615" s="22"/>
      <c r="AG1615" s="22"/>
      <c r="AH1615" s="22"/>
      <c r="AI1615" s="22"/>
      <c r="AJ1615" s="22"/>
      <c r="AK1615" s="22"/>
      <c r="AL1615" s="22"/>
      <c r="AM1615" s="22"/>
      <c r="AN1615" s="22"/>
      <c r="AO1615" s="22"/>
      <c r="AP1615" s="22"/>
      <c r="AQ1615" s="22"/>
      <c r="AR1615" s="22"/>
      <c r="AS1615" s="22"/>
      <c r="AT1615" s="22"/>
      <c r="AU1615" s="22"/>
      <c r="AV1615" s="22"/>
      <c r="AW1615" s="22"/>
      <c r="AX1615" s="22"/>
    </row>
    <row r="1616" spans="1:50" x14ac:dyDescent="0.35">
      <c r="A1616" s="23"/>
      <c r="B1616" s="23"/>
      <c r="C1616" s="23"/>
      <c r="D1616" s="23"/>
      <c r="E1616" s="23"/>
      <c r="F1616" s="23"/>
      <c r="G1616" s="23"/>
      <c r="H1616" s="23"/>
      <c r="I1616" s="23"/>
      <c r="J1616" s="23"/>
      <c r="K1616" s="23"/>
      <c r="L1616" s="23"/>
      <c r="M1616" s="23"/>
      <c r="N1616" s="23"/>
      <c r="O1616" s="23"/>
      <c r="P1616" s="23"/>
      <c r="Q1616" s="23"/>
      <c r="R1616" s="23"/>
      <c r="S1616" s="23"/>
      <c r="T1616" s="23"/>
      <c r="U1616" s="22"/>
      <c r="V1616" s="22"/>
      <c r="W1616" s="22"/>
      <c r="X1616" s="22"/>
      <c r="Y1616" s="22"/>
      <c r="Z1616" s="22"/>
      <c r="AA1616" s="22"/>
      <c r="AB1616" s="22"/>
      <c r="AC1616" s="22"/>
      <c r="AD1616" s="22"/>
      <c r="AE1616" s="22"/>
      <c r="AF1616" s="22"/>
      <c r="AG1616" s="22"/>
      <c r="AH1616" s="22"/>
      <c r="AI1616" s="22"/>
      <c r="AJ1616" s="22"/>
      <c r="AK1616" s="22"/>
      <c r="AL1616" s="22"/>
      <c r="AM1616" s="22"/>
      <c r="AN1616" s="22"/>
      <c r="AO1616" s="22"/>
      <c r="AP1616" s="22"/>
      <c r="AQ1616" s="22"/>
      <c r="AR1616" s="22"/>
      <c r="AS1616" s="22"/>
      <c r="AT1616" s="22"/>
      <c r="AU1616" s="22"/>
      <c r="AV1616" s="22"/>
      <c r="AW1616" s="22"/>
      <c r="AX1616" s="22"/>
    </row>
    <row r="1617" spans="1:50" x14ac:dyDescent="0.35">
      <c r="A1617" s="23"/>
      <c r="B1617" s="23"/>
      <c r="C1617" s="23"/>
      <c r="D1617" s="23"/>
      <c r="E1617" s="23"/>
      <c r="F1617" s="23"/>
      <c r="G1617" s="23"/>
      <c r="H1617" s="23"/>
      <c r="I1617" s="23"/>
      <c r="J1617" s="23"/>
      <c r="K1617" s="23"/>
      <c r="L1617" s="23"/>
      <c r="M1617" s="23"/>
      <c r="N1617" s="23"/>
      <c r="O1617" s="23"/>
      <c r="P1617" s="23"/>
      <c r="Q1617" s="23"/>
      <c r="R1617" s="23"/>
      <c r="S1617" s="23"/>
      <c r="T1617" s="23"/>
      <c r="U1617" s="22"/>
      <c r="V1617" s="22"/>
      <c r="W1617" s="22"/>
      <c r="X1617" s="22"/>
      <c r="Y1617" s="22"/>
      <c r="Z1617" s="22"/>
      <c r="AA1617" s="22"/>
      <c r="AB1617" s="22"/>
      <c r="AC1617" s="22"/>
      <c r="AD1617" s="22"/>
      <c r="AE1617" s="22"/>
      <c r="AF1617" s="22"/>
      <c r="AG1617" s="22"/>
      <c r="AH1617" s="22"/>
      <c r="AI1617" s="22"/>
      <c r="AJ1617" s="22"/>
      <c r="AK1617" s="22"/>
      <c r="AL1617" s="22"/>
      <c r="AM1617" s="22"/>
      <c r="AN1617" s="22"/>
      <c r="AO1617" s="22"/>
      <c r="AP1617" s="22"/>
      <c r="AQ1617" s="22"/>
      <c r="AR1617" s="22"/>
      <c r="AS1617" s="22"/>
      <c r="AT1617" s="22"/>
      <c r="AU1617" s="22"/>
      <c r="AV1617" s="22"/>
      <c r="AW1617" s="22"/>
      <c r="AX1617" s="22"/>
    </row>
    <row r="1618" spans="1:50" x14ac:dyDescent="0.35">
      <c r="A1618" s="23"/>
      <c r="B1618" s="23"/>
      <c r="C1618" s="23"/>
      <c r="D1618" s="23"/>
      <c r="E1618" s="23"/>
      <c r="F1618" s="23"/>
      <c r="G1618" s="23"/>
      <c r="H1618" s="23"/>
      <c r="I1618" s="23"/>
      <c r="J1618" s="23"/>
      <c r="K1618" s="23"/>
      <c r="L1618" s="23"/>
      <c r="M1618" s="23"/>
      <c r="N1618" s="23"/>
      <c r="O1618" s="23"/>
      <c r="P1618" s="23"/>
      <c r="Q1618" s="23"/>
      <c r="R1618" s="23"/>
      <c r="S1618" s="23"/>
      <c r="T1618" s="23"/>
      <c r="U1618" s="22"/>
      <c r="V1618" s="22"/>
      <c r="W1618" s="22"/>
      <c r="X1618" s="22"/>
      <c r="Y1618" s="22"/>
      <c r="Z1618" s="22"/>
      <c r="AA1618" s="22"/>
      <c r="AB1618" s="22"/>
      <c r="AC1618" s="22"/>
      <c r="AD1618" s="22"/>
      <c r="AE1618" s="22"/>
      <c r="AF1618" s="22"/>
      <c r="AG1618" s="22"/>
      <c r="AH1618" s="22"/>
      <c r="AI1618" s="22"/>
      <c r="AJ1618" s="22"/>
      <c r="AK1618" s="22"/>
      <c r="AL1618" s="22"/>
      <c r="AM1618" s="22"/>
      <c r="AN1618" s="22"/>
      <c r="AO1618" s="22"/>
      <c r="AP1618" s="22"/>
      <c r="AQ1618" s="22"/>
      <c r="AR1618" s="22"/>
      <c r="AS1618" s="22"/>
      <c r="AT1618" s="22"/>
      <c r="AU1618" s="22"/>
      <c r="AV1618" s="22"/>
      <c r="AW1618" s="22"/>
      <c r="AX1618" s="22"/>
    </row>
    <row r="1619" spans="1:50" x14ac:dyDescent="0.35">
      <c r="A1619" s="23"/>
      <c r="B1619" s="23"/>
      <c r="C1619" s="23"/>
      <c r="D1619" s="23"/>
      <c r="E1619" s="23"/>
      <c r="F1619" s="23"/>
      <c r="G1619" s="23"/>
      <c r="H1619" s="23"/>
      <c r="I1619" s="23"/>
      <c r="J1619" s="23"/>
      <c r="K1619" s="23"/>
      <c r="L1619" s="23"/>
      <c r="M1619" s="23"/>
      <c r="N1619" s="23"/>
      <c r="O1619" s="23"/>
      <c r="P1619" s="23"/>
      <c r="Q1619" s="23"/>
      <c r="R1619" s="23"/>
      <c r="S1619" s="23"/>
      <c r="T1619" s="23"/>
      <c r="U1619" s="22"/>
      <c r="V1619" s="22"/>
      <c r="W1619" s="22"/>
      <c r="X1619" s="22"/>
      <c r="Y1619" s="22"/>
      <c r="Z1619" s="22"/>
      <c r="AA1619" s="22"/>
      <c r="AB1619" s="22"/>
      <c r="AC1619" s="22"/>
      <c r="AD1619" s="22"/>
      <c r="AE1619" s="22"/>
      <c r="AF1619" s="22"/>
      <c r="AG1619" s="22"/>
      <c r="AH1619" s="22"/>
      <c r="AI1619" s="22"/>
      <c r="AJ1619" s="22"/>
      <c r="AK1619" s="22"/>
      <c r="AL1619" s="22"/>
      <c r="AM1619" s="22"/>
      <c r="AN1619" s="22"/>
      <c r="AO1619" s="22"/>
      <c r="AP1619" s="22"/>
      <c r="AQ1619" s="22"/>
      <c r="AR1619" s="22"/>
      <c r="AS1619" s="22"/>
      <c r="AT1619" s="22"/>
      <c r="AU1619" s="22"/>
      <c r="AV1619" s="22"/>
      <c r="AW1619" s="22"/>
      <c r="AX1619" s="22"/>
    </row>
    <row r="1620" spans="1:50" x14ac:dyDescent="0.35">
      <c r="A1620" s="23"/>
      <c r="B1620" s="23"/>
      <c r="C1620" s="23"/>
      <c r="D1620" s="23"/>
      <c r="E1620" s="23"/>
      <c r="F1620" s="23"/>
      <c r="G1620" s="23"/>
      <c r="H1620" s="23"/>
      <c r="I1620" s="23"/>
      <c r="J1620" s="23"/>
      <c r="K1620" s="23"/>
      <c r="L1620" s="23"/>
      <c r="M1620" s="23"/>
      <c r="N1620" s="23"/>
      <c r="O1620" s="23"/>
      <c r="P1620" s="23"/>
      <c r="Q1620" s="23"/>
      <c r="R1620" s="23"/>
      <c r="S1620" s="23"/>
      <c r="T1620" s="23"/>
      <c r="U1620" s="22"/>
      <c r="V1620" s="22"/>
      <c r="W1620" s="22"/>
      <c r="X1620" s="22"/>
      <c r="Y1620" s="22"/>
      <c r="Z1620" s="22"/>
      <c r="AA1620" s="22"/>
      <c r="AB1620" s="22"/>
      <c r="AC1620" s="22"/>
      <c r="AD1620" s="22"/>
      <c r="AE1620" s="22"/>
      <c r="AF1620" s="22"/>
      <c r="AG1620" s="22"/>
      <c r="AH1620" s="22"/>
      <c r="AI1620" s="22"/>
      <c r="AJ1620" s="22"/>
      <c r="AK1620" s="22"/>
      <c r="AL1620" s="22"/>
      <c r="AM1620" s="22"/>
      <c r="AN1620" s="22"/>
      <c r="AO1620" s="22"/>
      <c r="AP1620" s="22"/>
      <c r="AQ1620" s="22"/>
      <c r="AR1620" s="22"/>
      <c r="AS1620" s="22"/>
      <c r="AT1620" s="22"/>
      <c r="AU1620" s="22"/>
      <c r="AV1620" s="22"/>
      <c r="AW1620" s="22"/>
      <c r="AX1620" s="22"/>
    </row>
    <row r="1621" spans="1:50" x14ac:dyDescent="0.35">
      <c r="A1621" s="23"/>
      <c r="B1621" s="23"/>
      <c r="C1621" s="23"/>
      <c r="D1621" s="23"/>
      <c r="E1621" s="23"/>
      <c r="F1621" s="23"/>
      <c r="G1621" s="23"/>
      <c r="H1621" s="23"/>
      <c r="I1621" s="23"/>
      <c r="J1621" s="23"/>
      <c r="K1621" s="23"/>
      <c r="L1621" s="23"/>
      <c r="M1621" s="23"/>
      <c r="N1621" s="23"/>
      <c r="O1621" s="23"/>
      <c r="P1621" s="23"/>
      <c r="Q1621" s="23"/>
      <c r="R1621" s="23"/>
      <c r="S1621" s="23"/>
      <c r="T1621" s="23"/>
      <c r="U1621" s="22"/>
      <c r="V1621" s="22"/>
      <c r="W1621" s="22"/>
      <c r="X1621" s="22"/>
      <c r="Y1621" s="22"/>
      <c r="Z1621" s="22"/>
      <c r="AA1621" s="22"/>
      <c r="AB1621" s="22"/>
      <c r="AC1621" s="22"/>
      <c r="AD1621" s="22"/>
      <c r="AE1621" s="22"/>
      <c r="AF1621" s="22"/>
      <c r="AG1621" s="22"/>
      <c r="AH1621" s="22"/>
      <c r="AI1621" s="22"/>
      <c r="AJ1621" s="22"/>
      <c r="AK1621" s="22"/>
      <c r="AL1621" s="22"/>
      <c r="AM1621" s="22"/>
      <c r="AN1621" s="22"/>
      <c r="AO1621" s="22"/>
      <c r="AP1621" s="22"/>
      <c r="AQ1621" s="22"/>
      <c r="AR1621" s="22"/>
      <c r="AS1621" s="22"/>
      <c r="AT1621" s="22"/>
      <c r="AU1621" s="22"/>
      <c r="AV1621" s="22"/>
      <c r="AW1621" s="22"/>
      <c r="AX1621" s="22"/>
    </row>
    <row r="1622" spans="1:50" x14ac:dyDescent="0.35">
      <c r="A1622" s="23"/>
      <c r="B1622" s="23"/>
      <c r="C1622" s="23"/>
      <c r="D1622" s="23"/>
      <c r="E1622" s="23"/>
      <c r="F1622" s="23"/>
      <c r="G1622" s="23"/>
      <c r="H1622" s="23"/>
      <c r="I1622" s="23"/>
      <c r="J1622" s="23"/>
      <c r="K1622" s="23"/>
      <c r="L1622" s="23"/>
      <c r="M1622" s="23"/>
      <c r="N1622" s="23"/>
      <c r="O1622" s="23"/>
      <c r="P1622" s="23"/>
      <c r="Q1622" s="23"/>
      <c r="R1622" s="23"/>
      <c r="S1622" s="23"/>
      <c r="T1622" s="23"/>
      <c r="U1622" s="22"/>
      <c r="V1622" s="22"/>
      <c r="W1622" s="22"/>
      <c r="X1622" s="22"/>
      <c r="Y1622" s="22"/>
      <c r="Z1622" s="22"/>
      <c r="AA1622" s="22"/>
      <c r="AB1622" s="22"/>
      <c r="AC1622" s="22"/>
      <c r="AD1622" s="22"/>
      <c r="AE1622" s="22"/>
      <c r="AF1622" s="22"/>
      <c r="AG1622" s="22"/>
      <c r="AH1622" s="22"/>
      <c r="AI1622" s="22"/>
      <c r="AJ1622" s="22"/>
      <c r="AK1622" s="22"/>
      <c r="AL1622" s="22"/>
      <c r="AM1622" s="22"/>
      <c r="AN1622" s="22"/>
      <c r="AO1622" s="22"/>
      <c r="AP1622" s="22"/>
      <c r="AQ1622" s="22"/>
      <c r="AR1622" s="22"/>
      <c r="AS1622" s="22"/>
      <c r="AT1622" s="22"/>
      <c r="AU1622" s="22"/>
      <c r="AV1622" s="22"/>
      <c r="AW1622" s="22"/>
      <c r="AX1622" s="22"/>
    </row>
    <row r="1623" spans="1:50" x14ac:dyDescent="0.35">
      <c r="A1623" s="23"/>
      <c r="B1623" s="23"/>
      <c r="C1623" s="23"/>
      <c r="D1623" s="23"/>
      <c r="E1623" s="23"/>
      <c r="F1623" s="23"/>
      <c r="G1623" s="23"/>
      <c r="H1623" s="23"/>
      <c r="I1623" s="23"/>
      <c r="J1623" s="23"/>
      <c r="K1623" s="23"/>
      <c r="L1623" s="23"/>
      <c r="M1623" s="23"/>
      <c r="N1623" s="23"/>
      <c r="O1623" s="23"/>
      <c r="P1623" s="23"/>
      <c r="Q1623" s="23"/>
      <c r="R1623" s="23"/>
      <c r="S1623" s="23"/>
      <c r="T1623" s="23"/>
      <c r="U1623" s="22"/>
      <c r="V1623" s="22"/>
      <c r="W1623" s="22"/>
      <c r="X1623" s="22"/>
      <c r="Y1623" s="22"/>
      <c r="Z1623" s="22"/>
      <c r="AA1623" s="22"/>
      <c r="AB1623" s="22"/>
      <c r="AC1623" s="22"/>
      <c r="AD1623" s="22"/>
      <c r="AE1623" s="22"/>
      <c r="AF1623" s="22"/>
      <c r="AG1623" s="22"/>
      <c r="AH1623" s="22"/>
      <c r="AI1623" s="22"/>
      <c r="AJ1623" s="22"/>
      <c r="AK1623" s="22"/>
      <c r="AL1623" s="22"/>
      <c r="AM1623" s="22"/>
      <c r="AN1623" s="22"/>
      <c r="AO1623" s="22"/>
      <c r="AP1623" s="22"/>
      <c r="AQ1623" s="22"/>
      <c r="AR1623" s="22"/>
      <c r="AS1623" s="22"/>
      <c r="AT1623" s="22"/>
      <c r="AU1623" s="22"/>
      <c r="AV1623" s="22"/>
      <c r="AW1623" s="22"/>
      <c r="AX1623" s="22"/>
    </row>
    <row r="1624" spans="1:50" x14ac:dyDescent="0.35">
      <c r="A1624" s="23"/>
      <c r="B1624" s="23"/>
      <c r="C1624" s="23"/>
      <c r="D1624" s="23"/>
      <c r="E1624" s="23"/>
      <c r="F1624" s="23"/>
      <c r="G1624" s="23"/>
      <c r="H1624" s="23"/>
      <c r="I1624" s="23"/>
      <c r="J1624" s="23"/>
      <c r="K1624" s="23"/>
      <c r="L1624" s="23"/>
      <c r="M1624" s="23"/>
      <c r="N1624" s="23"/>
      <c r="O1624" s="23"/>
      <c r="P1624" s="23"/>
      <c r="Q1624" s="23"/>
      <c r="R1624" s="23"/>
      <c r="S1624" s="23"/>
      <c r="T1624" s="23"/>
      <c r="U1624" s="22"/>
      <c r="V1624" s="22"/>
      <c r="W1624" s="22"/>
      <c r="X1624" s="22"/>
      <c r="Y1624" s="22"/>
      <c r="Z1624" s="22"/>
      <c r="AA1624" s="22"/>
      <c r="AB1624" s="22"/>
      <c r="AC1624" s="22"/>
      <c r="AD1624" s="22"/>
      <c r="AE1624" s="22"/>
      <c r="AF1624" s="22"/>
      <c r="AG1624" s="22"/>
      <c r="AH1624" s="22"/>
      <c r="AI1624" s="22"/>
      <c r="AJ1624" s="22"/>
      <c r="AK1624" s="22"/>
      <c r="AL1624" s="22"/>
      <c r="AM1624" s="22"/>
      <c r="AN1624" s="22"/>
      <c r="AO1624" s="22"/>
      <c r="AP1624" s="22"/>
      <c r="AQ1624" s="22"/>
      <c r="AR1624" s="22"/>
      <c r="AS1624" s="22"/>
      <c r="AT1624" s="22"/>
      <c r="AU1624" s="22"/>
      <c r="AV1624" s="22"/>
      <c r="AW1624" s="22"/>
      <c r="AX1624" s="22"/>
    </row>
    <row r="1625" spans="1:50" x14ac:dyDescent="0.35">
      <c r="A1625" s="23"/>
      <c r="B1625" s="23"/>
      <c r="C1625" s="23"/>
      <c r="D1625" s="23"/>
      <c r="E1625" s="23"/>
      <c r="F1625" s="23"/>
      <c r="G1625" s="23"/>
      <c r="H1625" s="23"/>
      <c r="I1625" s="23"/>
      <c r="J1625" s="23"/>
      <c r="K1625" s="23"/>
      <c r="L1625" s="23"/>
      <c r="M1625" s="23"/>
      <c r="N1625" s="23"/>
      <c r="O1625" s="23"/>
      <c r="P1625" s="23"/>
      <c r="Q1625" s="23"/>
      <c r="R1625" s="23"/>
      <c r="S1625" s="23"/>
      <c r="T1625" s="23"/>
      <c r="U1625" s="22"/>
      <c r="V1625" s="22"/>
      <c r="W1625" s="22"/>
      <c r="X1625" s="22"/>
      <c r="Y1625" s="22"/>
      <c r="Z1625" s="22"/>
      <c r="AA1625" s="22"/>
      <c r="AB1625" s="22"/>
      <c r="AC1625" s="22"/>
      <c r="AD1625" s="22"/>
      <c r="AE1625" s="22"/>
      <c r="AF1625" s="22"/>
      <c r="AG1625" s="22"/>
      <c r="AH1625" s="22"/>
      <c r="AI1625" s="22"/>
      <c r="AJ1625" s="22"/>
      <c r="AK1625" s="22"/>
      <c r="AL1625" s="22"/>
      <c r="AM1625" s="22"/>
      <c r="AN1625" s="22"/>
      <c r="AO1625" s="22"/>
      <c r="AP1625" s="22"/>
      <c r="AQ1625" s="22"/>
      <c r="AR1625" s="22"/>
      <c r="AS1625" s="22"/>
      <c r="AT1625" s="22"/>
      <c r="AU1625" s="22"/>
      <c r="AV1625" s="22"/>
      <c r="AW1625" s="22"/>
      <c r="AX1625" s="22"/>
    </row>
    <row r="1626" spans="1:50" x14ac:dyDescent="0.35">
      <c r="A1626" s="23"/>
      <c r="B1626" s="23"/>
      <c r="C1626" s="23"/>
      <c r="D1626" s="23"/>
      <c r="E1626" s="23"/>
      <c r="F1626" s="23"/>
      <c r="G1626" s="23"/>
      <c r="H1626" s="23"/>
      <c r="I1626" s="23"/>
      <c r="J1626" s="23"/>
      <c r="K1626" s="23"/>
      <c r="L1626" s="23"/>
      <c r="M1626" s="23"/>
      <c r="N1626" s="23"/>
      <c r="O1626" s="23"/>
      <c r="P1626" s="23"/>
      <c r="Q1626" s="23"/>
      <c r="R1626" s="23"/>
      <c r="S1626" s="23"/>
      <c r="T1626" s="23"/>
      <c r="U1626" s="22"/>
      <c r="V1626" s="22"/>
      <c r="W1626" s="22"/>
      <c r="X1626" s="22"/>
      <c r="Y1626" s="22"/>
      <c r="Z1626" s="22"/>
      <c r="AA1626" s="22"/>
      <c r="AB1626" s="22"/>
      <c r="AC1626" s="22"/>
      <c r="AD1626" s="22"/>
      <c r="AE1626" s="22"/>
      <c r="AF1626" s="22"/>
      <c r="AG1626" s="22"/>
      <c r="AH1626" s="22"/>
      <c r="AI1626" s="22"/>
      <c r="AJ1626" s="22"/>
      <c r="AK1626" s="22"/>
      <c r="AL1626" s="22"/>
      <c r="AM1626" s="22"/>
      <c r="AN1626" s="22"/>
      <c r="AO1626" s="22"/>
      <c r="AP1626" s="22"/>
      <c r="AQ1626" s="22"/>
      <c r="AR1626" s="22"/>
      <c r="AS1626" s="22"/>
      <c r="AT1626" s="22"/>
      <c r="AU1626" s="22"/>
      <c r="AV1626" s="22"/>
      <c r="AW1626" s="22"/>
      <c r="AX1626" s="22"/>
    </row>
    <row r="1627" spans="1:50" x14ac:dyDescent="0.35">
      <c r="A1627" s="23"/>
      <c r="B1627" s="23"/>
      <c r="C1627" s="23"/>
      <c r="D1627" s="23"/>
      <c r="E1627" s="23"/>
      <c r="F1627" s="23"/>
      <c r="G1627" s="23"/>
      <c r="H1627" s="23"/>
      <c r="I1627" s="23"/>
      <c r="J1627" s="23"/>
      <c r="K1627" s="23"/>
      <c r="L1627" s="23"/>
      <c r="M1627" s="23"/>
      <c r="N1627" s="23"/>
      <c r="O1627" s="23"/>
      <c r="P1627" s="23"/>
      <c r="Q1627" s="23"/>
      <c r="R1627" s="23"/>
      <c r="S1627" s="23"/>
      <c r="T1627" s="23"/>
      <c r="U1627" s="22"/>
      <c r="V1627" s="22"/>
      <c r="W1627" s="22"/>
      <c r="X1627" s="22"/>
      <c r="Y1627" s="22"/>
      <c r="Z1627" s="22"/>
      <c r="AA1627" s="22"/>
      <c r="AB1627" s="22"/>
      <c r="AC1627" s="22"/>
      <c r="AD1627" s="22"/>
      <c r="AE1627" s="22"/>
      <c r="AF1627" s="22"/>
      <c r="AG1627" s="22"/>
      <c r="AH1627" s="22"/>
      <c r="AI1627" s="22"/>
      <c r="AJ1627" s="22"/>
      <c r="AK1627" s="22"/>
      <c r="AL1627" s="22"/>
      <c r="AM1627" s="22"/>
      <c r="AN1627" s="22"/>
      <c r="AO1627" s="22"/>
      <c r="AP1627" s="22"/>
      <c r="AQ1627" s="22"/>
      <c r="AR1627" s="22"/>
      <c r="AS1627" s="22"/>
      <c r="AT1627" s="22"/>
      <c r="AU1627" s="22"/>
      <c r="AV1627" s="22"/>
      <c r="AW1627" s="22"/>
      <c r="AX1627" s="22"/>
    </row>
    <row r="1628" spans="1:50" x14ac:dyDescent="0.35">
      <c r="A1628" s="23"/>
      <c r="B1628" s="23"/>
      <c r="C1628" s="23"/>
      <c r="D1628" s="23"/>
      <c r="E1628" s="23"/>
      <c r="F1628" s="23"/>
      <c r="G1628" s="23"/>
      <c r="H1628" s="23"/>
      <c r="I1628" s="23"/>
      <c r="J1628" s="23"/>
      <c r="K1628" s="23"/>
      <c r="L1628" s="23"/>
      <c r="M1628" s="23"/>
      <c r="N1628" s="23"/>
      <c r="O1628" s="23"/>
      <c r="P1628" s="23"/>
      <c r="Q1628" s="23"/>
      <c r="R1628" s="23"/>
      <c r="S1628" s="23"/>
      <c r="T1628" s="23"/>
      <c r="U1628" s="22"/>
      <c r="V1628" s="22"/>
      <c r="W1628" s="22"/>
      <c r="X1628" s="22"/>
      <c r="Y1628" s="22"/>
      <c r="Z1628" s="22"/>
      <c r="AA1628" s="22"/>
      <c r="AB1628" s="22"/>
      <c r="AC1628" s="22"/>
      <c r="AD1628" s="22"/>
      <c r="AE1628" s="22"/>
      <c r="AF1628" s="22"/>
      <c r="AG1628" s="22"/>
      <c r="AH1628" s="22"/>
      <c r="AI1628" s="22"/>
      <c r="AJ1628" s="22"/>
      <c r="AK1628" s="22"/>
      <c r="AL1628" s="22"/>
      <c r="AM1628" s="22"/>
      <c r="AN1628" s="22"/>
      <c r="AO1628" s="22"/>
      <c r="AP1628" s="22"/>
      <c r="AQ1628" s="22"/>
      <c r="AR1628" s="22"/>
      <c r="AS1628" s="22"/>
      <c r="AT1628" s="22"/>
      <c r="AU1628" s="22"/>
      <c r="AV1628" s="22"/>
      <c r="AW1628" s="22"/>
      <c r="AX1628" s="22"/>
    </row>
    <row r="1629" spans="1:50" x14ac:dyDescent="0.35">
      <c r="A1629" s="23"/>
      <c r="B1629" s="23"/>
      <c r="C1629" s="23"/>
      <c r="D1629" s="23"/>
      <c r="E1629" s="23"/>
      <c r="F1629" s="23"/>
      <c r="G1629" s="23"/>
      <c r="H1629" s="23"/>
      <c r="I1629" s="23"/>
      <c r="J1629" s="23"/>
      <c r="K1629" s="23"/>
      <c r="L1629" s="23"/>
      <c r="M1629" s="23"/>
      <c r="N1629" s="23"/>
      <c r="O1629" s="23"/>
      <c r="P1629" s="23"/>
      <c r="Q1629" s="23"/>
      <c r="R1629" s="23"/>
      <c r="S1629" s="23"/>
      <c r="T1629" s="23"/>
      <c r="U1629" s="22"/>
      <c r="V1629" s="22"/>
      <c r="W1629" s="22"/>
      <c r="X1629" s="22"/>
      <c r="Y1629" s="22"/>
      <c r="Z1629" s="22"/>
      <c r="AA1629" s="22"/>
      <c r="AB1629" s="22"/>
      <c r="AC1629" s="22"/>
      <c r="AD1629" s="22"/>
      <c r="AE1629" s="22"/>
      <c r="AF1629" s="22"/>
      <c r="AG1629" s="22"/>
      <c r="AH1629" s="22"/>
      <c r="AI1629" s="22"/>
      <c r="AJ1629" s="22"/>
      <c r="AK1629" s="22"/>
      <c r="AL1629" s="22"/>
      <c r="AM1629" s="22"/>
      <c r="AN1629" s="22"/>
      <c r="AO1629" s="22"/>
      <c r="AP1629" s="22"/>
      <c r="AQ1629" s="22"/>
      <c r="AR1629" s="22"/>
      <c r="AS1629" s="22"/>
      <c r="AT1629" s="22"/>
      <c r="AU1629" s="22"/>
      <c r="AV1629" s="22"/>
      <c r="AW1629" s="22"/>
      <c r="AX1629" s="22"/>
    </row>
    <row r="1630" spans="1:50" x14ac:dyDescent="0.35">
      <c r="A1630" s="23"/>
      <c r="B1630" s="23"/>
      <c r="C1630" s="23"/>
      <c r="D1630" s="23"/>
      <c r="E1630" s="23"/>
      <c r="F1630" s="23"/>
      <c r="G1630" s="23"/>
      <c r="H1630" s="23"/>
      <c r="I1630" s="23"/>
      <c r="J1630" s="23"/>
      <c r="K1630" s="23"/>
      <c r="L1630" s="23"/>
      <c r="M1630" s="23"/>
      <c r="N1630" s="23"/>
      <c r="O1630" s="23"/>
      <c r="P1630" s="23"/>
      <c r="Q1630" s="23"/>
      <c r="R1630" s="23"/>
      <c r="S1630" s="23"/>
      <c r="T1630" s="23"/>
      <c r="U1630" s="22"/>
      <c r="V1630" s="22"/>
      <c r="W1630" s="22"/>
      <c r="X1630" s="22"/>
      <c r="Y1630" s="22"/>
      <c r="Z1630" s="22"/>
      <c r="AA1630" s="22"/>
      <c r="AB1630" s="22"/>
      <c r="AC1630" s="22"/>
      <c r="AD1630" s="22"/>
      <c r="AE1630" s="22"/>
      <c r="AF1630" s="22"/>
      <c r="AG1630" s="22"/>
      <c r="AH1630" s="22"/>
      <c r="AI1630" s="22"/>
      <c r="AJ1630" s="22"/>
      <c r="AK1630" s="22"/>
      <c r="AL1630" s="22"/>
      <c r="AM1630" s="22"/>
      <c r="AN1630" s="22"/>
      <c r="AO1630" s="22"/>
      <c r="AP1630" s="22"/>
      <c r="AQ1630" s="22"/>
      <c r="AR1630" s="22"/>
      <c r="AS1630" s="22"/>
      <c r="AT1630" s="22"/>
      <c r="AU1630" s="22"/>
      <c r="AV1630" s="22"/>
      <c r="AW1630" s="22"/>
      <c r="AX1630" s="22"/>
    </row>
    <row r="1631" spans="1:50" x14ac:dyDescent="0.35">
      <c r="A1631" s="23"/>
      <c r="B1631" s="23"/>
      <c r="C1631" s="23"/>
      <c r="D1631" s="23"/>
      <c r="E1631" s="23"/>
      <c r="F1631" s="23"/>
      <c r="G1631" s="23"/>
      <c r="H1631" s="23"/>
      <c r="I1631" s="23"/>
      <c r="J1631" s="23"/>
      <c r="K1631" s="23"/>
      <c r="L1631" s="23"/>
      <c r="M1631" s="23"/>
      <c r="N1631" s="23"/>
      <c r="O1631" s="23"/>
      <c r="P1631" s="23"/>
      <c r="Q1631" s="23"/>
      <c r="R1631" s="23"/>
      <c r="S1631" s="23"/>
      <c r="T1631" s="23"/>
      <c r="U1631" s="22"/>
      <c r="V1631" s="22"/>
      <c r="W1631" s="22"/>
      <c r="X1631" s="22"/>
      <c r="Y1631" s="22"/>
      <c r="Z1631" s="22"/>
      <c r="AA1631" s="22"/>
      <c r="AB1631" s="22"/>
      <c r="AC1631" s="22"/>
      <c r="AD1631" s="22"/>
      <c r="AE1631" s="22"/>
      <c r="AF1631" s="22"/>
      <c r="AG1631" s="22"/>
      <c r="AH1631" s="22"/>
      <c r="AI1631" s="22"/>
      <c r="AJ1631" s="22"/>
      <c r="AK1631" s="22"/>
      <c r="AL1631" s="22"/>
      <c r="AM1631" s="22"/>
      <c r="AN1631" s="22"/>
      <c r="AO1631" s="22"/>
      <c r="AP1631" s="22"/>
      <c r="AQ1631" s="22"/>
      <c r="AR1631" s="22"/>
      <c r="AS1631" s="22"/>
      <c r="AT1631" s="22"/>
      <c r="AU1631" s="22"/>
      <c r="AV1631" s="22"/>
      <c r="AW1631" s="22"/>
      <c r="AX1631" s="22"/>
    </row>
    <row r="1632" spans="1:50" x14ac:dyDescent="0.35">
      <c r="A1632" s="23"/>
      <c r="B1632" s="23"/>
      <c r="C1632" s="23"/>
      <c r="D1632" s="23"/>
      <c r="E1632" s="23"/>
      <c r="F1632" s="23"/>
      <c r="G1632" s="23"/>
      <c r="H1632" s="23"/>
      <c r="I1632" s="23"/>
      <c r="J1632" s="23"/>
      <c r="K1632" s="23"/>
      <c r="L1632" s="23"/>
      <c r="M1632" s="23"/>
      <c r="N1632" s="23"/>
      <c r="O1632" s="23"/>
      <c r="P1632" s="23"/>
      <c r="Q1632" s="23"/>
      <c r="R1632" s="23"/>
      <c r="S1632" s="23"/>
      <c r="T1632" s="23"/>
      <c r="U1632" s="22"/>
      <c r="V1632" s="22"/>
      <c r="W1632" s="22"/>
      <c r="X1632" s="22"/>
      <c r="Y1632" s="22"/>
      <c r="Z1632" s="22"/>
      <c r="AA1632" s="22"/>
      <c r="AB1632" s="22"/>
      <c r="AC1632" s="22"/>
      <c r="AD1632" s="22"/>
      <c r="AE1632" s="22"/>
      <c r="AF1632" s="22"/>
      <c r="AG1632" s="22"/>
      <c r="AH1632" s="22"/>
      <c r="AI1632" s="22"/>
      <c r="AJ1632" s="22"/>
      <c r="AK1632" s="22"/>
      <c r="AL1632" s="22"/>
      <c r="AM1632" s="22"/>
      <c r="AN1632" s="22"/>
      <c r="AO1632" s="22"/>
      <c r="AP1632" s="22"/>
      <c r="AQ1632" s="22"/>
      <c r="AR1632" s="22"/>
      <c r="AS1632" s="22"/>
      <c r="AT1632" s="22"/>
      <c r="AU1632" s="22"/>
      <c r="AV1632" s="22"/>
      <c r="AW1632" s="22"/>
      <c r="AX1632" s="22"/>
    </row>
    <row r="1633" spans="1:50" x14ac:dyDescent="0.35">
      <c r="A1633" s="23"/>
      <c r="B1633" s="23"/>
      <c r="C1633" s="23"/>
      <c r="D1633" s="23"/>
      <c r="E1633" s="23"/>
      <c r="F1633" s="23"/>
      <c r="G1633" s="23"/>
      <c r="H1633" s="23"/>
      <c r="I1633" s="23"/>
      <c r="J1633" s="23"/>
      <c r="K1633" s="23"/>
      <c r="L1633" s="23"/>
      <c r="M1633" s="23"/>
      <c r="N1633" s="23"/>
      <c r="O1633" s="23"/>
      <c r="P1633" s="23"/>
      <c r="Q1633" s="23"/>
      <c r="R1633" s="23"/>
      <c r="S1633" s="23"/>
      <c r="T1633" s="23"/>
      <c r="U1633" s="22"/>
      <c r="V1633" s="22"/>
      <c r="W1633" s="22"/>
      <c r="X1633" s="22"/>
      <c r="Y1633" s="22"/>
      <c r="Z1633" s="22"/>
      <c r="AA1633" s="22"/>
      <c r="AB1633" s="22"/>
      <c r="AC1633" s="22"/>
      <c r="AD1633" s="22"/>
      <c r="AE1633" s="22"/>
      <c r="AF1633" s="22"/>
      <c r="AG1633" s="22"/>
      <c r="AH1633" s="22"/>
      <c r="AI1633" s="22"/>
      <c r="AJ1633" s="22"/>
      <c r="AK1633" s="22"/>
      <c r="AL1633" s="22"/>
      <c r="AM1633" s="22"/>
      <c r="AN1633" s="22"/>
      <c r="AO1633" s="22"/>
      <c r="AP1633" s="22"/>
      <c r="AQ1633" s="22"/>
      <c r="AR1633" s="22"/>
      <c r="AS1633" s="22"/>
      <c r="AT1633" s="22"/>
      <c r="AU1633" s="22"/>
      <c r="AV1633" s="22"/>
      <c r="AW1633" s="22"/>
      <c r="AX1633" s="22"/>
    </row>
    <row r="1634" spans="1:50" x14ac:dyDescent="0.35">
      <c r="A1634" s="23"/>
      <c r="B1634" s="23"/>
      <c r="C1634" s="23"/>
      <c r="D1634" s="23"/>
      <c r="E1634" s="23"/>
      <c r="F1634" s="23"/>
      <c r="G1634" s="23"/>
      <c r="H1634" s="23"/>
      <c r="I1634" s="23"/>
      <c r="J1634" s="23"/>
      <c r="K1634" s="23"/>
      <c r="L1634" s="23"/>
      <c r="M1634" s="23"/>
      <c r="N1634" s="23"/>
      <c r="O1634" s="23"/>
      <c r="P1634" s="23"/>
      <c r="Q1634" s="23"/>
      <c r="R1634" s="23"/>
      <c r="S1634" s="23"/>
      <c r="T1634" s="23"/>
      <c r="U1634" s="22"/>
      <c r="V1634" s="22"/>
      <c r="W1634" s="22"/>
      <c r="X1634" s="22"/>
      <c r="Y1634" s="22"/>
      <c r="Z1634" s="22"/>
      <c r="AA1634" s="22"/>
      <c r="AB1634" s="22"/>
      <c r="AC1634" s="22"/>
      <c r="AD1634" s="22"/>
      <c r="AE1634" s="22"/>
      <c r="AF1634" s="22"/>
      <c r="AG1634" s="22"/>
      <c r="AH1634" s="22"/>
      <c r="AI1634" s="22"/>
      <c r="AJ1634" s="22"/>
      <c r="AK1634" s="22"/>
      <c r="AL1634" s="22"/>
      <c r="AM1634" s="22"/>
      <c r="AN1634" s="22"/>
      <c r="AO1634" s="22"/>
      <c r="AP1634" s="22"/>
      <c r="AQ1634" s="22"/>
      <c r="AR1634" s="22"/>
      <c r="AS1634" s="22"/>
      <c r="AT1634" s="22"/>
      <c r="AU1634" s="22"/>
      <c r="AV1634" s="22"/>
      <c r="AW1634" s="22"/>
      <c r="AX1634" s="22"/>
    </row>
    <row r="1635" spans="1:50" x14ac:dyDescent="0.35">
      <c r="A1635" s="23"/>
      <c r="B1635" s="23"/>
      <c r="C1635" s="23"/>
      <c r="D1635" s="23"/>
      <c r="E1635" s="23"/>
      <c r="F1635" s="23"/>
      <c r="G1635" s="23"/>
      <c r="H1635" s="23"/>
      <c r="I1635" s="23"/>
      <c r="J1635" s="23"/>
      <c r="K1635" s="23"/>
      <c r="L1635" s="23"/>
      <c r="M1635" s="23"/>
      <c r="N1635" s="23"/>
      <c r="O1635" s="23"/>
      <c r="P1635" s="23"/>
      <c r="Q1635" s="23"/>
      <c r="R1635" s="23"/>
      <c r="S1635" s="23"/>
      <c r="T1635" s="23"/>
      <c r="U1635" s="22"/>
      <c r="V1635" s="22"/>
      <c r="W1635" s="22"/>
      <c r="X1635" s="22"/>
      <c r="Y1635" s="22"/>
      <c r="Z1635" s="22"/>
      <c r="AA1635" s="22"/>
      <c r="AB1635" s="22"/>
      <c r="AC1635" s="22"/>
      <c r="AD1635" s="22"/>
      <c r="AE1635" s="22"/>
      <c r="AF1635" s="22"/>
      <c r="AG1635" s="22"/>
      <c r="AH1635" s="22"/>
      <c r="AI1635" s="22"/>
      <c r="AJ1635" s="22"/>
      <c r="AK1635" s="22"/>
      <c r="AL1635" s="22"/>
      <c r="AM1635" s="22"/>
      <c r="AN1635" s="22"/>
      <c r="AO1635" s="22"/>
      <c r="AP1635" s="22"/>
      <c r="AQ1635" s="22"/>
      <c r="AR1635" s="22"/>
      <c r="AS1635" s="22"/>
      <c r="AT1635" s="22"/>
      <c r="AU1635" s="22"/>
      <c r="AV1635" s="22"/>
      <c r="AW1635" s="22"/>
      <c r="AX1635" s="22"/>
    </row>
    <row r="1636" spans="1:50" x14ac:dyDescent="0.35">
      <c r="A1636" s="23"/>
      <c r="B1636" s="23"/>
      <c r="C1636" s="23"/>
      <c r="D1636" s="23"/>
      <c r="E1636" s="23"/>
      <c r="F1636" s="23"/>
      <c r="G1636" s="23"/>
      <c r="H1636" s="23"/>
      <c r="I1636" s="23"/>
      <c r="J1636" s="23"/>
      <c r="K1636" s="23"/>
      <c r="L1636" s="23"/>
      <c r="M1636" s="23"/>
      <c r="N1636" s="23"/>
      <c r="O1636" s="23"/>
      <c r="P1636" s="23"/>
      <c r="Q1636" s="23"/>
      <c r="R1636" s="23"/>
      <c r="S1636" s="23"/>
      <c r="T1636" s="23"/>
      <c r="U1636" s="22"/>
      <c r="V1636" s="22"/>
      <c r="W1636" s="22"/>
      <c r="X1636" s="22"/>
      <c r="Y1636" s="22"/>
      <c r="Z1636" s="22"/>
      <c r="AA1636" s="22"/>
      <c r="AB1636" s="22"/>
      <c r="AC1636" s="22"/>
      <c r="AD1636" s="22"/>
      <c r="AE1636" s="22"/>
      <c r="AF1636" s="22"/>
      <c r="AG1636" s="22"/>
      <c r="AH1636" s="22"/>
      <c r="AI1636" s="22"/>
      <c r="AJ1636" s="22"/>
      <c r="AK1636" s="22"/>
      <c r="AL1636" s="22"/>
      <c r="AM1636" s="22"/>
      <c r="AN1636" s="22"/>
      <c r="AO1636" s="22"/>
      <c r="AP1636" s="22"/>
      <c r="AQ1636" s="22"/>
      <c r="AR1636" s="22"/>
      <c r="AS1636" s="22"/>
      <c r="AT1636" s="22"/>
      <c r="AU1636" s="22"/>
      <c r="AV1636" s="22"/>
      <c r="AW1636" s="22"/>
      <c r="AX1636" s="22"/>
    </row>
    <row r="1637" spans="1:50" x14ac:dyDescent="0.35">
      <c r="A1637" s="23"/>
      <c r="B1637" s="23"/>
      <c r="C1637" s="23"/>
      <c r="D1637" s="23"/>
      <c r="E1637" s="23"/>
      <c r="F1637" s="23"/>
      <c r="G1637" s="23"/>
      <c r="H1637" s="23"/>
      <c r="I1637" s="23"/>
      <c r="J1637" s="23"/>
      <c r="K1637" s="23"/>
      <c r="L1637" s="23"/>
      <c r="M1637" s="23"/>
      <c r="N1637" s="23"/>
      <c r="O1637" s="23"/>
      <c r="P1637" s="23"/>
      <c r="Q1637" s="23"/>
      <c r="R1637" s="23"/>
      <c r="S1637" s="23"/>
      <c r="T1637" s="23"/>
      <c r="U1637" s="22"/>
      <c r="V1637" s="22"/>
      <c r="W1637" s="22"/>
      <c r="X1637" s="22"/>
      <c r="Y1637" s="22"/>
      <c r="Z1637" s="22"/>
      <c r="AA1637" s="22"/>
      <c r="AB1637" s="22"/>
      <c r="AC1637" s="22"/>
      <c r="AD1637" s="22"/>
      <c r="AE1637" s="22"/>
      <c r="AF1637" s="22"/>
      <c r="AG1637" s="22"/>
      <c r="AH1637" s="22"/>
      <c r="AI1637" s="22"/>
      <c r="AJ1637" s="22"/>
      <c r="AK1637" s="22"/>
      <c r="AL1637" s="22"/>
      <c r="AM1637" s="22"/>
      <c r="AN1637" s="22"/>
      <c r="AO1637" s="22"/>
      <c r="AP1637" s="22"/>
      <c r="AQ1637" s="22"/>
      <c r="AR1637" s="22"/>
      <c r="AS1637" s="22"/>
      <c r="AT1637" s="22"/>
      <c r="AU1637" s="22"/>
      <c r="AV1637" s="22"/>
      <c r="AW1637" s="22"/>
      <c r="AX1637" s="22"/>
    </row>
    <row r="1638" spans="1:50" x14ac:dyDescent="0.35">
      <c r="A1638" s="23"/>
      <c r="B1638" s="23"/>
      <c r="C1638" s="23"/>
      <c r="D1638" s="23"/>
      <c r="E1638" s="23"/>
      <c r="F1638" s="23"/>
      <c r="G1638" s="23"/>
      <c r="H1638" s="23"/>
      <c r="I1638" s="23"/>
      <c r="J1638" s="23"/>
      <c r="K1638" s="23"/>
      <c r="L1638" s="23"/>
      <c r="M1638" s="23"/>
      <c r="N1638" s="23"/>
      <c r="O1638" s="23"/>
      <c r="P1638" s="23"/>
      <c r="Q1638" s="23"/>
      <c r="R1638" s="23"/>
      <c r="S1638" s="23"/>
      <c r="T1638" s="23"/>
      <c r="U1638" s="22"/>
      <c r="V1638" s="22"/>
      <c r="W1638" s="22"/>
      <c r="X1638" s="22"/>
      <c r="Y1638" s="22"/>
      <c r="Z1638" s="22"/>
      <c r="AA1638" s="22"/>
      <c r="AB1638" s="22"/>
      <c r="AC1638" s="22"/>
      <c r="AD1638" s="22"/>
      <c r="AE1638" s="22"/>
      <c r="AF1638" s="22"/>
      <c r="AG1638" s="22"/>
      <c r="AH1638" s="22"/>
      <c r="AI1638" s="22"/>
      <c r="AJ1638" s="22"/>
      <c r="AK1638" s="22"/>
      <c r="AL1638" s="22"/>
      <c r="AM1638" s="22"/>
      <c r="AN1638" s="22"/>
      <c r="AO1638" s="22"/>
      <c r="AP1638" s="22"/>
      <c r="AQ1638" s="22"/>
      <c r="AR1638" s="22"/>
      <c r="AS1638" s="22"/>
      <c r="AT1638" s="22"/>
      <c r="AU1638" s="22"/>
      <c r="AV1638" s="22"/>
      <c r="AW1638" s="22"/>
      <c r="AX1638" s="22"/>
    </row>
    <row r="1639" spans="1:50" x14ac:dyDescent="0.35">
      <c r="A1639" s="23"/>
      <c r="B1639" s="23"/>
      <c r="C1639" s="23"/>
      <c r="D1639" s="23"/>
      <c r="E1639" s="23"/>
      <c r="F1639" s="23"/>
      <c r="G1639" s="23"/>
      <c r="H1639" s="23"/>
      <c r="I1639" s="23"/>
      <c r="J1639" s="23"/>
      <c r="K1639" s="23"/>
      <c r="L1639" s="23"/>
      <c r="M1639" s="23"/>
      <c r="N1639" s="23"/>
      <c r="O1639" s="23"/>
      <c r="P1639" s="23"/>
      <c r="Q1639" s="23"/>
      <c r="R1639" s="23"/>
      <c r="S1639" s="23"/>
      <c r="T1639" s="23"/>
      <c r="U1639" s="22"/>
      <c r="V1639" s="22"/>
      <c r="W1639" s="22"/>
      <c r="X1639" s="22"/>
      <c r="Y1639" s="22"/>
      <c r="Z1639" s="22"/>
      <c r="AA1639" s="22"/>
      <c r="AB1639" s="22"/>
      <c r="AC1639" s="22"/>
      <c r="AD1639" s="22"/>
      <c r="AE1639" s="22"/>
      <c r="AF1639" s="22"/>
      <c r="AG1639" s="22"/>
      <c r="AH1639" s="22"/>
      <c r="AI1639" s="22"/>
      <c r="AJ1639" s="22"/>
      <c r="AK1639" s="22"/>
      <c r="AL1639" s="22"/>
      <c r="AM1639" s="22"/>
      <c r="AN1639" s="22"/>
      <c r="AO1639" s="22"/>
      <c r="AP1639" s="22"/>
      <c r="AQ1639" s="22"/>
      <c r="AR1639" s="22"/>
      <c r="AS1639" s="22"/>
      <c r="AT1639" s="22"/>
      <c r="AU1639" s="22"/>
      <c r="AV1639" s="22"/>
      <c r="AW1639" s="22"/>
      <c r="AX1639" s="22"/>
    </row>
    <row r="1640" spans="1:50" x14ac:dyDescent="0.35">
      <c r="A1640" s="23"/>
      <c r="B1640" s="23"/>
      <c r="C1640" s="23"/>
      <c r="D1640" s="23"/>
      <c r="E1640" s="23"/>
      <c r="F1640" s="23"/>
      <c r="G1640" s="23"/>
      <c r="H1640" s="23"/>
      <c r="I1640" s="23"/>
      <c r="J1640" s="23"/>
      <c r="K1640" s="23"/>
      <c r="L1640" s="23"/>
      <c r="M1640" s="23"/>
      <c r="N1640" s="23"/>
      <c r="O1640" s="23"/>
      <c r="P1640" s="23"/>
      <c r="Q1640" s="23"/>
      <c r="R1640" s="23"/>
      <c r="S1640" s="23"/>
      <c r="T1640" s="23"/>
      <c r="U1640" s="22"/>
      <c r="V1640" s="22"/>
      <c r="W1640" s="22"/>
      <c r="X1640" s="22"/>
      <c r="Y1640" s="22"/>
      <c r="Z1640" s="22"/>
      <c r="AA1640" s="22"/>
      <c r="AB1640" s="22"/>
      <c r="AC1640" s="22"/>
      <c r="AD1640" s="22"/>
      <c r="AE1640" s="22"/>
      <c r="AF1640" s="22"/>
      <c r="AG1640" s="22"/>
      <c r="AH1640" s="22"/>
      <c r="AI1640" s="22"/>
      <c r="AJ1640" s="22"/>
      <c r="AK1640" s="22"/>
      <c r="AL1640" s="22"/>
      <c r="AM1640" s="22"/>
      <c r="AN1640" s="22"/>
      <c r="AO1640" s="22"/>
      <c r="AP1640" s="22"/>
      <c r="AQ1640" s="22"/>
      <c r="AR1640" s="22"/>
      <c r="AS1640" s="22"/>
      <c r="AT1640" s="22"/>
      <c r="AU1640" s="22"/>
      <c r="AV1640" s="22"/>
      <c r="AW1640" s="22"/>
      <c r="AX1640" s="22"/>
    </row>
    <row r="1641" spans="1:50" x14ac:dyDescent="0.35">
      <c r="A1641" s="23"/>
      <c r="B1641" s="23"/>
      <c r="C1641" s="23"/>
      <c r="D1641" s="23"/>
      <c r="E1641" s="23"/>
      <c r="F1641" s="23"/>
      <c r="G1641" s="23"/>
      <c r="H1641" s="23"/>
      <c r="I1641" s="23"/>
      <c r="J1641" s="23"/>
      <c r="K1641" s="23"/>
      <c r="L1641" s="23"/>
      <c r="M1641" s="23"/>
      <c r="N1641" s="23"/>
      <c r="O1641" s="23"/>
      <c r="P1641" s="23"/>
      <c r="Q1641" s="23"/>
      <c r="R1641" s="23"/>
      <c r="S1641" s="23"/>
      <c r="T1641" s="23"/>
      <c r="U1641" s="22"/>
      <c r="V1641" s="22"/>
      <c r="W1641" s="22"/>
      <c r="X1641" s="22"/>
      <c r="Y1641" s="22"/>
      <c r="Z1641" s="22"/>
      <c r="AA1641" s="22"/>
      <c r="AB1641" s="22"/>
      <c r="AC1641" s="22"/>
      <c r="AD1641" s="22"/>
      <c r="AE1641" s="22"/>
      <c r="AF1641" s="22"/>
      <c r="AG1641" s="22"/>
      <c r="AH1641" s="22"/>
      <c r="AI1641" s="22"/>
      <c r="AJ1641" s="22"/>
      <c r="AK1641" s="22"/>
      <c r="AL1641" s="22"/>
      <c r="AM1641" s="22"/>
      <c r="AN1641" s="22"/>
      <c r="AO1641" s="22"/>
      <c r="AP1641" s="22"/>
      <c r="AQ1641" s="22"/>
      <c r="AR1641" s="22"/>
      <c r="AS1641" s="22"/>
      <c r="AT1641" s="22"/>
      <c r="AU1641" s="22"/>
      <c r="AV1641" s="22"/>
      <c r="AW1641" s="22"/>
      <c r="AX1641" s="22"/>
    </row>
    <row r="1642" spans="1:50" x14ac:dyDescent="0.35">
      <c r="A1642" s="23"/>
      <c r="B1642" s="23"/>
      <c r="C1642" s="23"/>
      <c r="D1642" s="23"/>
      <c r="E1642" s="23"/>
      <c r="F1642" s="23"/>
      <c r="G1642" s="23"/>
      <c r="H1642" s="23"/>
      <c r="I1642" s="23"/>
      <c r="J1642" s="23"/>
      <c r="K1642" s="23"/>
      <c r="L1642" s="23"/>
      <c r="M1642" s="23"/>
      <c r="N1642" s="23"/>
      <c r="O1642" s="23"/>
      <c r="P1642" s="23"/>
      <c r="Q1642" s="23"/>
      <c r="R1642" s="23"/>
      <c r="S1642" s="23"/>
      <c r="T1642" s="23"/>
      <c r="U1642" s="22"/>
      <c r="V1642" s="22"/>
      <c r="W1642" s="22"/>
      <c r="X1642" s="22"/>
      <c r="Y1642" s="22"/>
      <c r="Z1642" s="22"/>
      <c r="AA1642" s="22"/>
      <c r="AB1642" s="22"/>
      <c r="AC1642" s="22"/>
      <c r="AD1642" s="22"/>
      <c r="AE1642" s="22"/>
      <c r="AF1642" s="22"/>
      <c r="AG1642" s="22"/>
      <c r="AH1642" s="22"/>
      <c r="AI1642" s="22"/>
      <c r="AJ1642" s="22"/>
      <c r="AK1642" s="22"/>
      <c r="AL1642" s="22"/>
      <c r="AM1642" s="22"/>
      <c r="AN1642" s="22"/>
      <c r="AO1642" s="22"/>
      <c r="AP1642" s="22"/>
      <c r="AQ1642" s="22"/>
      <c r="AR1642" s="22"/>
      <c r="AS1642" s="22"/>
      <c r="AT1642" s="22"/>
      <c r="AU1642" s="22"/>
      <c r="AV1642" s="22"/>
      <c r="AW1642" s="22"/>
      <c r="AX1642" s="22"/>
    </row>
    <row r="1643" spans="1:50" x14ac:dyDescent="0.35">
      <c r="A1643" s="23"/>
      <c r="B1643" s="23"/>
      <c r="C1643" s="23"/>
      <c r="D1643" s="23"/>
      <c r="E1643" s="23"/>
      <c r="F1643" s="23"/>
      <c r="G1643" s="23"/>
      <c r="H1643" s="23"/>
      <c r="I1643" s="23"/>
      <c r="J1643" s="23"/>
      <c r="K1643" s="23"/>
      <c r="L1643" s="23"/>
      <c r="M1643" s="23"/>
      <c r="N1643" s="23"/>
      <c r="O1643" s="23"/>
      <c r="P1643" s="23"/>
      <c r="Q1643" s="23"/>
      <c r="R1643" s="23"/>
      <c r="S1643" s="23"/>
      <c r="T1643" s="23"/>
      <c r="U1643" s="22"/>
      <c r="V1643" s="22"/>
      <c r="W1643" s="22"/>
      <c r="X1643" s="22"/>
      <c r="Y1643" s="22"/>
      <c r="Z1643" s="22"/>
      <c r="AA1643" s="22"/>
      <c r="AB1643" s="22"/>
      <c r="AC1643" s="22"/>
      <c r="AD1643" s="22"/>
      <c r="AE1643" s="22"/>
      <c r="AF1643" s="22"/>
      <c r="AG1643" s="22"/>
      <c r="AH1643" s="22"/>
      <c r="AI1643" s="22"/>
      <c r="AJ1643" s="22"/>
      <c r="AK1643" s="22"/>
      <c r="AL1643" s="22"/>
      <c r="AM1643" s="22"/>
      <c r="AN1643" s="22"/>
      <c r="AO1643" s="22"/>
      <c r="AP1643" s="22"/>
      <c r="AQ1643" s="22"/>
      <c r="AR1643" s="22"/>
      <c r="AS1643" s="22"/>
      <c r="AT1643" s="22"/>
      <c r="AU1643" s="22"/>
      <c r="AV1643" s="22"/>
      <c r="AW1643" s="22"/>
      <c r="AX1643" s="22"/>
    </row>
    <row r="1644" spans="1:50" x14ac:dyDescent="0.35">
      <c r="A1644" s="23"/>
      <c r="B1644" s="23"/>
      <c r="C1644" s="23"/>
      <c r="D1644" s="23"/>
      <c r="E1644" s="23"/>
      <c r="F1644" s="23"/>
      <c r="G1644" s="23"/>
      <c r="H1644" s="23"/>
      <c r="I1644" s="23"/>
      <c r="J1644" s="23"/>
      <c r="K1644" s="23"/>
      <c r="L1644" s="23"/>
      <c r="M1644" s="23"/>
      <c r="N1644" s="23"/>
      <c r="O1644" s="23"/>
      <c r="P1644" s="23"/>
      <c r="Q1644" s="23"/>
      <c r="R1644" s="23"/>
      <c r="S1644" s="23"/>
      <c r="T1644" s="23"/>
      <c r="U1644" s="22"/>
      <c r="V1644" s="22"/>
      <c r="W1644" s="22"/>
      <c r="X1644" s="22"/>
      <c r="Y1644" s="22"/>
      <c r="Z1644" s="22"/>
      <c r="AA1644" s="22"/>
      <c r="AB1644" s="22"/>
      <c r="AC1644" s="22"/>
      <c r="AD1644" s="22"/>
      <c r="AE1644" s="22"/>
      <c r="AF1644" s="22"/>
      <c r="AG1644" s="22"/>
      <c r="AH1644" s="22"/>
      <c r="AI1644" s="22"/>
      <c r="AJ1644" s="22"/>
      <c r="AK1644" s="22"/>
      <c r="AL1644" s="22"/>
      <c r="AM1644" s="22"/>
      <c r="AN1644" s="22"/>
      <c r="AO1644" s="22"/>
      <c r="AP1644" s="22"/>
      <c r="AQ1644" s="22"/>
      <c r="AR1644" s="22"/>
      <c r="AS1644" s="22"/>
      <c r="AT1644" s="22"/>
      <c r="AU1644" s="22"/>
      <c r="AV1644" s="22"/>
      <c r="AW1644" s="22"/>
      <c r="AX1644" s="22"/>
    </row>
    <row r="1645" spans="1:50" x14ac:dyDescent="0.35">
      <c r="A1645" s="23"/>
      <c r="B1645" s="23"/>
      <c r="C1645" s="23"/>
      <c r="D1645" s="23"/>
      <c r="E1645" s="23"/>
      <c r="F1645" s="23"/>
      <c r="G1645" s="23"/>
      <c r="H1645" s="23"/>
      <c r="I1645" s="23"/>
      <c r="J1645" s="23"/>
      <c r="K1645" s="23"/>
      <c r="L1645" s="23"/>
      <c r="M1645" s="23"/>
      <c r="N1645" s="23"/>
      <c r="O1645" s="23"/>
      <c r="P1645" s="23"/>
      <c r="Q1645" s="23"/>
      <c r="R1645" s="23"/>
      <c r="S1645" s="23"/>
      <c r="T1645" s="23"/>
      <c r="U1645" s="22"/>
      <c r="V1645" s="22"/>
      <c r="W1645" s="22"/>
      <c r="X1645" s="22"/>
      <c r="Y1645" s="22"/>
      <c r="Z1645" s="22"/>
      <c r="AA1645" s="22"/>
      <c r="AB1645" s="22"/>
      <c r="AC1645" s="22"/>
      <c r="AD1645" s="22"/>
      <c r="AE1645" s="22"/>
      <c r="AF1645" s="22"/>
      <c r="AG1645" s="22"/>
      <c r="AH1645" s="22"/>
      <c r="AI1645" s="22"/>
      <c r="AJ1645" s="22"/>
      <c r="AK1645" s="22"/>
      <c r="AL1645" s="22"/>
      <c r="AM1645" s="22"/>
      <c r="AN1645" s="22"/>
      <c r="AO1645" s="22"/>
      <c r="AP1645" s="22"/>
      <c r="AQ1645" s="22"/>
      <c r="AR1645" s="22"/>
      <c r="AS1645" s="22"/>
      <c r="AT1645" s="22"/>
      <c r="AU1645" s="22"/>
      <c r="AV1645" s="22"/>
      <c r="AW1645" s="22"/>
      <c r="AX1645" s="22"/>
    </row>
    <row r="1646" spans="1:50" x14ac:dyDescent="0.35">
      <c r="A1646" s="23"/>
      <c r="B1646" s="23"/>
      <c r="C1646" s="23"/>
      <c r="D1646" s="23"/>
      <c r="E1646" s="23"/>
      <c r="F1646" s="23"/>
      <c r="G1646" s="23"/>
      <c r="H1646" s="23"/>
      <c r="I1646" s="23"/>
      <c r="J1646" s="23"/>
      <c r="K1646" s="23"/>
      <c r="L1646" s="23"/>
      <c r="M1646" s="23"/>
      <c r="N1646" s="23"/>
      <c r="O1646" s="23"/>
      <c r="P1646" s="23"/>
      <c r="Q1646" s="23"/>
      <c r="R1646" s="23"/>
      <c r="S1646" s="23"/>
      <c r="T1646" s="23"/>
      <c r="U1646" s="22"/>
      <c r="V1646" s="22"/>
      <c r="W1646" s="22"/>
      <c r="X1646" s="22"/>
      <c r="Y1646" s="22"/>
      <c r="Z1646" s="22"/>
      <c r="AA1646" s="22"/>
      <c r="AB1646" s="22"/>
      <c r="AC1646" s="22"/>
      <c r="AD1646" s="22"/>
      <c r="AE1646" s="22"/>
      <c r="AF1646" s="22"/>
      <c r="AG1646" s="22"/>
      <c r="AH1646" s="22"/>
      <c r="AI1646" s="22"/>
      <c r="AJ1646" s="22"/>
      <c r="AK1646" s="22"/>
      <c r="AL1646" s="22"/>
      <c r="AM1646" s="22"/>
      <c r="AN1646" s="22"/>
      <c r="AO1646" s="22"/>
      <c r="AP1646" s="22"/>
      <c r="AQ1646" s="22"/>
      <c r="AR1646" s="22"/>
      <c r="AS1646" s="22"/>
      <c r="AT1646" s="22"/>
      <c r="AU1646" s="22"/>
      <c r="AV1646" s="22"/>
      <c r="AW1646" s="22"/>
      <c r="AX1646" s="22"/>
    </row>
    <row r="1647" spans="1:50" x14ac:dyDescent="0.35">
      <c r="A1647" s="23"/>
      <c r="B1647" s="23"/>
      <c r="C1647" s="23"/>
      <c r="D1647" s="23"/>
      <c r="E1647" s="23"/>
      <c r="F1647" s="23"/>
      <c r="G1647" s="23"/>
      <c r="H1647" s="23"/>
      <c r="I1647" s="23"/>
      <c r="J1647" s="23"/>
      <c r="K1647" s="23"/>
      <c r="L1647" s="23"/>
      <c r="M1647" s="23"/>
      <c r="N1647" s="23"/>
      <c r="O1647" s="23"/>
      <c r="P1647" s="23"/>
      <c r="Q1647" s="23"/>
      <c r="R1647" s="23"/>
      <c r="S1647" s="23"/>
      <c r="T1647" s="23"/>
      <c r="U1647" s="22"/>
      <c r="V1647" s="22"/>
      <c r="W1647" s="22"/>
      <c r="X1647" s="22"/>
      <c r="Y1647" s="22"/>
      <c r="Z1647" s="22"/>
      <c r="AA1647" s="22"/>
      <c r="AB1647" s="22"/>
      <c r="AC1647" s="22"/>
      <c r="AD1647" s="22"/>
      <c r="AE1647" s="22"/>
      <c r="AF1647" s="22"/>
      <c r="AG1647" s="22"/>
      <c r="AH1647" s="22"/>
      <c r="AI1647" s="22"/>
      <c r="AJ1647" s="22"/>
      <c r="AK1647" s="22"/>
      <c r="AL1647" s="22"/>
      <c r="AM1647" s="22"/>
      <c r="AN1647" s="22"/>
      <c r="AO1647" s="22"/>
      <c r="AP1647" s="22"/>
      <c r="AQ1647" s="22"/>
      <c r="AR1647" s="22"/>
      <c r="AS1647" s="22"/>
      <c r="AT1647" s="22"/>
      <c r="AU1647" s="22"/>
      <c r="AV1647" s="22"/>
      <c r="AW1647" s="22"/>
      <c r="AX1647" s="22"/>
    </row>
    <row r="1648" spans="1:50" x14ac:dyDescent="0.35">
      <c r="A1648" s="23"/>
      <c r="B1648" s="23"/>
      <c r="C1648" s="23"/>
      <c r="D1648" s="23"/>
      <c r="E1648" s="23"/>
      <c r="F1648" s="23"/>
      <c r="G1648" s="23"/>
      <c r="H1648" s="23"/>
      <c r="I1648" s="23"/>
      <c r="J1648" s="23"/>
      <c r="K1648" s="23"/>
      <c r="L1648" s="23"/>
      <c r="M1648" s="23"/>
      <c r="N1648" s="23"/>
      <c r="O1648" s="23"/>
      <c r="P1648" s="23"/>
      <c r="Q1648" s="23"/>
      <c r="R1648" s="23"/>
      <c r="S1648" s="23"/>
      <c r="T1648" s="23"/>
      <c r="U1648" s="22"/>
      <c r="V1648" s="22"/>
      <c r="W1648" s="22"/>
      <c r="X1648" s="22"/>
      <c r="Y1648" s="22"/>
      <c r="Z1648" s="22"/>
      <c r="AA1648" s="22"/>
      <c r="AB1648" s="22"/>
      <c r="AC1648" s="22"/>
      <c r="AD1648" s="22"/>
      <c r="AE1648" s="22"/>
      <c r="AF1648" s="22"/>
      <c r="AG1648" s="22"/>
      <c r="AH1648" s="22"/>
      <c r="AI1648" s="22"/>
      <c r="AJ1648" s="22"/>
      <c r="AK1648" s="22"/>
      <c r="AL1648" s="22"/>
      <c r="AM1648" s="22"/>
      <c r="AN1648" s="22"/>
      <c r="AO1648" s="22"/>
      <c r="AP1648" s="22"/>
      <c r="AQ1648" s="22"/>
      <c r="AR1648" s="22"/>
      <c r="AS1648" s="22"/>
      <c r="AT1648" s="22"/>
      <c r="AU1648" s="22"/>
      <c r="AV1648" s="22"/>
      <c r="AW1648" s="22"/>
      <c r="AX1648" s="22"/>
    </row>
    <row r="1649" spans="1:50" x14ac:dyDescent="0.35">
      <c r="A1649" s="23"/>
      <c r="B1649" s="23"/>
      <c r="C1649" s="23"/>
      <c r="D1649" s="23"/>
      <c r="E1649" s="23"/>
      <c r="F1649" s="23"/>
      <c r="G1649" s="23"/>
      <c r="H1649" s="23"/>
      <c r="I1649" s="23"/>
      <c r="J1649" s="23"/>
      <c r="K1649" s="23"/>
      <c r="L1649" s="23"/>
      <c r="M1649" s="23"/>
      <c r="N1649" s="23"/>
      <c r="O1649" s="23"/>
      <c r="P1649" s="23"/>
      <c r="Q1649" s="23"/>
      <c r="R1649" s="23"/>
      <c r="S1649" s="23"/>
      <c r="T1649" s="23"/>
      <c r="U1649" s="22"/>
      <c r="V1649" s="22"/>
      <c r="W1649" s="22"/>
      <c r="X1649" s="22"/>
      <c r="Y1649" s="22"/>
      <c r="Z1649" s="22"/>
      <c r="AA1649" s="22"/>
      <c r="AB1649" s="22"/>
      <c r="AC1649" s="22"/>
      <c r="AD1649" s="22"/>
      <c r="AE1649" s="22"/>
      <c r="AF1649" s="22"/>
      <c r="AG1649" s="22"/>
      <c r="AH1649" s="22"/>
      <c r="AI1649" s="22"/>
      <c r="AJ1649" s="22"/>
      <c r="AK1649" s="22"/>
      <c r="AL1649" s="22"/>
      <c r="AM1649" s="22"/>
      <c r="AN1649" s="22"/>
      <c r="AO1649" s="22"/>
      <c r="AP1649" s="22"/>
      <c r="AQ1649" s="22"/>
      <c r="AR1649" s="22"/>
      <c r="AS1649" s="22"/>
      <c r="AT1649" s="22"/>
      <c r="AU1649" s="22"/>
      <c r="AV1649" s="22"/>
      <c r="AW1649" s="22"/>
      <c r="AX1649" s="22"/>
    </row>
    <row r="1650" spans="1:50" x14ac:dyDescent="0.35">
      <c r="A1650" s="23"/>
      <c r="B1650" s="23"/>
      <c r="C1650" s="23"/>
      <c r="D1650" s="23"/>
      <c r="E1650" s="23"/>
      <c r="F1650" s="23"/>
      <c r="G1650" s="23"/>
      <c r="H1650" s="23"/>
      <c r="I1650" s="23"/>
      <c r="J1650" s="23"/>
      <c r="K1650" s="23"/>
      <c r="L1650" s="23"/>
      <c r="M1650" s="23"/>
      <c r="N1650" s="23"/>
      <c r="O1650" s="23"/>
      <c r="P1650" s="23"/>
      <c r="Q1650" s="23"/>
      <c r="R1650" s="23"/>
      <c r="S1650" s="23"/>
      <c r="T1650" s="23"/>
      <c r="U1650" s="22"/>
      <c r="V1650" s="22"/>
      <c r="W1650" s="22"/>
      <c r="X1650" s="22"/>
      <c r="Y1650" s="22"/>
      <c r="Z1650" s="22"/>
      <c r="AA1650" s="22"/>
      <c r="AB1650" s="22"/>
      <c r="AC1650" s="22"/>
      <c r="AD1650" s="22"/>
      <c r="AE1650" s="22"/>
      <c r="AF1650" s="22"/>
      <c r="AG1650" s="22"/>
      <c r="AH1650" s="22"/>
      <c r="AI1650" s="22"/>
      <c r="AJ1650" s="22"/>
      <c r="AK1650" s="22"/>
      <c r="AL1650" s="22"/>
      <c r="AM1650" s="22"/>
      <c r="AN1650" s="22"/>
      <c r="AO1650" s="22"/>
      <c r="AP1650" s="22"/>
      <c r="AQ1650" s="22"/>
      <c r="AR1650" s="22"/>
      <c r="AS1650" s="22"/>
      <c r="AT1650" s="22"/>
      <c r="AU1650" s="22"/>
      <c r="AV1650" s="22"/>
      <c r="AW1650" s="22"/>
      <c r="AX1650" s="22"/>
    </row>
    <row r="1651" spans="1:50" x14ac:dyDescent="0.35">
      <c r="A1651" s="23"/>
      <c r="B1651" s="23"/>
      <c r="C1651" s="23"/>
      <c r="D1651" s="23"/>
      <c r="E1651" s="23"/>
      <c r="F1651" s="23"/>
      <c r="G1651" s="23"/>
      <c r="H1651" s="23"/>
      <c r="I1651" s="23"/>
      <c r="J1651" s="23"/>
      <c r="K1651" s="23"/>
      <c r="L1651" s="23"/>
      <c r="M1651" s="23"/>
      <c r="N1651" s="23"/>
      <c r="O1651" s="23"/>
      <c r="P1651" s="23"/>
      <c r="Q1651" s="23"/>
      <c r="R1651" s="23"/>
      <c r="S1651" s="23"/>
      <c r="T1651" s="23"/>
      <c r="U1651" s="22"/>
      <c r="V1651" s="22"/>
      <c r="W1651" s="22"/>
      <c r="X1651" s="22"/>
      <c r="Y1651" s="22"/>
      <c r="Z1651" s="22"/>
      <c r="AA1651" s="22"/>
      <c r="AB1651" s="22"/>
      <c r="AC1651" s="22"/>
      <c r="AD1651" s="22"/>
      <c r="AE1651" s="22"/>
      <c r="AF1651" s="22"/>
      <c r="AG1651" s="22"/>
      <c r="AH1651" s="22"/>
      <c r="AI1651" s="22"/>
      <c r="AJ1651" s="22"/>
      <c r="AK1651" s="22"/>
      <c r="AL1651" s="22"/>
      <c r="AM1651" s="22"/>
      <c r="AN1651" s="22"/>
      <c r="AO1651" s="22"/>
      <c r="AP1651" s="22"/>
      <c r="AQ1651" s="22"/>
      <c r="AR1651" s="22"/>
      <c r="AS1651" s="22"/>
      <c r="AT1651" s="22"/>
      <c r="AU1651" s="22"/>
      <c r="AV1651" s="22"/>
      <c r="AW1651" s="22"/>
      <c r="AX1651" s="22"/>
    </row>
    <row r="1652" spans="1:50" x14ac:dyDescent="0.35">
      <c r="A1652" s="23"/>
      <c r="B1652" s="23"/>
      <c r="C1652" s="23"/>
      <c r="D1652" s="23"/>
      <c r="E1652" s="23"/>
      <c r="F1652" s="23"/>
      <c r="G1652" s="23"/>
      <c r="H1652" s="23"/>
      <c r="I1652" s="23"/>
      <c r="J1652" s="23"/>
      <c r="K1652" s="23"/>
      <c r="L1652" s="23"/>
      <c r="M1652" s="23"/>
      <c r="N1652" s="23"/>
      <c r="O1652" s="23"/>
      <c r="P1652" s="23"/>
      <c r="Q1652" s="23"/>
      <c r="R1652" s="23"/>
      <c r="S1652" s="23"/>
      <c r="T1652" s="23"/>
      <c r="U1652" s="22"/>
      <c r="V1652" s="22"/>
      <c r="W1652" s="22"/>
      <c r="X1652" s="22"/>
      <c r="Y1652" s="22"/>
      <c r="Z1652" s="22"/>
      <c r="AA1652" s="22"/>
      <c r="AB1652" s="22"/>
      <c r="AC1652" s="22"/>
      <c r="AD1652" s="22"/>
      <c r="AE1652" s="22"/>
      <c r="AF1652" s="22"/>
      <c r="AG1652" s="22"/>
      <c r="AH1652" s="22"/>
      <c r="AI1652" s="22"/>
      <c r="AJ1652" s="22"/>
      <c r="AK1652" s="22"/>
      <c r="AL1652" s="22"/>
      <c r="AM1652" s="22"/>
      <c r="AN1652" s="22"/>
      <c r="AO1652" s="22"/>
      <c r="AP1652" s="22"/>
      <c r="AQ1652" s="22"/>
      <c r="AR1652" s="22"/>
      <c r="AS1652" s="22"/>
      <c r="AT1652" s="22"/>
      <c r="AU1652" s="22"/>
      <c r="AV1652" s="22"/>
      <c r="AW1652" s="22"/>
      <c r="AX1652" s="22"/>
    </row>
    <row r="1653" spans="1:50" x14ac:dyDescent="0.35">
      <c r="A1653" s="23"/>
      <c r="B1653" s="23"/>
      <c r="C1653" s="23"/>
      <c r="D1653" s="23"/>
      <c r="E1653" s="23"/>
      <c r="F1653" s="23"/>
      <c r="G1653" s="23"/>
      <c r="H1653" s="23"/>
      <c r="I1653" s="23"/>
      <c r="J1653" s="23"/>
      <c r="K1653" s="23"/>
      <c r="L1653" s="23"/>
      <c r="M1653" s="23"/>
      <c r="N1653" s="23"/>
      <c r="O1653" s="23"/>
      <c r="P1653" s="23"/>
      <c r="Q1653" s="23"/>
      <c r="R1653" s="23"/>
      <c r="S1653" s="23"/>
      <c r="T1653" s="23"/>
      <c r="U1653" s="22"/>
      <c r="V1653" s="22"/>
      <c r="W1653" s="22"/>
      <c r="X1653" s="22"/>
      <c r="Y1653" s="22"/>
      <c r="Z1653" s="22"/>
      <c r="AA1653" s="22"/>
      <c r="AB1653" s="22"/>
      <c r="AC1653" s="22"/>
      <c r="AD1653" s="22"/>
      <c r="AE1653" s="22"/>
      <c r="AF1653" s="22"/>
      <c r="AG1653" s="22"/>
      <c r="AH1653" s="22"/>
      <c r="AI1653" s="22"/>
      <c r="AJ1653" s="22"/>
      <c r="AK1653" s="22"/>
      <c r="AL1653" s="22"/>
      <c r="AM1653" s="22"/>
      <c r="AN1653" s="22"/>
      <c r="AO1653" s="22"/>
      <c r="AP1653" s="22"/>
      <c r="AQ1653" s="22"/>
      <c r="AR1653" s="22"/>
      <c r="AS1653" s="22"/>
      <c r="AT1653" s="22"/>
      <c r="AU1653" s="22"/>
      <c r="AV1653" s="22"/>
      <c r="AW1653" s="22"/>
      <c r="AX1653" s="22"/>
    </row>
    <row r="1654" spans="1:50" x14ac:dyDescent="0.35">
      <c r="A1654" s="23"/>
      <c r="B1654" s="23"/>
      <c r="C1654" s="23"/>
      <c r="D1654" s="23"/>
      <c r="E1654" s="23"/>
      <c r="F1654" s="23"/>
      <c r="G1654" s="23"/>
      <c r="H1654" s="23"/>
      <c r="I1654" s="23"/>
      <c r="J1654" s="23"/>
      <c r="K1654" s="23"/>
      <c r="L1654" s="23"/>
      <c r="M1654" s="23"/>
      <c r="N1654" s="23"/>
      <c r="O1654" s="23"/>
      <c r="P1654" s="23"/>
      <c r="Q1654" s="23"/>
      <c r="R1654" s="23"/>
      <c r="S1654" s="23"/>
      <c r="T1654" s="23"/>
      <c r="U1654" s="22"/>
      <c r="V1654" s="22"/>
      <c r="W1654" s="22"/>
      <c r="X1654" s="22"/>
      <c r="Y1654" s="22"/>
      <c r="Z1654" s="22"/>
      <c r="AA1654" s="22"/>
      <c r="AB1654" s="22"/>
      <c r="AC1654" s="22"/>
      <c r="AD1654" s="22"/>
      <c r="AE1654" s="22"/>
      <c r="AF1654" s="22"/>
      <c r="AG1654" s="22"/>
      <c r="AH1654" s="22"/>
      <c r="AI1654" s="22"/>
      <c r="AJ1654" s="22"/>
      <c r="AK1654" s="22"/>
      <c r="AL1654" s="22"/>
      <c r="AM1654" s="22"/>
      <c r="AN1654" s="22"/>
      <c r="AO1654" s="22"/>
      <c r="AP1654" s="22"/>
      <c r="AQ1654" s="22"/>
      <c r="AR1654" s="22"/>
      <c r="AS1654" s="22"/>
      <c r="AT1654" s="22"/>
      <c r="AU1654" s="22"/>
      <c r="AV1654" s="22"/>
      <c r="AW1654" s="22"/>
      <c r="AX1654" s="22"/>
    </row>
    <row r="1655" spans="1:50" x14ac:dyDescent="0.35">
      <c r="A1655" s="23"/>
      <c r="B1655" s="23"/>
      <c r="C1655" s="23"/>
      <c r="D1655" s="23"/>
      <c r="E1655" s="23"/>
      <c r="F1655" s="23"/>
      <c r="G1655" s="23"/>
      <c r="H1655" s="23"/>
      <c r="I1655" s="23"/>
      <c r="J1655" s="23"/>
      <c r="K1655" s="23"/>
      <c r="L1655" s="23"/>
      <c r="M1655" s="23"/>
      <c r="N1655" s="23"/>
      <c r="O1655" s="23"/>
      <c r="P1655" s="23"/>
      <c r="Q1655" s="23"/>
      <c r="R1655" s="23"/>
      <c r="S1655" s="23"/>
      <c r="T1655" s="23"/>
      <c r="U1655" s="22"/>
      <c r="V1655" s="22"/>
      <c r="W1655" s="22"/>
      <c r="X1655" s="22"/>
      <c r="Y1655" s="22"/>
      <c r="Z1655" s="22"/>
      <c r="AA1655" s="22"/>
      <c r="AB1655" s="22"/>
      <c r="AC1655" s="22"/>
      <c r="AD1655" s="22"/>
      <c r="AE1655" s="22"/>
      <c r="AF1655" s="22"/>
      <c r="AG1655" s="22"/>
      <c r="AH1655" s="22"/>
      <c r="AI1655" s="22"/>
      <c r="AJ1655" s="22"/>
      <c r="AK1655" s="22"/>
      <c r="AL1655" s="22"/>
      <c r="AM1655" s="22"/>
      <c r="AN1655" s="22"/>
      <c r="AO1655" s="22"/>
      <c r="AP1655" s="22"/>
      <c r="AQ1655" s="22"/>
      <c r="AR1655" s="22"/>
      <c r="AS1655" s="22"/>
      <c r="AT1655" s="22"/>
      <c r="AU1655" s="22"/>
      <c r="AV1655" s="22"/>
      <c r="AW1655" s="22"/>
      <c r="AX1655" s="22"/>
    </row>
    <row r="1656" spans="1:50" x14ac:dyDescent="0.35">
      <c r="A1656" s="23"/>
      <c r="B1656" s="23"/>
      <c r="C1656" s="23"/>
      <c r="D1656" s="23"/>
      <c r="E1656" s="23"/>
      <c r="F1656" s="23"/>
      <c r="G1656" s="23"/>
      <c r="H1656" s="23"/>
      <c r="I1656" s="23"/>
      <c r="J1656" s="23"/>
      <c r="K1656" s="23"/>
      <c r="L1656" s="23"/>
      <c r="M1656" s="23"/>
      <c r="N1656" s="23"/>
      <c r="O1656" s="23"/>
      <c r="P1656" s="23"/>
      <c r="Q1656" s="23"/>
      <c r="R1656" s="23"/>
      <c r="S1656" s="23"/>
      <c r="T1656" s="23"/>
      <c r="U1656" s="22"/>
      <c r="V1656" s="22"/>
      <c r="W1656" s="22"/>
      <c r="X1656" s="22"/>
      <c r="Y1656" s="22"/>
      <c r="Z1656" s="22"/>
      <c r="AA1656" s="22"/>
      <c r="AB1656" s="22"/>
      <c r="AC1656" s="22"/>
      <c r="AD1656" s="22"/>
      <c r="AE1656" s="22"/>
      <c r="AF1656" s="22"/>
      <c r="AG1656" s="22"/>
      <c r="AH1656" s="22"/>
      <c r="AI1656" s="22"/>
      <c r="AJ1656" s="22"/>
      <c r="AK1656" s="22"/>
      <c r="AL1656" s="22"/>
      <c r="AM1656" s="22"/>
      <c r="AN1656" s="22"/>
      <c r="AO1656" s="22"/>
      <c r="AP1656" s="22"/>
      <c r="AQ1656" s="22"/>
      <c r="AR1656" s="22"/>
      <c r="AS1656" s="22"/>
      <c r="AT1656" s="22"/>
      <c r="AU1656" s="22"/>
      <c r="AV1656" s="22"/>
      <c r="AW1656" s="22"/>
      <c r="AX1656" s="22"/>
    </row>
    <row r="1657" spans="1:50" x14ac:dyDescent="0.35">
      <c r="A1657" s="23"/>
      <c r="B1657" s="23"/>
      <c r="C1657" s="23"/>
      <c r="D1657" s="23"/>
      <c r="E1657" s="23"/>
      <c r="F1657" s="23"/>
      <c r="G1657" s="23"/>
      <c r="H1657" s="23"/>
      <c r="I1657" s="23"/>
      <c r="J1657" s="23"/>
      <c r="K1657" s="23"/>
      <c r="L1657" s="23"/>
      <c r="M1657" s="23"/>
      <c r="N1657" s="23"/>
      <c r="O1657" s="23"/>
      <c r="P1657" s="23"/>
      <c r="Q1657" s="23"/>
      <c r="R1657" s="23"/>
      <c r="S1657" s="23"/>
      <c r="T1657" s="23"/>
      <c r="U1657" s="22"/>
      <c r="V1657" s="22"/>
      <c r="W1657" s="22"/>
      <c r="X1657" s="22"/>
      <c r="Y1657" s="22"/>
      <c r="Z1657" s="22"/>
      <c r="AA1657" s="22"/>
      <c r="AB1657" s="22"/>
      <c r="AC1657" s="22"/>
      <c r="AD1657" s="22"/>
      <c r="AE1657" s="22"/>
      <c r="AF1657" s="22"/>
      <c r="AG1657" s="22"/>
      <c r="AH1657" s="22"/>
      <c r="AI1657" s="22"/>
      <c r="AJ1657" s="22"/>
      <c r="AK1657" s="22"/>
      <c r="AL1657" s="22"/>
      <c r="AM1657" s="22"/>
      <c r="AN1657" s="22"/>
      <c r="AO1657" s="22"/>
      <c r="AP1657" s="22"/>
      <c r="AQ1657" s="22"/>
      <c r="AR1657" s="22"/>
      <c r="AS1657" s="22"/>
      <c r="AT1657" s="22"/>
      <c r="AU1657" s="22"/>
      <c r="AV1657" s="22"/>
      <c r="AW1657" s="22"/>
      <c r="AX1657" s="22"/>
    </row>
    <row r="1658" spans="1:50" x14ac:dyDescent="0.35">
      <c r="A1658" s="23"/>
      <c r="B1658" s="23"/>
      <c r="C1658" s="23"/>
      <c r="D1658" s="23"/>
      <c r="E1658" s="23"/>
      <c r="F1658" s="23"/>
      <c r="G1658" s="23"/>
      <c r="H1658" s="23"/>
      <c r="I1658" s="23"/>
      <c r="J1658" s="23"/>
      <c r="K1658" s="23"/>
      <c r="L1658" s="23"/>
      <c r="M1658" s="23"/>
      <c r="N1658" s="23"/>
      <c r="O1658" s="23"/>
      <c r="P1658" s="23"/>
      <c r="Q1658" s="23"/>
      <c r="R1658" s="23"/>
      <c r="S1658" s="23"/>
      <c r="T1658" s="23"/>
      <c r="U1658" s="22"/>
      <c r="V1658" s="22"/>
      <c r="W1658" s="22"/>
      <c r="X1658" s="22"/>
      <c r="Y1658" s="22"/>
      <c r="Z1658" s="22"/>
      <c r="AA1658" s="22"/>
      <c r="AB1658" s="22"/>
      <c r="AC1658" s="22"/>
      <c r="AD1658" s="22"/>
      <c r="AE1658" s="22"/>
      <c r="AF1658" s="22"/>
      <c r="AG1658" s="22"/>
      <c r="AH1658" s="22"/>
      <c r="AI1658" s="22"/>
      <c r="AJ1658" s="22"/>
      <c r="AK1658" s="22"/>
      <c r="AL1658" s="22"/>
      <c r="AM1658" s="22"/>
      <c r="AN1658" s="22"/>
      <c r="AO1658" s="22"/>
      <c r="AP1658" s="22"/>
      <c r="AQ1658" s="22"/>
      <c r="AR1658" s="22"/>
      <c r="AS1658" s="22"/>
      <c r="AT1658" s="22"/>
      <c r="AU1658" s="22"/>
      <c r="AV1658" s="22"/>
      <c r="AW1658" s="22"/>
      <c r="AX1658" s="22"/>
    </row>
    <row r="1659" spans="1:50" x14ac:dyDescent="0.35">
      <c r="A1659" s="23"/>
      <c r="B1659" s="23"/>
      <c r="C1659" s="23"/>
      <c r="D1659" s="23"/>
      <c r="E1659" s="23"/>
      <c r="F1659" s="23"/>
      <c r="G1659" s="23"/>
      <c r="H1659" s="23"/>
      <c r="I1659" s="23"/>
      <c r="J1659" s="23"/>
      <c r="K1659" s="23"/>
      <c r="L1659" s="23"/>
      <c r="M1659" s="23"/>
      <c r="N1659" s="23"/>
      <c r="O1659" s="23"/>
      <c r="P1659" s="23"/>
      <c r="Q1659" s="23"/>
      <c r="R1659" s="23"/>
      <c r="S1659" s="23"/>
      <c r="T1659" s="23"/>
      <c r="U1659" s="22"/>
      <c r="V1659" s="22"/>
      <c r="W1659" s="22"/>
      <c r="X1659" s="22"/>
      <c r="Y1659" s="22"/>
      <c r="Z1659" s="22"/>
      <c r="AA1659" s="22"/>
      <c r="AB1659" s="22"/>
      <c r="AC1659" s="22"/>
      <c r="AD1659" s="22"/>
      <c r="AE1659" s="22"/>
      <c r="AF1659" s="22"/>
      <c r="AG1659" s="22"/>
      <c r="AH1659" s="22"/>
      <c r="AI1659" s="22"/>
      <c r="AJ1659" s="22"/>
      <c r="AK1659" s="22"/>
      <c r="AL1659" s="22"/>
      <c r="AM1659" s="22"/>
      <c r="AN1659" s="22"/>
      <c r="AO1659" s="22"/>
      <c r="AP1659" s="22"/>
      <c r="AQ1659" s="22"/>
      <c r="AR1659" s="22"/>
      <c r="AS1659" s="22"/>
      <c r="AT1659" s="22"/>
      <c r="AU1659" s="22"/>
      <c r="AV1659" s="22"/>
      <c r="AW1659" s="22"/>
      <c r="AX1659" s="22"/>
    </row>
    <row r="1660" spans="1:50" x14ac:dyDescent="0.35">
      <c r="A1660" s="23"/>
      <c r="B1660" s="23"/>
      <c r="C1660" s="23"/>
      <c r="D1660" s="23"/>
      <c r="E1660" s="23"/>
      <c r="F1660" s="23"/>
      <c r="G1660" s="23"/>
      <c r="H1660" s="23"/>
      <c r="I1660" s="23"/>
      <c r="J1660" s="23"/>
      <c r="K1660" s="23"/>
      <c r="L1660" s="23"/>
      <c r="M1660" s="23"/>
      <c r="N1660" s="23"/>
      <c r="O1660" s="23"/>
      <c r="P1660" s="23"/>
      <c r="Q1660" s="23"/>
      <c r="R1660" s="23"/>
      <c r="S1660" s="23"/>
      <c r="T1660" s="23"/>
      <c r="U1660" s="22"/>
      <c r="V1660" s="22"/>
      <c r="W1660" s="22"/>
      <c r="X1660" s="22"/>
      <c r="Y1660" s="22"/>
      <c r="Z1660" s="22"/>
      <c r="AA1660" s="22"/>
      <c r="AB1660" s="22"/>
      <c r="AC1660" s="22"/>
      <c r="AD1660" s="22"/>
      <c r="AE1660" s="22"/>
      <c r="AF1660" s="22"/>
      <c r="AG1660" s="22"/>
      <c r="AH1660" s="22"/>
      <c r="AI1660" s="22"/>
      <c r="AJ1660" s="22"/>
      <c r="AK1660" s="22"/>
      <c r="AL1660" s="22"/>
      <c r="AM1660" s="22"/>
      <c r="AN1660" s="22"/>
      <c r="AO1660" s="22"/>
      <c r="AP1660" s="22"/>
      <c r="AQ1660" s="22"/>
      <c r="AR1660" s="22"/>
      <c r="AS1660" s="22"/>
      <c r="AT1660" s="22"/>
      <c r="AU1660" s="22"/>
      <c r="AV1660" s="22"/>
      <c r="AW1660" s="22"/>
      <c r="AX1660" s="22"/>
    </row>
    <row r="1661" spans="1:50" x14ac:dyDescent="0.35">
      <c r="A1661" s="23"/>
      <c r="B1661" s="23"/>
      <c r="C1661" s="23"/>
      <c r="D1661" s="23"/>
      <c r="E1661" s="23"/>
      <c r="F1661" s="23"/>
      <c r="G1661" s="23"/>
      <c r="H1661" s="23"/>
      <c r="I1661" s="23"/>
      <c r="J1661" s="23"/>
      <c r="K1661" s="23"/>
      <c r="L1661" s="23"/>
      <c r="M1661" s="23"/>
      <c r="N1661" s="23"/>
      <c r="O1661" s="23"/>
      <c r="P1661" s="23"/>
      <c r="Q1661" s="23"/>
      <c r="R1661" s="23"/>
      <c r="S1661" s="23"/>
      <c r="T1661" s="23"/>
      <c r="U1661" s="22"/>
      <c r="V1661" s="22"/>
      <c r="W1661" s="22"/>
      <c r="X1661" s="22"/>
      <c r="Y1661" s="22"/>
      <c r="Z1661" s="22"/>
      <c r="AA1661" s="22"/>
      <c r="AB1661" s="22"/>
      <c r="AC1661" s="22"/>
      <c r="AD1661" s="22"/>
      <c r="AE1661" s="22"/>
      <c r="AF1661" s="22"/>
      <c r="AG1661" s="22"/>
      <c r="AH1661" s="22"/>
      <c r="AI1661" s="22"/>
      <c r="AJ1661" s="22"/>
      <c r="AK1661" s="22"/>
      <c r="AL1661" s="22"/>
      <c r="AM1661" s="22"/>
      <c r="AN1661" s="22"/>
      <c r="AO1661" s="22"/>
      <c r="AP1661" s="22"/>
      <c r="AQ1661" s="22"/>
      <c r="AR1661" s="22"/>
      <c r="AS1661" s="22"/>
      <c r="AT1661" s="22"/>
      <c r="AU1661" s="22"/>
      <c r="AV1661" s="22"/>
      <c r="AW1661" s="22"/>
      <c r="AX1661" s="22"/>
    </row>
    <row r="1662" spans="1:50" x14ac:dyDescent="0.35">
      <c r="A1662" s="23"/>
      <c r="B1662" s="23"/>
      <c r="C1662" s="23"/>
      <c r="D1662" s="23"/>
      <c r="E1662" s="23"/>
      <c r="F1662" s="23"/>
      <c r="G1662" s="23"/>
      <c r="H1662" s="23"/>
      <c r="I1662" s="23"/>
      <c r="J1662" s="23"/>
      <c r="K1662" s="23"/>
      <c r="L1662" s="23"/>
      <c r="M1662" s="23"/>
      <c r="N1662" s="23"/>
      <c r="O1662" s="23"/>
      <c r="P1662" s="23"/>
      <c r="Q1662" s="23"/>
      <c r="R1662" s="23"/>
      <c r="S1662" s="23"/>
      <c r="T1662" s="23"/>
      <c r="U1662" s="22"/>
      <c r="V1662" s="22"/>
      <c r="W1662" s="22"/>
      <c r="X1662" s="22"/>
      <c r="Y1662" s="22"/>
      <c r="Z1662" s="22"/>
      <c r="AA1662" s="22"/>
      <c r="AB1662" s="22"/>
      <c r="AC1662" s="22"/>
      <c r="AD1662" s="22"/>
      <c r="AE1662" s="22"/>
      <c r="AF1662" s="22"/>
      <c r="AG1662" s="22"/>
      <c r="AH1662" s="22"/>
      <c r="AI1662" s="22"/>
      <c r="AJ1662" s="22"/>
      <c r="AK1662" s="22"/>
      <c r="AL1662" s="22"/>
      <c r="AM1662" s="22"/>
      <c r="AN1662" s="22"/>
      <c r="AO1662" s="22"/>
      <c r="AP1662" s="22"/>
      <c r="AQ1662" s="22"/>
      <c r="AR1662" s="22"/>
      <c r="AS1662" s="22"/>
      <c r="AT1662" s="22"/>
      <c r="AU1662" s="22"/>
      <c r="AV1662" s="22"/>
      <c r="AW1662" s="22"/>
      <c r="AX1662" s="22"/>
    </row>
    <row r="1663" spans="1:50" x14ac:dyDescent="0.35">
      <c r="A1663" s="23"/>
      <c r="B1663" s="23"/>
      <c r="C1663" s="23"/>
      <c r="D1663" s="23"/>
      <c r="E1663" s="23"/>
      <c r="F1663" s="23"/>
      <c r="G1663" s="23"/>
      <c r="H1663" s="23"/>
      <c r="I1663" s="23"/>
      <c r="J1663" s="23"/>
      <c r="K1663" s="23"/>
      <c r="L1663" s="23"/>
      <c r="M1663" s="23"/>
      <c r="N1663" s="23"/>
      <c r="O1663" s="23"/>
      <c r="P1663" s="23"/>
      <c r="Q1663" s="23"/>
      <c r="R1663" s="23"/>
      <c r="S1663" s="23"/>
      <c r="T1663" s="23"/>
      <c r="U1663" s="22"/>
      <c r="V1663" s="22"/>
      <c r="W1663" s="22"/>
      <c r="X1663" s="22"/>
      <c r="Y1663" s="22"/>
      <c r="Z1663" s="22"/>
      <c r="AA1663" s="22"/>
      <c r="AB1663" s="22"/>
      <c r="AC1663" s="22"/>
      <c r="AD1663" s="22"/>
      <c r="AE1663" s="22"/>
      <c r="AF1663" s="22"/>
      <c r="AG1663" s="22"/>
      <c r="AH1663" s="22"/>
      <c r="AI1663" s="22"/>
      <c r="AJ1663" s="22"/>
      <c r="AK1663" s="22"/>
      <c r="AL1663" s="22"/>
      <c r="AM1663" s="22"/>
      <c r="AN1663" s="22"/>
      <c r="AO1663" s="22"/>
      <c r="AP1663" s="22"/>
      <c r="AQ1663" s="22"/>
      <c r="AR1663" s="22"/>
      <c r="AS1663" s="22"/>
      <c r="AT1663" s="22"/>
      <c r="AU1663" s="22"/>
      <c r="AV1663" s="22"/>
      <c r="AW1663" s="22"/>
      <c r="AX1663" s="22"/>
    </row>
    <row r="1664" spans="1:50" x14ac:dyDescent="0.35">
      <c r="A1664" s="23"/>
      <c r="B1664" s="23"/>
      <c r="C1664" s="23"/>
      <c r="D1664" s="23"/>
      <c r="E1664" s="23"/>
      <c r="F1664" s="23"/>
      <c r="G1664" s="23"/>
      <c r="H1664" s="23"/>
      <c r="I1664" s="23"/>
      <c r="J1664" s="23"/>
      <c r="K1664" s="23"/>
      <c r="L1664" s="23"/>
      <c r="M1664" s="23"/>
      <c r="N1664" s="23"/>
      <c r="O1664" s="23"/>
      <c r="P1664" s="23"/>
      <c r="Q1664" s="23"/>
      <c r="R1664" s="23"/>
      <c r="S1664" s="23"/>
      <c r="T1664" s="23"/>
      <c r="U1664" s="22"/>
      <c r="V1664" s="22"/>
      <c r="W1664" s="22"/>
      <c r="X1664" s="22"/>
      <c r="Y1664" s="22"/>
      <c r="Z1664" s="22"/>
      <c r="AA1664" s="22"/>
      <c r="AB1664" s="22"/>
      <c r="AC1664" s="22"/>
      <c r="AD1664" s="22"/>
      <c r="AE1664" s="22"/>
      <c r="AF1664" s="22"/>
      <c r="AG1664" s="22"/>
      <c r="AH1664" s="22"/>
      <c r="AI1664" s="22"/>
      <c r="AJ1664" s="22"/>
      <c r="AK1664" s="22"/>
      <c r="AL1664" s="22"/>
      <c r="AM1664" s="22"/>
      <c r="AN1664" s="22"/>
      <c r="AO1664" s="22"/>
      <c r="AP1664" s="22"/>
      <c r="AQ1664" s="22"/>
      <c r="AR1664" s="22"/>
      <c r="AS1664" s="22"/>
      <c r="AT1664" s="22"/>
      <c r="AU1664" s="22"/>
      <c r="AV1664" s="22"/>
      <c r="AW1664" s="22"/>
      <c r="AX1664" s="22"/>
    </row>
    <row r="1665" spans="1:50" x14ac:dyDescent="0.35">
      <c r="A1665" s="23"/>
      <c r="B1665" s="23"/>
      <c r="C1665" s="23"/>
      <c r="D1665" s="23"/>
      <c r="E1665" s="23"/>
      <c r="F1665" s="23"/>
      <c r="G1665" s="23"/>
      <c r="H1665" s="23"/>
      <c r="I1665" s="23"/>
      <c r="J1665" s="23"/>
      <c r="K1665" s="23"/>
      <c r="L1665" s="23"/>
      <c r="M1665" s="23"/>
      <c r="N1665" s="23"/>
      <c r="O1665" s="23"/>
      <c r="P1665" s="23"/>
      <c r="Q1665" s="23"/>
      <c r="R1665" s="23"/>
      <c r="S1665" s="23"/>
      <c r="T1665" s="23"/>
      <c r="U1665" s="22"/>
      <c r="V1665" s="22"/>
      <c r="W1665" s="22"/>
      <c r="X1665" s="22"/>
      <c r="Y1665" s="22"/>
      <c r="Z1665" s="22"/>
      <c r="AA1665" s="22"/>
      <c r="AB1665" s="22"/>
      <c r="AC1665" s="22"/>
      <c r="AD1665" s="22"/>
      <c r="AE1665" s="22"/>
      <c r="AF1665" s="22"/>
      <c r="AG1665" s="22"/>
      <c r="AH1665" s="22"/>
      <c r="AI1665" s="22"/>
      <c r="AJ1665" s="22"/>
      <c r="AK1665" s="22"/>
      <c r="AL1665" s="22"/>
      <c r="AM1665" s="22"/>
      <c r="AN1665" s="22"/>
      <c r="AO1665" s="22"/>
      <c r="AP1665" s="22"/>
      <c r="AQ1665" s="22"/>
      <c r="AR1665" s="22"/>
      <c r="AS1665" s="22"/>
      <c r="AT1665" s="22"/>
      <c r="AU1665" s="22"/>
      <c r="AV1665" s="22"/>
      <c r="AW1665" s="22"/>
      <c r="AX1665" s="22"/>
    </row>
    <row r="1666" spans="1:50" x14ac:dyDescent="0.35">
      <c r="A1666" s="23"/>
      <c r="B1666" s="23"/>
      <c r="C1666" s="23"/>
      <c r="D1666" s="23"/>
      <c r="E1666" s="23"/>
      <c r="F1666" s="23"/>
      <c r="G1666" s="23"/>
      <c r="H1666" s="23"/>
      <c r="I1666" s="23"/>
      <c r="J1666" s="23"/>
      <c r="K1666" s="23"/>
      <c r="L1666" s="23"/>
      <c r="M1666" s="23"/>
      <c r="N1666" s="23"/>
      <c r="O1666" s="23"/>
      <c r="P1666" s="23"/>
      <c r="Q1666" s="23"/>
      <c r="R1666" s="23"/>
      <c r="S1666" s="23"/>
      <c r="T1666" s="23"/>
      <c r="U1666" s="22"/>
      <c r="V1666" s="22"/>
      <c r="W1666" s="22"/>
      <c r="X1666" s="22"/>
      <c r="Y1666" s="22"/>
      <c r="Z1666" s="22"/>
      <c r="AA1666" s="22"/>
      <c r="AB1666" s="22"/>
      <c r="AC1666" s="22"/>
      <c r="AD1666" s="22"/>
      <c r="AE1666" s="22"/>
      <c r="AF1666" s="22"/>
      <c r="AG1666" s="22"/>
      <c r="AH1666" s="22"/>
      <c r="AI1666" s="22"/>
      <c r="AJ1666" s="22"/>
      <c r="AK1666" s="22"/>
      <c r="AL1666" s="22"/>
      <c r="AM1666" s="22"/>
      <c r="AN1666" s="22"/>
      <c r="AO1666" s="22"/>
      <c r="AP1666" s="22"/>
      <c r="AQ1666" s="22"/>
      <c r="AR1666" s="22"/>
      <c r="AS1666" s="22"/>
      <c r="AT1666" s="22"/>
      <c r="AU1666" s="22"/>
      <c r="AV1666" s="22"/>
      <c r="AW1666" s="22"/>
      <c r="AX1666" s="22"/>
    </row>
    <row r="1667" spans="1:50" x14ac:dyDescent="0.35">
      <c r="A1667" s="23"/>
      <c r="B1667" s="23"/>
      <c r="C1667" s="23"/>
      <c r="D1667" s="23"/>
      <c r="E1667" s="23"/>
      <c r="F1667" s="23"/>
      <c r="G1667" s="23"/>
      <c r="H1667" s="23"/>
      <c r="I1667" s="23"/>
      <c r="J1667" s="23"/>
      <c r="K1667" s="23"/>
      <c r="L1667" s="23"/>
      <c r="M1667" s="23"/>
      <c r="N1667" s="23"/>
      <c r="O1667" s="23"/>
      <c r="P1667" s="23"/>
      <c r="Q1667" s="23"/>
      <c r="R1667" s="23"/>
      <c r="S1667" s="23"/>
      <c r="T1667" s="23"/>
      <c r="U1667" s="22"/>
      <c r="V1667" s="22"/>
      <c r="W1667" s="22"/>
      <c r="X1667" s="22"/>
      <c r="Y1667" s="22"/>
      <c r="Z1667" s="22"/>
      <c r="AA1667" s="22"/>
      <c r="AB1667" s="22"/>
      <c r="AC1667" s="22"/>
      <c r="AD1667" s="22"/>
      <c r="AE1667" s="22"/>
      <c r="AF1667" s="22"/>
      <c r="AG1667" s="22"/>
      <c r="AH1667" s="22"/>
      <c r="AI1667" s="22"/>
      <c r="AJ1667" s="22"/>
      <c r="AK1667" s="22"/>
      <c r="AL1667" s="22"/>
      <c r="AM1667" s="22"/>
      <c r="AN1667" s="22"/>
      <c r="AO1667" s="22"/>
      <c r="AP1667" s="22"/>
      <c r="AQ1667" s="22"/>
      <c r="AR1667" s="22"/>
      <c r="AS1667" s="22"/>
      <c r="AT1667" s="22"/>
      <c r="AU1667" s="22"/>
      <c r="AV1667" s="22"/>
      <c r="AW1667" s="22"/>
      <c r="AX1667" s="22"/>
    </row>
    <row r="1668" spans="1:50" x14ac:dyDescent="0.35">
      <c r="A1668" s="23"/>
      <c r="B1668" s="23"/>
      <c r="C1668" s="23"/>
      <c r="D1668" s="23"/>
      <c r="E1668" s="23"/>
      <c r="F1668" s="23"/>
      <c r="G1668" s="23"/>
      <c r="H1668" s="23"/>
      <c r="I1668" s="23"/>
      <c r="J1668" s="23"/>
      <c r="K1668" s="23"/>
      <c r="L1668" s="23"/>
      <c r="M1668" s="23"/>
      <c r="N1668" s="23"/>
      <c r="O1668" s="23"/>
      <c r="P1668" s="23"/>
      <c r="Q1668" s="23"/>
      <c r="R1668" s="23"/>
      <c r="S1668" s="23"/>
      <c r="T1668" s="23"/>
      <c r="U1668" s="22"/>
      <c r="V1668" s="22"/>
      <c r="W1668" s="22"/>
      <c r="X1668" s="22"/>
      <c r="Y1668" s="22"/>
      <c r="Z1668" s="22"/>
      <c r="AA1668" s="22"/>
      <c r="AB1668" s="22"/>
      <c r="AC1668" s="22"/>
      <c r="AD1668" s="22"/>
      <c r="AE1668" s="22"/>
      <c r="AF1668" s="22"/>
      <c r="AG1668" s="22"/>
      <c r="AH1668" s="22"/>
      <c r="AI1668" s="22"/>
      <c r="AJ1668" s="22"/>
      <c r="AK1668" s="22"/>
      <c r="AL1668" s="22"/>
      <c r="AM1668" s="22"/>
      <c r="AN1668" s="22"/>
      <c r="AO1668" s="22"/>
      <c r="AP1668" s="22"/>
      <c r="AQ1668" s="22"/>
      <c r="AR1668" s="22"/>
      <c r="AS1668" s="22"/>
      <c r="AT1668" s="22"/>
      <c r="AU1668" s="22"/>
      <c r="AV1668" s="22"/>
      <c r="AW1668" s="22"/>
      <c r="AX1668" s="22"/>
    </row>
    <row r="1669" spans="1:50" x14ac:dyDescent="0.35">
      <c r="A1669" s="23"/>
      <c r="B1669" s="23"/>
      <c r="C1669" s="23"/>
      <c r="D1669" s="23"/>
      <c r="E1669" s="23"/>
      <c r="F1669" s="23"/>
      <c r="G1669" s="23"/>
      <c r="H1669" s="23"/>
      <c r="I1669" s="23"/>
      <c r="J1669" s="23"/>
      <c r="K1669" s="23"/>
      <c r="L1669" s="23"/>
      <c r="M1669" s="23"/>
      <c r="N1669" s="23"/>
      <c r="O1669" s="23"/>
      <c r="P1669" s="23"/>
      <c r="Q1669" s="23"/>
      <c r="R1669" s="23"/>
      <c r="S1669" s="23"/>
      <c r="T1669" s="23"/>
      <c r="U1669" s="22"/>
      <c r="V1669" s="22"/>
      <c r="W1669" s="22"/>
      <c r="X1669" s="22"/>
      <c r="Y1669" s="22"/>
      <c r="Z1669" s="22"/>
      <c r="AA1669" s="22"/>
      <c r="AB1669" s="22"/>
      <c r="AC1669" s="22"/>
      <c r="AD1669" s="22"/>
      <c r="AE1669" s="22"/>
      <c r="AF1669" s="22"/>
      <c r="AG1669" s="22"/>
      <c r="AH1669" s="22"/>
      <c r="AI1669" s="22"/>
      <c r="AJ1669" s="22"/>
      <c r="AK1669" s="22"/>
      <c r="AL1669" s="22"/>
      <c r="AM1669" s="22"/>
      <c r="AN1669" s="22"/>
      <c r="AO1669" s="22"/>
      <c r="AP1669" s="22"/>
      <c r="AQ1669" s="22"/>
      <c r="AR1669" s="22"/>
      <c r="AS1669" s="22"/>
      <c r="AT1669" s="22"/>
      <c r="AU1669" s="22"/>
      <c r="AV1669" s="22"/>
      <c r="AW1669" s="22"/>
      <c r="AX1669" s="22"/>
    </row>
    <row r="1670" spans="1:50" x14ac:dyDescent="0.35">
      <c r="A1670" s="23"/>
      <c r="B1670" s="23"/>
      <c r="C1670" s="23"/>
      <c r="D1670" s="23"/>
      <c r="E1670" s="23"/>
      <c r="F1670" s="23"/>
      <c r="G1670" s="23"/>
      <c r="H1670" s="23"/>
      <c r="I1670" s="23"/>
      <c r="J1670" s="23"/>
      <c r="K1670" s="23"/>
      <c r="L1670" s="23"/>
      <c r="M1670" s="23"/>
      <c r="N1670" s="23"/>
      <c r="O1670" s="23"/>
      <c r="P1670" s="23"/>
      <c r="Q1670" s="23"/>
      <c r="R1670" s="23"/>
      <c r="S1670" s="23"/>
      <c r="T1670" s="23"/>
      <c r="U1670" s="22"/>
      <c r="V1670" s="22"/>
      <c r="W1670" s="22"/>
      <c r="X1670" s="22"/>
      <c r="Y1670" s="22"/>
      <c r="Z1670" s="22"/>
      <c r="AA1670" s="22"/>
      <c r="AB1670" s="22"/>
      <c r="AC1670" s="22"/>
      <c r="AD1670" s="22"/>
      <c r="AE1670" s="22"/>
      <c r="AF1670" s="22"/>
      <c r="AG1670" s="22"/>
      <c r="AH1670" s="22"/>
      <c r="AI1670" s="22"/>
      <c r="AJ1670" s="22"/>
      <c r="AK1670" s="22"/>
      <c r="AL1670" s="22"/>
      <c r="AM1670" s="22"/>
      <c r="AN1670" s="22"/>
      <c r="AO1670" s="22"/>
      <c r="AP1670" s="22"/>
      <c r="AQ1670" s="22"/>
      <c r="AR1670" s="22"/>
      <c r="AS1670" s="22"/>
      <c r="AT1670" s="22"/>
      <c r="AU1670" s="22"/>
      <c r="AV1670" s="22"/>
      <c r="AW1670" s="22"/>
      <c r="AX1670" s="22"/>
    </row>
    <row r="1671" spans="1:50" x14ac:dyDescent="0.35">
      <c r="A1671" s="23"/>
      <c r="B1671" s="23"/>
      <c r="C1671" s="23"/>
      <c r="D1671" s="23"/>
      <c r="E1671" s="23"/>
      <c r="F1671" s="23"/>
      <c r="G1671" s="23"/>
      <c r="H1671" s="23"/>
      <c r="I1671" s="23"/>
      <c r="J1671" s="23"/>
      <c r="K1671" s="23"/>
      <c r="L1671" s="23"/>
      <c r="M1671" s="23"/>
      <c r="N1671" s="23"/>
      <c r="O1671" s="23"/>
      <c r="P1671" s="23"/>
      <c r="Q1671" s="23"/>
      <c r="R1671" s="23"/>
      <c r="S1671" s="23"/>
      <c r="T1671" s="23"/>
      <c r="U1671" s="22"/>
      <c r="V1671" s="22"/>
      <c r="W1671" s="22"/>
      <c r="X1671" s="22"/>
      <c r="Y1671" s="22"/>
      <c r="Z1671" s="22"/>
      <c r="AA1671" s="22"/>
      <c r="AB1671" s="22"/>
      <c r="AC1671" s="22"/>
      <c r="AD1671" s="22"/>
      <c r="AE1671" s="22"/>
      <c r="AF1671" s="22"/>
      <c r="AG1671" s="22"/>
      <c r="AH1671" s="22"/>
      <c r="AI1671" s="22"/>
      <c r="AJ1671" s="22"/>
      <c r="AK1671" s="22"/>
      <c r="AL1671" s="22"/>
      <c r="AM1671" s="22"/>
      <c r="AN1671" s="22"/>
      <c r="AO1671" s="22"/>
      <c r="AP1671" s="22"/>
      <c r="AQ1671" s="22"/>
      <c r="AR1671" s="22"/>
      <c r="AS1671" s="22"/>
      <c r="AT1671" s="22"/>
      <c r="AU1671" s="22"/>
      <c r="AV1671" s="22"/>
      <c r="AW1671" s="22"/>
      <c r="AX1671" s="22"/>
    </row>
    <row r="1672" spans="1:50" x14ac:dyDescent="0.35">
      <c r="A1672" s="23"/>
      <c r="B1672" s="23"/>
      <c r="C1672" s="23"/>
      <c r="D1672" s="23"/>
      <c r="E1672" s="23"/>
      <c r="F1672" s="23"/>
      <c r="G1672" s="23"/>
      <c r="H1672" s="23"/>
      <c r="I1672" s="23"/>
      <c r="J1672" s="23"/>
      <c r="K1672" s="23"/>
      <c r="L1672" s="23"/>
      <c r="M1672" s="23"/>
      <c r="N1672" s="23"/>
      <c r="O1672" s="23"/>
      <c r="P1672" s="23"/>
      <c r="Q1672" s="23"/>
      <c r="R1672" s="23"/>
      <c r="S1672" s="23"/>
      <c r="T1672" s="23"/>
      <c r="U1672" s="22"/>
      <c r="V1672" s="22"/>
      <c r="W1672" s="22"/>
      <c r="X1672" s="22"/>
      <c r="Y1672" s="22"/>
      <c r="Z1672" s="22"/>
      <c r="AA1672" s="22"/>
      <c r="AB1672" s="22"/>
      <c r="AC1672" s="22"/>
      <c r="AD1672" s="22"/>
      <c r="AE1672" s="22"/>
      <c r="AF1672" s="22"/>
      <c r="AG1672" s="22"/>
      <c r="AH1672" s="22"/>
      <c r="AI1672" s="22"/>
      <c r="AJ1672" s="22"/>
      <c r="AK1672" s="22"/>
      <c r="AL1672" s="22"/>
      <c r="AM1672" s="22"/>
      <c r="AN1672" s="22"/>
      <c r="AO1672" s="22"/>
      <c r="AP1672" s="22"/>
      <c r="AQ1672" s="22"/>
      <c r="AR1672" s="22"/>
      <c r="AS1672" s="22"/>
      <c r="AT1672" s="22"/>
      <c r="AU1672" s="22"/>
      <c r="AV1672" s="22"/>
      <c r="AW1672" s="22"/>
      <c r="AX1672" s="22"/>
    </row>
    <row r="1673" spans="1:50" x14ac:dyDescent="0.35">
      <c r="A1673" s="23"/>
      <c r="B1673" s="23"/>
      <c r="C1673" s="23"/>
      <c r="D1673" s="23"/>
      <c r="E1673" s="23"/>
      <c r="F1673" s="23"/>
      <c r="G1673" s="23"/>
      <c r="H1673" s="23"/>
      <c r="I1673" s="23"/>
      <c r="J1673" s="23"/>
      <c r="K1673" s="23"/>
      <c r="L1673" s="23"/>
      <c r="M1673" s="23"/>
      <c r="N1673" s="23"/>
      <c r="O1673" s="23"/>
      <c r="P1673" s="23"/>
      <c r="Q1673" s="23"/>
      <c r="R1673" s="23"/>
      <c r="S1673" s="23"/>
      <c r="T1673" s="23"/>
      <c r="U1673" s="22"/>
      <c r="V1673" s="22"/>
      <c r="W1673" s="22"/>
      <c r="X1673" s="22"/>
      <c r="Y1673" s="22"/>
      <c r="Z1673" s="22"/>
      <c r="AA1673" s="22"/>
      <c r="AB1673" s="22"/>
      <c r="AC1673" s="22"/>
      <c r="AD1673" s="22"/>
      <c r="AE1673" s="22"/>
      <c r="AF1673" s="22"/>
      <c r="AG1673" s="22"/>
      <c r="AH1673" s="22"/>
      <c r="AI1673" s="22"/>
      <c r="AJ1673" s="22"/>
      <c r="AK1673" s="22"/>
      <c r="AL1673" s="22"/>
      <c r="AM1673" s="22"/>
      <c r="AN1673" s="22"/>
      <c r="AO1673" s="22"/>
      <c r="AP1673" s="22"/>
      <c r="AQ1673" s="22"/>
      <c r="AR1673" s="22"/>
      <c r="AS1673" s="22"/>
      <c r="AT1673" s="22"/>
      <c r="AU1673" s="22"/>
      <c r="AV1673" s="22"/>
      <c r="AW1673" s="22"/>
      <c r="AX1673" s="22"/>
    </row>
    <row r="1674" spans="1:50" x14ac:dyDescent="0.35">
      <c r="A1674" s="23"/>
      <c r="B1674" s="23"/>
      <c r="C1674" s="23"/>
      <c r="D1674" s="23"/>
      <c r="E1674" s="23"/>
      <c r="F1674" s="23"/>
      <c r="G1674" s="23"/>
      <c r="H1674" s="23"/>
      <c r="I1674" s="23"/>
      <c r="J1674" s="23"/>
      <c r="K1674" s="23"/>
      <c r="L1674" s="23"/>
      <c r="M1674" s="23"/>
      <c r="N1674" s="23"/>
      <c r="O1674" s="23"/>
      <c r="P1674" s="23"/>
      <c r="Q1674" s="23"/>
      <c r="R1674" s="23"/>
      <c r="S1674" s="23"/>
      <c r="T1674" s="23"/>
      <c r="U1674" s="22"/>
      <c r="V1674" s="22"/>
      <c r="W1674" s="22"/>
      <c r="X1674" s="22"/>
      <c r="Y1674" s="22"/>
      <c r="Z1674" s="22"/>
      <c r="AA1674" s="22"/>
      <c r="AB1674" s="22"/>
      <c r="AC1674" s="22"/>
      <c r="AD1674" s="22"/>
      <c r="AE1674" s="22"/>
      <c r="AF1674" s="22"/>
      <c r="AG1674" s="22"/>
      <c r="AH1674" s="22"/>
      <c r="AI1674" s="22"/>
      <c r="AJ1674" s="22"/>
      <c r="AK1674" s="22"/>
      <c r="AL1674" s="22"/>
      <c r="AM1674" s="22"/>
      <c r="AN1674" s="22"/>
      <c r="AO1674" s="22"/>
      <c r="AP1674" s="22"/>
      <c r="AQ1674" s="22"/>
      <c r="AR1674" s="22"/>
      <c r="AS1674" s="22"/>
      <c r="AT1674" s="22"/>
      <c r="AU1674" s="22"/>
      <c r="AV1674" s="22"/>
      <c r="AW1674" s="22"/>
      <c r="AX1674" s="22"/>
    </row>
    <row r="1675" spans="1:50" x14ac:dyDescent="0.35">
      <c r="A1675" s="23"/>
      <c r="B1675" s="23"/>
      <c r="C1675" s="23"/>
      <c r="D1675" s="23"/>
      <c r="E1675" s="23"/>
      <c r="F1675" s="23"/>
      <c r="G1675" s="23"/>
      <c r="H1675" s="23"/>
      <c r="I1675" s="23"/>
      <c r="J1675" s="23"/>
      <c r="K1675" s="23"/>
      <c r="L1675" s="23"/>
      <c r="M1675" s="23"/>
      <c r="N1675" s="23"/>
      <c r="O1675" s="23"/>
      <c r="P1675" s="23"/>
      <c r="Q1675" s="23"/>
      <c r="R1675" s="23"/>
      <c r="S1675" s="23"/>
      <c r="T1675" s="23"/>
      <c r="U1675" s="22"/>
      <c r="V1675" s="22"/>
      <c r="W1675" s="22"/>
      <c r="X1675" s="22"/>
      <c r="Y1675" s="22"/>
      <c r="Z1675" s="22"/>
      <c r="AA1675" s="22"/>
      <c r="AB1675" s="22"/>
      <c r="AC1675" s="22"/>
      <c r="AD1675" s="22"/>
      <c r="AE1675" s="22"/>
      <c r="AF1675" s="22"/>
      <c r="AG1675" s="22"/>
      <c r="AH1675" s="22"/>
      <c r="AI1675" s="22"/>
      <c r="AJ1675" s="22"/>
      <c r="AK1675" s="22"/>
      <c r="AL1675" s="22"/>
      <c r="AM1675" s="22"/>
      <c r="AN1675" s="22"/>
      <c r="AO1675" s="22"/>
      <c r="AP1675" s="22"/>
      <c r="AQ1675" s="22"/>
      <c r="AR1675" s="22"/>
      <c r="AS1675" s="22"/>
      <c r="AT1675" s="22"/>
      <c r="AU1675" s="22"/>
      <c r="AV1675" s="22"/>
      <c r="AW1675" s="22"/>
      <c r="AX1675" s="22"/>
    </row>
    <row r="1676" spans="1:50" x14ac:dyDescent="0.35">
      <c r="A1676" s="23"/>
      <c r="B1676" s="23"/>
      <c r="C1676" s="23"/>
      <c r="D1676" s="23"/>
      <c r="E1676" s="23"/>
      <c r="F1676" s="23"/>
      <c r="G1676" s="23"/>
      <c r="H1676" s="23"/>
      <c r="I1676" s="23"/>
      <c r="J1676" s="23"/>
      <c r="K1676" s="23"/>
      <c r="L1676" s="23"/>
      <c r="M1676" s="23"/>
      <c r="N1676" s="23"/>
      <c r="O1676" s="23"/>
      <c r="P1676" s="23"/>
      <c r="Q1676" s="23"/>
      <c r="R1676" s="23"/>
      <c r="S1676" s="23"/>
      <c r="T1676" s="23"/>
      <c r="U1676" s="22"/>
      <c r="V1676" s="22"/>
      <c r="W1676" s="22"/>
      <c r="X1676" s="22"/>
      <c r="Y1676" s="22"/>
      <c r="Z1676" s="22"/>
      <c r="AA1676" s="22"/>
      <c r="AB1676" s="22"/>
      <c r="AC1676" s="22"/>
      <c r="AD1676" s="22"/>
      <c r="AE1676" s="22"/>
      <c r="AF1676" s="22"/>
      <c r="AG1676" s="22"/>
      <c r="AH1676" s="22"/>
      <c r="AI1676" s="22"/>
      <c r="AJ1676" s="22"/>
      <c r="AK1676" s="22"/>
      <c r="AL1676" s="22"/>
      <c r="AM1676" s="22"/>
      <c r="AN1676" s="22"/>
      <c r="AO1676" s="22"/>
      <c r="AP1676" s="22"/>
      <c r="AQ1676" s="22"/>
      <c r="AR1676" s="22"/>
      <c r="AS1676" s="22"/>
      <c r="AT1676" s="22"/>
      <c r="AU1676" s="22"/>
      <c r="AV1676" s="22"/>
      <c r="AW1676" s="22"/>
      <c r="AX1676" s="22"/>
    </row>
    <row r="1677" spans="1:50" x14ac:dyDescent="0.35">
      <c r="A1677" s="23"/>
      <c r="B1677" s="23"/>
      <c r="C1677" s="23"/>
      <c r="D1677" s="23"/>
      <c r="E1677" s="23"/>
      <c r="F1677" s="23"/>
      <c r="G1677" s="23"/>
      <c r="H1677" s="23"/>
      <c r="I1677" s="23"/>
      <c r="J1677" s="23"/>
      <c r="K1677" s="23"/>
      <c r="L1677" s="23"/>
      <c r="M1677" s="23"/>
      <c r="N1677" s="23"/>
      <c r="O1677" s="23"/>
      <c r="P1677" s="23"/>
      <c r="Q1677" s="23"/>
      <c r="R1677" s="23"/>
      <c r="S1677" s="23"/>
      <c r="T1677" s="23"/>
      <c r="U1677" s="22"/>
      <c r="V1677" s="22"/>
      <c r="W1677" s="22"/>
      <c r="X1677" s="22"/>
      <c r="Y1677" s="22"/>
      <c r="Z1677" s="22"/>
      <c r="AA1677" s="22"/>
      <c r="AB1677" s="22"/>
      <c r="AC1677" s="22"/>
      <c r="AD1677" s="22"/>
      <c r="AE1677" s="22"/>
      <c r="AF1677" s="22"/>
      <c r="AG1677" s="22"/>
      <c r="AH1677" s="22"/>
      <c r="AI1677" s="22"/>
      <c r="AJ1677" s="22"/>
      <c r="AK1677" s="22"/>
      <c r="AL1677" s="22"/>
      <c r="AM1677" s="22"/>
      <c r="AN1677" s="22"/>
      <c r="AO1677" s="22"/>
      <c r="AP1677" s="22"/>
      <c r="AQ1677" s="22"/>
      <c r="AR1677" s="22"/>
      <c r="AS1677" s="22"/>
      <c r="AT1677" s="22"/>
      <c r="AU1677" s="22"/>
      <c r="AV1677" s="22"/>
      <c r="AW1677" s="22"/>
      <c r="AX1677" s="22"/>
    </row>
    <row r="1678" spans="1:50" x14ac:dyDescent="0.35">
      <c r="A1678" s="23"/>
      <c r="B1678" s="23"/>
      <c r="C1678" s="23"/>
      <c r="D1678" s="23"/>
      <c r="E1678" s="23"/>
      <c r="F1678" s="23"/>
      <c r="G1678" s="23"/>
      <c r="H1678" s="23"/>
      <c r="I1678" s="23"/>
      <c r="J1678" s="23"/>
      <c r="K1678" s="23"/>
      <c r="L1678" s="23"/>
      <c r="M1678" s="23"/>
      <c r="N1678" s="23"/>
      <c r="O1678" s="23"/>
      <c r="P1678" s="23"/>
      <c r="Q1678" s="23"/>
      <c r="R1678" s="23"/>
      <c r="S1678" s="23"/>
      <c r="T1678" s="23"/>
      <c r="U1678" s="22"/>
      <c r="V1678" s="22"/>
      <c r="W1678" s="22"/>
      <c r="X1678" s="22"/>
      <c r="Y1678" s="22"/>
      <c r="Z1678" s="22"/>
      <c r="AA1678" s="22"/>
      <c r="AB1678" s="22"/>
      <c r="AC1678" s="22"/>
      <c r="AD1678" s="22"/>
      <c r="AE1678" s="22"/>
      <c r="AF1678" s="22"/>
      <c r="AG1678" s="22"/>
      <c r="AH1678" s="22"/>
      <c r="AI1678" s="22"/>
      <c r="AJ1678" s="22"/>
      <c r="AK1678" s="22"/>
      <c r="AL1678" s="22"/>
      <c r="AM1678" s="22"/>
      <c r="AN1678" s="22"/>
      <c r="AO1678" s="22"/>
      <c r="AP1678" s="22"/>
      <c r="AQ1678" s="22"/>
      <c r="AR1678" s="22"/>
      <c r="AS1678" s="22"/>
      <c r="AT1678" s="22"/>
      <c r="AU1678" s="22"/>
      <c r="AV1678" s="22"/>
      <c r="AW1678" s="22"/>
      <c r="AX1678" s="22"/>
    </row>
    <row r="1679" spans="1:50" x14ac:dyDescent="0.35">
      <c r="A1679" s="23"/>
      <c r="B1679" s="23"/>
      <c r="C1679" s="23"/>
      <c r="D1679" s="23"/>
      <c r="E1679" s="23"/>
      <c r="F1679" s="23"/>
      <c r="G1679" s="23"/>
      <c r="H1679" s="23"/>
      <c r="I1679" s="23"/>
      <c r="J1679" s="23"/>
      <c r="K1679" s="23"/>
      <c r="L1679" s="23"/>
      <c r="M1679" s="23"/>
      <c r="N1679" s="23"/>
      <c r="O1679" s="23"/>
      <c r="P1679" s="23"/>
      <c r="Q1679" s="23"/>
      <c r="R1679" s="23"/>
      <c r="S1679" s="23"/>
      <c r="T1679" s="23"/>
      <c r="U1679" s="22"/>
      <c r="V1679" s="22"/>
      <c r="W1679" s="22"/>
      <c r="X1679" s="22"/>
      <c r="Y1679" s="22"/>
      <c r="Z1679" s="22"/>
      <c r="AA1679" s="22"/>
      <c r="AB1679" s="22"/>
      <c r="AC1679" s="22"/>
      <c r="AD1679" s="22"/>
      <c r="AE1679" s="22"/>
      <c r="AF1679" s="22"/>
      <c r="AG1679" s="22"/>
      <c r="AH1679" s="22"/>
      <c r="AI1679" s="22"/>
      <c r="AJ1679" s="22"/>
      <c r="AK1679" s="22"/>
      <c r="AL1679" s="22"/>
      <c r="AM1679" s="22"/>
      <c r="AN1679" s="22"/>
      <c r="AO1679" s="22"/>
      <c r="AP1679" s="22"/>
      <c r="AQ1679" s="22"/>
      <c r="AR1679" s="22"/>
      <c r="AS1679" s="22"/>
      <c r="AT1679" s="22"/>
      <c r="AU1679" s="22"/>
      <c r="AV1679" s="22"/>
      <c r="AW1679" s="22"/>
      <c r="AX1679" s="22"/>
    </row>
    <row r="1680" spans="1:50" x14ac:dyDescent="0.35">
      <c r="A1680" s="23"/>
      <c r="B1680" s="23"/>
      <c r="C1680" s="23"/>
      <c r="D1680" s="23"/>
      <c r="E1680" s="23"/>
      <c r="F1680" s="23"/>
      <c r="G1680" s="23"/>
      <c r="H1680" s="23"/>
      <c r="I1680" s="23"/>
      <c r="J1680" s="23"/>
      <c r="K1680" s="23"/>
      <c r="L1680" s="23"/>
      <c r="M1680" s="23"/>
      <c r="N1680" s="23"/>
      <c r="O1680" s="23"/>
      <c r="P1680" s="23"/>
      <c r="Q1680" s="23"/>
      <c r="R1680" s="23"/>
      <c r="S1680" s="23"/>
      <c r="T1680" s="23"/>
      <c r="U1680" s="22"/>
      <c r="V1680" s="22"/>
      <c r="W1680" s="22"/>
      <c r="X1680" s="22"/>
      <c r="Y1680" s="22"/>
      <c r="Z1680" s="22"/>
      <c r="AA1680" s="22"/>
      <c r="AB1680" s="22"/>
      <c r="AC1680" s="22"/>
      <c r="AD1680" s="22"/>
      <c r="AE1680" s="22"/>
      <c r="AF1680" s="22"/>
      <c r="AG1680" s="22"/>
      <c r="AH1680" s="22"/>
      <c r="AI1680" s="22"/>
      <c r="AJ1680" s="22"/>
      <c r="AK1680" s="22"/>
      <c r="AL1680" s="22"/>
      <c r="AM1680" s="22"/>
      <c r="AN1680" s="22"/>
      <c r="AO1680" s="22"/>
      <c r="AP1680" s="22"/>
      <c r="AQ1680" s="22"/>
      <c r="AR1680" s="22"/>
      <c r="AS1680" s="22"/>
      <c r="AT1680" s="22"/>
      <c r="AU1680" s="22"/>
      <c r="AV1680" s="22"/>
      <c r="AW1680" s="22"/>
      <c r="AX1680" s="22"/>
    </row>
    <row r="1681" spans="1:50" x14ac:dyDescent="0.35">
      <c r="A1681" s="23"/>
      <c r="B1681" s="23"/>
      <c r="C1681" s="23"/>
      <c r="D1681" s="23"/>
      <c r="E1681" s="23"/>
      <c r="F1681" s="23"/>
      <c r="G1681" s="23"/>
      <c r="H1681" s="23"/>
      <c r="I1681" s="23"/>
      <c r="J1681" s="23"/>
      <c r="K1681" s="23"/>
      <c r="L1681" s="23"/>
      <c r="M1681" s="23"/>
      <c r="N1681" s="23"/>
      <c r="O1681" s="23"/>
      <c r="P1681" s="23"/>
      <c r="Q1681" s="23"/>
      <c r="R1681" s="23"/>
      <c r="S1681" s="23"/>
      <c r="T1681" s="23"/>
      <c r="U1681" s="22"/>
      <c r="V1681" s="22"/>
      <c r="W1681" s="22"/>
      <c r="X1681" s="22"/>
      <c r="Y1681" s="22"/>
      <c r="Z1681" s="22"/>
      <c r="AA1681" s="22"/>
      <c r="AB1681" s="22"/>
      <c r="AC1681" s="22"/>
      <c r="AD1681" s="22"/>
      <c r="AE1681" s="22"/>
      <c r="AF1681" s="22"/>
      <c r="AG1681" s="22"/>
      <c r="AH1681" s="22"/>
      <c r="AI1681" s="22"/>
      <c r="AJ1681" s="22"/>
      <c r="AK1681" s="22"/>
      <c r="AL1681" s="22"/>
      <c r="AM1681" s="22"/>
      <c r="AN1681" s="22"/>
      <c r="AO1681" s="22"/>
      <c r="AP1681" s="22"/>
      <c r="AQ1681" s="22"/>
      <c r="AR1681" s="22"/>
      <c r="AS1681" s="22"/>
      <c r="AT1681" s="22"/>
      <c r="AU1681" s="22"/>
      <c r="AV1681" s="22"/>
      <c r="AW1681" s="22"/>
      <c r="AX1681" s="22"/>
    </row>
    <row r="1682" spans="1:50" x14ac:dyDescent="0.35">
      <c r="A1682" s="23"/>
      <c r="B1682" s="23"/>
      <c r="C1682" s="23"/>
      <c r="D1682" s="23"/>
      <c r="E1682" s="23"/>
      <c r="F1682" s="23"/>
      <c r="G1682" s="23"/>
      <c r="H1682" s="23"/>
      <c r="I1682" s="23"/>
      <c r="J1682" s="23"/>
      <c r="K1682" s="23"/>
      <c r="L1682" s="23"/>
      <c r="M1682" s="23"/>
      <c r="N1682" s="23"/>
      <c r="O1682" s="23"/>
      <c r="P1682" s="23"/>
      <c r="Q1682" s="23"/>
      <c r="R1682" s="23"/>
      <c r="S1682" s="23"/>
      <c r="T1682" s="23"/>
      <c r="U1682" s="22"/>
      <c r="V1682" s="22"/>
      <c r="W1682" s="22"/>
      <c r="X1682" s="22"/>
      <c r="Y1682" s="22"/>
      <c r="Z1682" s="22"/>
      <c r="AA1682" s="22"/>
      <c r="AB1682" s="22"/>
      <c r="AC1682" s="22"/>
      <c r="AD1682" s="22"/>
      <c r="AE1682" s="22"/>
      <c r="AF1682" s="22"/>
      <c r="AG1682" s="22"/>
      <c r="AH1682" s="22"/>
      <c r="AI1682" s="22"/>
      <c r="AJ1682" s="22"/>
      <c r="AK1682" s="22"/>
      <c r="AL1682" s="22"/>
      <c r="AM1682" s="22"/>
      <c r="AN1682" s="22"/>
      <c r="AO1682" s="22"/>
      <c r="AP1682" s="22"/>
      <c r="AQ1682" s="22"/>
      <c r="AR1682" s="22"/>
      <c r="AS1682" s="22"/>
      <c r="AT1682" s="22"/>
      <c r="AU1682" s="22"/>
      <c r="AV1682" s="22"/>
      <c r="AW1682" s="22"/>
      <c r="AX1682" s="22"/>
    </row>
    <row r="1683" spans="1:50" x14ac:dyDescent="0.35">
      <c r="A1683" s="23"/>
      <c r="B1683" s="23"/>
      <c r="C1683" s="23"/>
      <c r="D1683" s="23"/>
      <c r="E1683" s="23"/>
      <c r="F1683" s="23"/>
      <c r="G1683" s="23"/>
      <c r="H1683" s="23"/>
      <c r="I1683" s="23"/>
      <c r="J1683" s="23"/>
      <c r="K1683" s="23"/>
      <c r="L1683" s="23"/>
      <c r="M1683" s="23"/>
      <c r="N1683" s="23"/>
      <c r="O1683" s="23"/>
      <c r="P1683" s="23"/>
      <c r="Q1683" s="23"/>
      <c r="R1683" s="23"/>
      <c r="S1683" s="23"/>
      <c r="T1683" s="23"/>
      <c r="U1683" s="22"/>
      <c r="V1683" s="22"/>
      <c r="W1683" s="22"/>
      <c r="X1683" s="22"/>
      <c r="Y1683" s="22"/>
      <c r="Z1683" s="22"/>
      <c r="AA1683" s="22"/>
      <c r="AB1683" s="22"/>
      <c r="AC1683" s="22"/>
      <c r="AD1683" s="22"/>
      <c r="AE1683" s="22"/>
      <c r="AF1683" s="22"/>
      <c r="AG1683" s="22"/>
      <c r="AH1683" s="22"/>
      <c r="AI1683" s="22"/>
      <c r="AJ1683" s="22"/>
      <c r="AK1683" s="22"/>
      <c r="AL1683" s="22"/>
      <c r="AM1683" s="22"/>
      <c r="AN1683" s="22"/>
      <c r="AO1683" s="22"/>
      <c r="AP1683" s="22"/>
      <c r="AQ1683" s="22"/>
      <c r="AR1683" s="22"/>
      <c r="AS1683" s="22"/>
      <c r="AT1683" s="22"/>
      <c r="AU1683" s="22"/>
      <c r="AV1683" s="22"/>
      <c r="AW1683" s="22"/>
      <c r="AX1683" s="22"/>
    </row>
    <row r="1684" spans="1:50" x14ac:dyDescent="0.35">
      <c r="A1684" s="23"/>
      <c r="B1684" s="23"/>
      <c r="C1684" s="23"/>
      <c r="D1684" s="23"/>
      <c r="E1684" s="23"/>
      <c r="F1684" s="23"/>
      <c r="G1684" s="23"/>
      <c r="H1684" s="23"/>
      <c r="I1684" s="23"/>
      <c r="J1684" s="23"/>
      <c r="K1684" s="23"/>
      <c r="L1684" s="23"/>
      <c r="M1684" s="23"/>
      <c r="N1684" s="23"/>
      <c r="O1684" s="23"/>
      <c r="P1684" s="23"/>
      <c r="Q1684" s="23"/>
      <c r="R1684" s="23"/>
      <c r="S1684" s="23"/>
      <c r="T1684" s="23"/>
      <c r="U1684" s="22"/>
      <c r="V1684" s="22"/>
      <c r="W1684" s="22"/>
      <c r="X1684" s="22"/>
      <c r="Y1684" s="22"/>
      <c r="Z1684" s="22"/>
      <c r="AA1684" s="22"/>
      <c r="AB1684" s="22"/>
      <c r="AC1684" s="22"/>
      <c r="AD1684" s="22"/>
      <c r="AE1684" s="22"/>
      <c r="AF1684" s="22"/>
      <c r="AG1684" s="22"/>
      <c r="AH1684" s="22"/>
      <c r="AI1684" s="22"/>
      <c r="AJ1684" s="22"/>
      <c r="AK1684" s="22"/>
      <c r="AL1684" s="22"/>
      <c r="AM1684" s="22"/>
      <c r="AN1684" s="22"/>
      <c r="AO1684" s="22"/>
      <c r="AP1684" s="22"/>
      <c r="AQ1684" s="22"/>
      <c r="AR1684" s="22"/>
      <c r="AS1684" s="22"/>
      <c r="AT1684" s="22"/>
      <c r="AU1684" s="22"/>
      <c r="AV1684" s="22"/>
      <c r="AW1684" s="22"/>
      <c r="AX1684" s="22"/>
    </row>
    <row r="1685" spans="1:50" x14ac:dyDescent="0.35">
      <c r="A1685" s="23"/>
      <c r="B1685" s="23"/>
      <c r="C1685" s="23"/>
      <c r="D1685" s="23"/>
      <c r="E1685" s="23"/>
      <c r="F1685" s="23"/>
      <c r="G1685" s="23"/>
      <c r="H1685" s="23"/>
      <c r="I1685" s="23"/>
      <c r="J1685" s="23"/>
      <c r="K1685" s="23"/>
      <c r="L1685" s="23"/>
      <c r="M1685" s="23"/>
      <c r="N1685" s="23"/>
      <c r="O1685" s="23"/>
      <c r="P1685" s="23"/>
      <c r="Q1685" s="23"/>
      <c r="R1685" s="23"/>
      <c r="S1685" s="23"/>
      <c r="T1685" s="23"/>
      <c r="U1685" s="22"/>
      <c r="V1685" s="22"/>
      <c r="W1685" s="22"/>
      <c r="X1685" s="22"/>
      <c r="Y1685" s="22"/>
      <c r="Z1685" s="22"/>
      <c r="AA1685" s="22"/>
      <c r="AB1685" s="22"/>
      <c r="AC1685" s="22"/>
      <c r="AD1685" s="22"/>
      <c r="AE1685" s="22"/>
      <c r="AF1685" s="22"/>
      <c r="AG1685" s="22"/>
      <c r="AH1685" s="22"/>
      <c r="AI1685" s="22"/>
      <c r="AJ1685" s="22"/>
      <c r="AK1685" s="22"/>
      <c r="AL1685" s="22"/>
      <c r="AM1685" s="22"/>
      <c r="AN1685" s="22"/>
      <c r="AO1685" s="22"/>
      <c r="AP1685" s="22"/>
      <c r="AQ1685" s="22"/>
      <c r="AR1685" s="22"/>
      <c r="AS1685" s="22"/>
      <c r="AT1685" s="22"/>
      <c r="AU1685" s="22"/>
      <c r="AV1685" s="22"/>
      <c r="AW1685" s="22"/>
      <c r="AX1685" s="22"/>
    </row>
    <row r="1686" spans="1:50" x14ac:dyDescent="0.35">
      <c r="A1686" s="23"/>
      <c r="B1686" s="23"/>
      <c r="C1686" s="23"/>
      <c r="D1686" s="23"/>
      <c r="E1686" s="23"/>
      <c r="F1686" s="23"/>
      <c r="G1686" s="23"/>
      <c r="H1686" s="23"/>
      <c r="I1686" s="23"/>
      <c r="J1686" s="23"/>
      <c r="K1686" s="23"/>
      <c r="L1686" s="23"/>
      <c r="M1686" s="23"/>
      <c r="N1686" s="23"/>
      <c r="O1686" s="23"/>
      <c r="P1686" s="23"/>
      <c r="Q1686" s="23"/>
      <c r="R1686" s="23"/>
      <c r="S1686" s="23"/>
      <c r="T1686" s="23"/>
      <c r="U1686" s="22"/>
      <c r="V1686" s="22"/>
      <c r="W1686" s="22"/>
      <c r="X1686" s="22"/>
      <c r="Y1686" s="22"/>
      <c r="Z1686" s="22"/>
      <c r="AA1686" s="22"/>
      <c r="AB1686" s="22"/>
      <c r="AC1686" s="22"/>
      <c r="AD1686" s="22"/>
      <c r="AE1686" s="22"/>
      <c r="AF1686" s="22"/>
      <c r="AG1686" s="22"/>
      <c r="AH1686" s="22"/>
      <c r="AI1686" s="22"/>
      <c r="AJ1686" s="22"/>
      <c r="AK1686" s="22"/>
      <c r="AL1686" s="22"/>
      <c r="AM1686" s="22"/>
      <c r="AN1686" s="22"/>
      <c r="AO1686" s="22"/>
      <c r="AP1686" s="22"/>
      <c r="AQ1686" s="22"/>
      <c r="AR1686" s="22"/>
      <c r="AS1686" s="22"/>
      <c r="AT1686" s="22"/>
      <c r="AU1686" s="22"/>
      <c r="AV1686" s="22"/>
      <c r="AW1686" s="22"/>
      <c r="AX1686" s="22"/>
    </row>
    <row r="1687" spans="1:50" x14ac:dyDescent="0.35">
      <c r="A1687" s="23"/>
      <c r="B1687" s="23"/>
      <c r="C1687" s="23"/>
      <c r="D1687" s="23"/>
      <c r="E1687" s="23"/>
      <c r="F1687" s="23"/>
      <c r="G1687" s="23"/>
      <c r="H1687" s="23"/>
      <c r="I1687" s="23"/>
      <c r="J1687" s="23"/>
      <c r="K1687" s="23"/>
      <c r="L1687" s="23"/>
      <c r="M1687" s="23"/>
      <c r="N1687" s="23"/>
      <c r="O1687" s="23"/>
      <c r="P1687" s="23"/>
      <c r="Q1687" s="23"/>
      <c r="R1687" s="23"/>
      <c r="S1687" s="23"/>
      <c r="T1687" s="23"/>
      <c r="U1687" s="22"/>
      <c r="V1687" s="22"/>
      <c r="W1687" s="22"/>
      <c r="X1687" s="22"/>
      <c r="Y1687" s="22"/>
      <c r="Z1687" s="22"/>
      <c r="AA1687" s="22"/>
      <c r="AB1687" s="22"/>
      <c r="AC1687" s="22"/>
      <c r="AD1687" s="22"/>
      <c r="AE1687" s="22"/>
      <c r="AF1687" s="22"/>
      <c r="AG1687" s="22"/>
      <c r="AH1687" s="22"/>
      <c r="AI1687" s="22"/>
      <c r="AJ1687" s="22"/>
      <c r="AK1687" s="22"/>
      <c r="AL1687" s="22"/>
      <c r="AM1687" s="22"/>
      <c r="AN1687" s="22"/>
      <c r="AO1687" s="22"/>
      <c r="AP1687" s="22"/>
      <c r="AQ1687" s="22"/>
      <c r="AR1687" s="22"/>
      <c r="AS1687" s="22"/>
      <c r="AT1687" s="22"/>
      <c r="AU1687" s="22"/>
      <c r="AV1687" s="22"/>
      <c r="AW1687" s="22"/>
      <c r="AX1687" s="22"/>
    </row>
    <row r="1688" spans="1:50" x14ac:dyDescent="0.35">
      <c r="A1688" s="23"/>
      <c r="B1688" s="23"/>
      <c r="C1688" s="23"/>
      <c r="D1688" s="23"/>
      <c r="E1688" s="23"/>
      <c r="F1688" s="23"/>
      <c r="G1688" s="23"/>
      <c r="H1688" s="23"/>
      <c r="I1688" s="23"/>
      <c r="J1688" s="23"/>
      <c r="K1688" s="23"/>
      <c r="L1688" s="23"/>
      <c r="M1688" s="23"/>
      <c r="N1688" s="23"/>
      <c r="O1688" s="23"/>
      <c r="P1688" s="23"/>
      <c r="Q1688" s="23"/>
      <c r="R1688" s="23"/>
      <c r="S1688" s="23"/>
      <c r="T1688" s="23"/>
      <c r="U1688" s="22"/>
      <c r="V1688" s="22"/>
      <c r="W1688" s="22"/>
      <c r="X1688" s="22"/>
      <c r="Y1688" s="22"/>
      <c r="Z1688" s="22"/>
      <c r="AA1688" s="22"/>
      <c r="AB1688" s="22"/>
      <c r="AC1688" s="22"/>
      <c r="AD1688" s="22"/>
      <c r="AE1688" s="22"/>
      <c r="AF1688" s="22"/>
      <c r="AG1688" s="22"/>
      <c r="AH1688" s="22"/>
      <c r="AI1688" s="22"/>
      <c r="AJ1688" s="22"/>
      <c r="AK1688" s="22"/>
      <c r="AL1688" s="22"/>
      <c r="AM1688" s="22"/>
      <c r="AN1688" s="22"/>
      <c r="AO1688" s="22"/>
      <c r="AP1688" s="22"/>
      <c r="AQ1688" s="22"/>
      <c r="AR1688" s="22"/>
      <c r="AS1688" s="22"/>
      <c r="AT1688" s="22"/>
      <c r="AU1688" s="22"/>
      <c r="AV1688" s="22"/>
      <c r="AW1688" s="22"/>
      <c r="AX1688" s="22"/>
    </row>
    <row r="1689" spans="1:50" x14ac:dyDescent="0.35">
      <c r="A1689" s="23"/>
      <c r="B1689" s="23"/>
      <c r="C1689" s="23"/>
      <c r="D1689" s="23"/>
      <c r="E1689" s="23"/>
      <c r="F1689" s="23"/>
      <c r="G1689" s="23"/>
      <c r="H1689" s="23"/>
      <c r="I1689" s="23"/>
      <c r="J1689" s="23"/>
      <c r="K1689" s="23"/>
      <c r="L1689" s="23"/>
      <c r="M1689" s="23"/>
      <c r="N1689" s="23"/>
      <c r="O1689" s="23"/>
      <c r="P1689" s="23"/>
      <c r="Q1689" s="23"/>
      <c r="R1689" s="23"/>
      <c r="S1689" s="23"/>
      <c r="T1689" s="23"/>
      <c r="U1689" s="22"/>
      <c r="V1689" s="22"/>
      <c r="W1689" s="22"/>
      <c r="X1689" s="22"/>
      <c r="Y1689" s="22"/>
      <c r="Z1689" s="22"/>
      <c r="AA1689" s="22"/>
      <c r="AB1689" s="22"/>
      <c r="AC1689" s="22"/>
      <c r="AD1689" s="22"/>
      <c r="AE1689" s="22"/>
      <c r="AF1689" s="22"/>
      <c r="AG1689" s="22"/>
      <c r="AH1689" s="22"/>
      <c r="AI1689" s="22"/>
      <c r="AJ1689" s="22"/>
      <c r="AK1689" s="22"/>
      <c r="AL1689" s="22"/>
      <c r="AM1689" s="22"/>
      <c r="AN1689" s="22"/>
      <c r="AO1689" s="22"/>
      <c r="AP1689" s="22"/>
      <c r="AQ1689" s="22"/>
      <c r="AR1689" s="22"/>
      <c r="AS1689" s="22"/>
      <c r="AT1689" s="22"/>
      <c r="AU1689" s="22"/>
      <c r="AV1689" s="22"/>
      <c r="AW1689" s="22"/>
      <c r="AX1689" s="22"/>
    </row>
    <row r="1690" spans="1:50" x14ac:dyDescent="0.35">
      <c r="A1690" s="23"/>
      <c r="B1690" s="23"/>
      <c r="C1690" s="23"/>
      <c r="D1690" s="23"/>
      <c r="E1690" s="23"/>
      <c r="F1690" s="23"/>
      <c r="G1690" s="23"/>
      <c r="H1690" s="23"/>
      <c r="I1690" s="23"/>
      <c r="J1690" s="23"/>
      <c r="K1690" s="23"/>
      <c r="L1690" s="23"/>
      <c r="M1690" s="23"/>
      <c r="N1690" s="23"/>
      <c r="O1690" s="23"/>
      <c r="P1690" s="23"/>
      <c r="Q1690" s="23"/>
      <c r="R1690" s="23"/>
      <c r="S1690" s="23"/>
      <c r="T1690" s="23"/>
      <c r="U1690" s="22"/>
      <c r="V1690" s="22"/>
      <c r="W1690" s="22"/>
      <c r="X1690" s="22"/>
      <c r="Y1690" s="22"/>
      <c r="Z1690" s="22"/>
      <c r="AA1690" s="22"/>
      <c r="AB1690" s="22"/>
      <c r="AC1690" s="22"/>
      <c r="AD1690" s="22"/>
      <c r="AE1690" s="22"/>
      <c r="AF1690" s="22"/>
      <c r="AG1690" s="22"/>
      <c r="AH1690" s="22"/>
      <c r="AI1690" s="22"/>
      <c r="AJ1690" s="22"/>
      <c r="AK1690" s="22"/>
      <c r="AL1690" s="22"/>
      <c r="AM1690" s="22"/>
      <c r="AN1690" s="22"/>
      <c r="AO1690" s="22"/>
      <c r="AP1690" s="22"/>
      <c r="AQ1690" s="22"/>
      <c r="AR1690" s="22"/>
      <c r="AS1690" s="22"/>
      <c r="AT1690" s="22"/>
      <c r="AU1690" s="22"/>
      <c r="AV1690" s="22"/>
      <c r="AW1690" s="22"/>
      <c r="AX1690" s="22"/>
    </row>
    <row r="1691" spans="1:50" x14ac:dyDescent="0.35">
      <c r="A1691" s="23"/>
      <c r="B1691" s="23"/>
      <c r="C1691" s="23"/>
      <c r="D1691" s="23"/>
      <c r="E1691" s="23"/>
      <c r="F1691" s="23"/>
      <c r="G1691" s="23"/>
      <c r="H1691" s="23"/>
      <c r="I1691" s="23"/>
      <c r="J1691" s="23"/>
      <c r="K1691" s="23"/>
      <c r="L1691" s="23"/>
      <c r="M1691" s="23"/>
      <c r="N1691" s="23"/>
      <c r="O1691" s="23"/>
      <c r="P1691" s="23"/>
      <c r="Q1691" s="23"/>
      <c r="R1691" s="23"/>
      <c r="S1691" s="23"/>
      <c r="T1691" s="23"/>
      <c r="U1691" s="22"/>
      <c r="V1691" s="22"/>
      <c r="W1691" s="22"/>
      <c r="X1691" s="22"/>
      <c r="Y1691" s="22"/>
      <c r="Z1691" s="22"/>
      <c r="AA1691" s="22"/>
      <c r="AB1691" s="22"/>
      <c r="AC1691" s="22"/>
      <c r="AD1691" s="22"/>
      <c r="AE1691" s="22"/>
      <c r="AF1691" s="22"/>
      <c r="AG1691" s="22"/>
      <c r="AH1691" s="22"/>
      <c r="AI1691" s="22"/>
      <c r="AJ1691" s="22"/>
      <c r="AK1691" s="22"/>
      <c r="AL1691" s="22"/>
      <c r="AM1691" s="22"/>
      <c r="AN1691" s="22"/>
      <c r="AO1691" s="22"/>
      <c r="AP1691" s="22"/>
      <c r="AQ1691" s="22"/>
      <c r="AR1691" s="22"/>
      <c r="AS1691" s="22"/>
      <c r="AT1691" s="22"/>
      <c r="AU1691" s="22"/>
      <c r="AV1691" s="22"/>
      <c r="AW1691" s="22"/>
      <c r="AX1691" s="22"/>
    </row>
    <row r="1692" spans="1:50" x14ac:dyDescent="0.35">
      <c r="A1692" s="23"/>
      <c r="B1692" s="23"/>
      <c r="C1692" s="23"/>
      <c r="D1692" s="23"/>
      <c r="E1692" s="23"/>
      <c r="F1692" s="23"/>
      <c r="G1692" s="23"/>
      <c r="H1692" s="23"/>
      <c r="I1692" s="23"/>
      <c r="J1692" s="23"/>
      <c r="K1692" s="23"/>
      <c r="L1692" s="23"/>
      <c r="M1692" s="23"/>
      <c r="N1692" s="23"/>
      <c r="O1692" s="23"/>
      <c r="P1692" s="23"/>
      <c r="Q1692" s="23"/>
      <c r="R1692" s="23"/>
      <c r="S1692" s="23"/>
      <c r="T1692" s="23"/>
      <c r="U1692" s="22"/>
      <c r="V1692" s="22"/>
      <c r="W1692" s="22"/>
      <c r="X1692" s="22"/>
      <c r="Y1692" s="22"/>
      <c r="Z1692" s="22"/>
      <c r="AA1692" s="22"/>
      <c r="AB1692" s="22"/>
      <c r="AC1692" s="22"/>
      <c r="AD1692" s="22"/>
      <c r="AE1692" s="22"/>
      <c r="AF1692" s="22"/>
      <c r="AG1692" s="22"/>
      <c r="AH1692" s="22"/>
      <c r="AI1692" s="22"/>
      <c r="AJ1692" s="22"/>
      <c r="AK1692" s="22"/>
      <c r="AL1692" s="22"/>
      <c r="AM1692" s="22"/>
      <c r="AN1692" s="22"/>
      <c r="AO1692" s="22"/>
      <c r="AP1692" s="22"/>
      <c r="AQ1692" s="22"/>
      <c r="AR1692" s="22"/>
      <c r="AS1692" s="22"/>
      <c r="AT1692" s="22"/>
      <c r="AU1692" s="22"/>
      <c r="AV1692" s="22"/>
      <c r="AW1692" s="22"/>
      <c r="AX1692" s="22"/>
    </row>
    <row r="1693" spans="1:50" x14ac:dyDescent="0.35">
      <c r="A1693" s="23"/>
      <c r="B1693" s="23"/>
      <c r="C1693" s="23"/>
      <c r="D1693" s="23"/>
      <c r="E1693" s="23"/>
      <c r="F1693" s="23"/>
      <c r="G1693" s="23"/>
      <c r="H1693" s="23"/>
      <c r="I1693" s="23"/>
      <c r="J1693" s="23"/>
      <c r="K1693" s="23"/>
      <c r="L1693" s="23"/>
      <c r="M1693" s="23"/>
      <c r="N1693" s="23"/>
      <c r="O1693" s="23"/>
      <c r="P1693" s="23"/>
      <c r="Q1693" s="23"/>
      <c r="R1693" s="23"/>
      <c r="S1693" s="23"/>
      <c r="T1693" s="23"/>
      <c r="U1693" s="22"/>
      <c r="V1693" s="22"/>
      <c r="W1693" s="22"/>
      <c r="X1693" s="22"/>
      <c r="Y1693" s="22"/>
      <c r="Z1693" s="22"/>
      <c r="AA1693" s="22"/>
      <c r="AB1693" s="22"/>
      <c r="AC1693" s="22"/>
      <c r="AD1693" s="22"/>
      <c r="AE1693" s="22"/>
      <c r="AF1693" s="22"/>
      <c r="AG1693" s="22"/>
      <c r="AH1693" s="22"/>
      <c r="AI1693" s="22"/>
      <c r="AJ1693" s="22"/>
      <c r="AK1693" s="22"/>
      <c r="AL1693" s="22"/>
      <c r="AM1693" s="22"/>
      <c r="AN1693" s="22"/>
      <c r="AO1693" s="22"/>
      <c r="AP1693" s="22"/>
      <c r="AQ1693" s="22"/>
      <c r="AR1693" s="22"/>
      <c r="AS1693" s="22"/>
      <c r="AT1693" s="22"/>
      <c r="AU1693" s="22"/>
      <c r="AV1693" s="22"/>
      <c r="AW1693" s="22"/>
      <c r="AX1693" s="22"/>
    </row>
    <row r="1694" spans="1:50" x14ac:dyDescent="0.35">
      <c r="A1694" s="23"/>
      <c r="B1694" s="23"/>
      <c r="C1694" s="23"/>
      <c r="D1694" s="23"/>
      <c r="E1694" s="23"/>
      <c r="F1694" s="23"/>
      <c r="G1694" s="23"/>
      <c r="H1694" s="23"/>
      <c r="I1694" s="23"/>
      <c r="J1694" s="23"/>
      <c r="K1694" s="23"/>
      <c r="L1694" s="23"/>
      <c r="M1694" s="23"/>
      <c r="N1694" s="23"/>
      <c r="O1694" s="23"/>
      <c r="P1694" s="23"/>
      <c r="Q1694" s="23"/>
      <c r="R1694" s="23"/>
      <c r="S1694" s="23"/>
      <c r="T1694" s="23"/>
      <c r="U1694" s="22"/>
      <c r="V1694" s="22"/>
      <c r="W1694" s="22"/>
      <c r="X1694" s="22"/>
      <c r="Y1694" s="22"/>
      <c r="Z1694" s="22"/>
      <c r="AA1694" s="22"/>
      <c r="AB1694" s="22"/>
      <c r="AC1694" s="22"/>
      <c r="AD1694" s="22"/>
      <c r="AE1694" s="22"/>
      <c r="AF1694" s="22"/>
      <c r="AG1694" s="22"/>
      <c r="AH1694" s="22"/>
      <c r="AI1694" s="22"/>
      <c r="AJ1694" s="22"/>
      <c r="AK1694" s="22"/>
      <c r="AL1694" s="22"/>
      <c r="AM1694" s="22"/>
      <c r="AN1694" s="22"/>
      <c r="AO1694" s="22"/>
      <c r="AP1694" s="22"/>
      <c r="AQ1694" s="22"/>
      <c r="AR1694" s="22"/>
      <c r="AS1694" s="22"/>
      <c r="AT1694" s="22"/>
      <c r="AU1694" s="22"/>
      <c r="AV1694" s="22"/>
      <c r="AW1694" s="22"/>
      <c r="AX1694" s="22"/>
    </row>
    <row r="1695" spans="1:50" x14ac:dyDescent="0.35">
      <c r="A1695" s="23"/>
      <c r="B1695" s="23"/>
      <c r="C1695" s="23"/>
      <c r="D1695" s="23"/>
      <c r="E1695" s="23"/>
      <c r="F1695" s="23"/>
      <c r="G1695" s="23"/>
      <c r="H1695" s="23"/>
      <c r="I1695" s="23"/>
      <c r="J1695" s="23"/>
      <c r="K1695" s="23"/>
      <c r="L1695" s="23"/>
      <c r="M1695" s="23"/>
      <c r="N1695" s="23"/>
      <c r="O1695" s="23"/>
      <c r="P1695" s="23"/>
      <c r="Q1695" s="23"/>
      <c r="R1695" s="23"/>
      <c r="S1695" s="23"/>
      <c r="T1695" s="23"/>
      <c r="U1695" s="22"/>
      <c r="V1695" s="22"/>
      <c r="W1695" s="22"/>
      <c r="X1695" s="22"/>
      <c r="Y1695" s="22"/>
      <c r="Z1695" s="22"/>
      <c r="AA1695" s="22"/>
      <c r="AB1695" s="22"/>
      <c r="AC1695" s="22"/>
      <c r="AD1695" s="22"/>
      <c r="AE1695" s="22"/>
      <c r="AF1695" s="22"/>
      <c r="AG1695" s="22"/>
      <c r="AH1695" s="22"/>
      <c r="AI1695" s="22"/>
      <c r="AJ1695" s="22"/>
      <c r="AK1695" s="22"/>
      <c r="AL1695" s="22"/>
      <c r="AM1695" s="22"/>
      <c r="AN1695" s="22"/>
      <c r="AO1695" s="22"/>
      <c r="AP1695" s="22"/>
      <c r="AQ1695" s="22"/>
      <c r="AR1695" s="22"/>
      <c r="AS1695" s="22"/>
      <c r="AT1695" s="22"/>
      <c r="AU1695" s="22"/>
      <c r="AV1695" s="22"/>
      <c r="AW1695" s="22"/>
      <c r="AX1695" s="22"/>
    </row>
    <row r="1696" spans="1:50" x14ac:dyDescent="0.35">
      <c r="A1696" s="23"/>
      <c r="B1696" s="23"/>
      <c r="C1696" s="23"/>
      <c r="D1696" s="23"/>
      <c r="E1696" s="23"/>
      <c r="F1696" s="23"/>
      <c r="G1696" s="23"/>
      <c r="H1696" s="23"/>
      <c r="I1696" s="23"/>
      <c r="J1696" s="23"/>
      <c r="K1696" s="23"/>
      <c r="L1696" s="23"/>
      <c r="M1696" s="23"/>
      <c r="N1696" s="23"/>
      <c r="O1696" s="23"/>
      <c r="P1696" s="23"/>
      <c r="Q1696" s="23"/>
      <c r="R1696" s="23"/>
      <c r="S1696" s="23"/>
      <c r="T1696" s="23"/>
      <c r="U1696" s="22"/>
      <c r="V1696" s="22"/>
      <c r="W1696" s="22"/>
      <c r="X1696" s="22"/>
      <c r="Y1696" s="22"/>
      <c r="Z1696" s="22"/>
      <c r="AA1696" s="22"/>
      <c r="AB1696" s="22"/>
      <c r="AC1696" s="22"/>
      <c r="AD1696" s="22"/>
      <c r="AE1696" s="22"/>
      <c r="AF1696" s="22"/>
      <c r="AG1696" s="22"/>
      <c r="AH1696" s="22"/>
      <c r="AI1696" s="22"/>
      <c r="AJ1696" s="22"/>
      <c r="AK1696" s="22"/>
      <c r="AL1696" s="22"/>
      <c r="AM1696" s="22"/>
      <c r="AN1696" s="22"/>
      <c r="AO1696" s="22"/>
      <c r="AP1696" s="22"/>
      <c r="AQ1696" s="22"/>
      <c r="AR1696" s="22"/>
      <c r="AS1696" s="22"/>
      <c r="AT1696" s="22"/>
      <c r="AU1696" s="22"/>
      <c r="AV1696" s="22"/>
      <c r="AW1696" s="22"/>
      <c r="AX1696" s="22"/>
    </row>
    <row r="1697" spans="1:50" x14ac:dyDescent="0.35">
      <c r="A1697" s="23"/>
      <c r="B1697" s="23"/>
      <c r="C1697" s="23"/>
      <c r="D1697" s="23"/>
      <c r="E1697" s="23"/>
      <c r="F1697" s="23"/>
      <c r="G1697" s="23"/>
      <c r="H1697" s="23"/>
      <c r="I1697" s="23"/>
      <c r="J1697" s="23"/>
      <c r="K1697" s="23"/>
      <c r="L1697" s="23"/>
      <c r="M1697" s="23"/>
      <c r="N1697" s="23"/>
      <c r="O1697" s="23"/>
      <c r="P1697" s="23"/>
      <c r="Q1697" s="23"/>
      <c r="R1697" s="23"/>
      <c r="S1697" s="23"/>
      <c r="T1697" s="23"/>
      <c r="U1697" s="22"/>
      <c r="V1697" s="22"/>
      <c r="W1697" s="22"/>
      <c r="X1697" s="22"/>
      <c r="Y1697" s="22"/>
      <c r="Z1697" s="22"/>
      <c r="AA1697" s="22"/>
      <c r="AB1697" s="22"/>
      <c r="AC1697" s="22"/>
      <c r="AD1697" s="22"/>
      <c r="AE1697" s="22"/>
      <c r="AF1697" s="22"/>
      <c r="AG1697" s="22"/>
      <c r="AH1697" s="22"/>
      <c r="AI1697" s="22"/>
      <c r="AJ1697" s="22"/>
      <c r="AK1697" s="22"/>
      <c r="AL1697" s="22"/>
      <c r="AM1697" s="22"/>
      <c r="AN1697" s="22"/>
      <c r="AO1697" s="22"/>
      <c r="AP1697" s="22"/>
      <c r="AQ1697" s="22"/>
      <c r="AR1697" s="22"/>
      <c r="AS1697" s="22"/>
      <c r="AT1697" s="22"/>
      <c r="AU1697" s="22"/>
      <c r="AV1697" s="22"/>
      <c r="AW1697" s="22"/>
      <c r="AX1697" s="22"/>
    </row>
    <row r="1698" spans="1:50" x14ac:dyDescent="0.35">
      <c r="A1698" s="23"/>
      <c r="B1698" s="23"/>
      <c r="C1698" s="23"/>
      <c r="D1698" s="23"/>
      <c r="E1698" s="23"/>
      <c r="F1698" s="23"/>
      <c r="G1698" s="23"/>
      <c r="H1698" s="23"/>
      <c r="I1698" s="23"/>
      <c r="J1698" s="23"/>
      <c r="K1698" s="23"/>
      <c r="L1698" s="23"/>
      <c r="M1698" s="23"/>
      <c r="N1698" s="23"/>
      <c r="O1698" s="23"/>
      <c r="P1698" s="23"/>
      <c r="Q1698" s="23"/>
      <c r="R1698" s="23"/>
      <c r="S1698" s="23"/>
      <c r="T1698" s="23"/>
      <c r="U1698" s="22"/>
      <c r="V1698" s="22"/>
      <c r="W1698" s="22"/>
      <c r="X1698" s="22"/>
      <c r="Y1698" s="22"/>
      <c r="Z1698" s="22"/>
      <c r="AA1698" s="22"/>
      <c r="AB1698" s="22"/>
      <c r="AC1698" s="22"/>
      <c r="AD1698" s="22"/>
      <c r="AE1698" s="22"/>
      <c r="AF1698" s="22"/>
      <c r="AG1698" s="22"/>
      <c r="AH1698" s="22"/>
      <c r="AI1698" s="22"/>
      <c r="AJ1698" s="22"/>
      <c r="AK1698" s="22"/>
      <c r="AL1698" s="22"/>
      <c r="AM1698" s="22"/>
      <c r="AN1698" s="22"/>
      <c r="AO1698" s="22"/>
      <c r="AP1698" s="22"/>
      <c r="AQ1698" s="22"/>
      <c r="AR1698" s="22"/>
      <c r="AS1698" s="22"/>
      <c r="AT1698" s="22"/>
      <c r="AU1698" s="22"/>
      <c r="AV1698" s="22"/>
      <c r="AW1698" s="22"/>
      <c r="AX1698" s="22"/>
    </row>
    <row r="1699" spans="1:50" x14ac:dyDescent="0.35">
      <c r="A1699" s="23"/>
      <c r="B1699" s="23"/>
      <c r="C1699" s="23"/>
      <c r="D1699" s="23"/>
      <c r="E1699" s="23"/>
      <c r="F1699" s="23"/>
      <c r="G1699" s="23"/>
      <c r="H1699" s="23"/>
      <c r="I1699" s="23"/>
      <c r="J1699" s="23"/>
      <c r="K1699" s="23"/>
      <c r="L1699" s="23"/>
      <c r="M1699" s="23"/>
      <c r="N1699" s="23"/>
      <c r="O1699" s="23"/>
      <c r="P1699" s="23"/>
      <c r="Q1699" s="23"/>
      <c r="R1699" s="23"/>
      <c r="S1699" s="23"/>
      <c r="T1699" s="23"/>
      <c r="U1699" s="22"/>
      <c r="V1699" s="22"/>
      <c r="W1699" s="22"/>
      <c r="X1699" s="22"/>
      <c r="Y1699" s="22"/>
      <c r="Z1699" s="22"/>
      <c r="AA1699" s="22"/>
      <c r="AB1699" s="22"/>
      <c r="AC1699" s="22"/>
      <c r="AD1699" s="22"/>
      <c r="AE1699" s="22"/>
      <c r="AF1699" s="22"/>
      <c r="AG1699" s="22"/>
      <c r="AH1699" s="22"/>
      <c r="AI1699" s="22"/>
      <c r="AJ1699" s="22"/>
      <c r="AK1699" s="22"/>
      <c r="AL1699" s="22"/>
      <c r="AM1699" s="22"/>
      <c r="AN1699" s="22"/>
      <c r="AO1699" s="22"/>
      <c r="AP1699" s="22"/>
      <c r="AQ1699" s="22"/>
      <c r="AR1699" s="22"/>
      <c r="AS1699" s="22"/>
      <c r="AT1699" s="22"/>
      <c r="AU1699" s="22"/>
      <c r="AV1699" s="22"/>
      <c r="AW1699" s="22"/>
      <c r="AX1699" s="22"/>
    </row>
    <row r="1700" spans="1:50" x14ac:dyDescent="0.35">
      <c r="A1700" s="23"/>
      <c r="B1700" s="23"/>
      <c r="C1700" s="23"/>
      <c r="D1700" s="23"/>
      <c r="E1700" s="23"/>
      <c r="F1700" s="23"/>
      <c r="G1700" s="23"/>
      <c r="H1700" s="23"/>
      <c r="I1700" s="23"/>
      <c r="J1700" s="23"/>
      <c r="K1700" s="23"/>
      <c r="L1700" s="23"/>
      <c r="M1700" s="23"/>
      <c r="N1700" s="23"/>
      <c r="O1700" s="23"/>
      <c r="P1700" s="23"/>
      <c r="Q1700" s="23"/>
      <c r="R1700" s="23"/>
      <c r="S1700" s="23"/>
      <c r="T1700" s="23"/>
      <c r="U1700" s="22"/>
      <c r="V1700" s="22"/>
      <c r="W1700" s="22"/>
      <c r="X1700" s="22"/>
      <c r="Y1700" s="22"/>
      <c r="Z1700" s="22"/>
      <c r="AA1700" s="22"/>
      <c r="AB1700" s="22"/>
      <c r="AC1700" s="22"/>
      <c r="AD1700" s="22"/>
      <c r="AE1700" s="22"/>
      <c r="AF1700" s="22"/>
      <c r="AG1700" s="22"/>
      <c r="AH1700" s="22"/>
      <c r="AI1700" s="22"/>
      <c r="AJ1700" s="22"/>
      <c r="AK1700" s="22"/>
      <c r="AL1700" s="22"/>
      <c r="AM1700" s="22"/>
      <c r="AN1700" s="22"/>
      <c r="AO1700" s="22"/>
      <c r="AP1700" s="22"/>
      <c r="AQ1700" s="22"/>
      <c r="AR1700" s="22"/>
      <c r="AS1700" s="22"/>
      <c r="AT1700" s="22"/>
      <c r="AU1700" s="22"/>
      <c r="AV1700" s="22"/>
      <c r="AW1700" s="22"/>
      <c r="AX1700" s="22"/>
    </row>
    <row r="1701" spans="1:50" x14ac:dyDescent="0.35">
      <c r="A1701" s="23"/>
      <c r="B1701" s="23"/>
      <c r="C1701" s="23"/>
      <c r="D1701" s="23"/>
      <c r="E1701" s="23"/>
      <c r="F1701" s="23"/>
      <c r="G1701" s="23"/>
      <c r="H1701" s="23"/>
      <c r="I1701" s="23"/>
      <c r="J1701" s="23"/>
      <c r="K1701" s="23"/>
      <c r="L1701" s="23"/>
      <c r="M1701" s="23"/>
      <c r="N1701" s="23"/>
      <c r="O1701" s="23"/>
      <c r="P1701" s="23"/>
      <c r="Q1701" s="23"/>
      <c r="R1701" s="23"/>
      <c r="S1701" s="23"/>
      <c r="T1701" s="23"/>
      <c r="U1701" s="22"/>
      <c r="V1701" s="22"/>
      <c r="W1701" s="22"/>
      <c r="X1701" s="22"/>
      <c r="Y1701" s="22"/>
      <c r="Z1701" s="22"/>
      <c r="AA1701" s="22"/>
      <c r="AB1701" s="22"/>
      <c r="AC1701" s="22"/>
      <c r="AD1701" s="22"/>
      <c r="AE1701" s="22"/>
      <c r="AF1701" s="22"/>
      <c r="AG1701" s="22"/>
      <c r="AH1701" s="22"/>
      <c r="AI1701" s="22"/>
      <c r="AJ1701" s="22"/>
      <c r="AK1701" s="22"/>
      <c r="AL1701" s="22"/>
      <c r="AM1701" s="22"/>
      <c r="AN1701" s="22"/>
      <c r="AO1701" s="22"/>
      <c r="AP1701" s="22"/>
      <c r="AQ1701" s="22"/>
      <c r="AR1701" s="22"/>
      <c r="AS1701" s="22"/>
      <c r="AT1701" s="22"/>
      <c r="AU1701" s="22"/>
      <c r="AV1701" s="22"/>
      <c r="AW1701" s="22"/>
      <c r="AX1701" s="22"/>
    </row>
    <row r="1702" spans="1:50" x14ac:dyDescent="0.35">
      <c r="A1702" s="23"/>
      <c r="B1702" s="23"/>
      <c r="C1702" s="23"/>
      <c r="D1702" s="23"/>
      <c r="E1702" s="23"/>
      <c r="F1702" s="23"/>
      <c r="G1702" s="23"/>
      <c r="H1702" s="23"/>
      <c r="I1702" s="23"/>
      <c r="J1702" s="23"/>
      <c r="K1702" s="23"/>
      <c r="L1702" s="23"/>
      <c r="M1702" s="23"/>
      <c r="N1702" s="23"/>
      <c r="O1702" s="23"/>
      <c r="P1702" s="23"/>
      <c r="Q1702" s="23"/>
      <c r="R1702" s="23"/>
      <c r="S1702" s="23"/>
      <c r="T1702" s="23"/>
      <c r="U1702" s="22"/>
      <c r="V1702" s="22"/>
      <c r="W1702" s="22"/>
      <c r="X1702" s="22"/>
      <c r="Y1702" s="22"/>
      <c r="Z1702" s="22"/>
      <c r="AA1702" s="22"/>
      <c r="AB1702" s="22"/>
      <c r="AC1702" s="22"/>
      <c r="AD1702" s="22"/>
      <c r="AE1702" s="22"/>
      <c r="AF1702" s="22"/>
      <c r="AG1702" s="22"/>
      <c r="AH1702" s="22"/>
      <c r="AI1702" s="22"/>
      <c r="AJ1702" s="22"/>
      <c r="AK1702" s="22"/>
      <c r="AL1702" s="22"/>
      <c r="AM1702" s="22"/>
      <c r="AN1702" s="22"/>
      <c r="AO1702" s="22"/>
      <c r="AP1702" s="22"/>
      <c r="AQ1702" s="22"/>
      <c r="AR1702" s="22"/>
      <c r="AS1702" s="22"/>
      <c r="AT1702" s="22"/>
      <c r="AU1702" s="22"/>
      <c r="AV1702" s="22"/>
      <c r="AW1702" s="22"/>
      <c r="AX1702" s="22"/>
    </row>
    <row r="1703" spans="1:50" x14ac:dyDescent="0.35">
      <c r="A1703" s="23"/>
      <c r="B1703" s="23"/>
      <c r="C1703" s="23"/>
      <c r="D1703" s="23"/>
      <c r="E1703" s="23"/>
      <c r="F1703" s="23"/>
      <c r="G1703" s="23"/>
      <c r="H1703" s="23"/>
      <c r="I1703" s="23"/>
      <c r="J1703" s="23"/>
      <c r="K1703" s="23"/>
      <c r="L1703" s="23"/>
      <c r="M1703" s="23"/>
      <c r="N1703" s="23"/>
      <c r="O1703" s="23"/>
      <c r="P1703" s="23"/>
      <c r="Q1703" s="23"/>
      <c r="R1703" s="23"/>
      <c r="S1703" s="23"/>
      <c r="T1703" s="23"/>
      <c r="U1703" s="22"/>
      <c r="V1703" s="22"/>
      <c r="W1703" s="22"/>
      <c r="X1703" s="22"/>
      <c r="Y1703" s="22"/>
      <c r="Z1703" s="22"/>
      <c r="AA1703" s="22"/>
      <c r="AB1703" s="22"/>
      <c r="AC1703" s="22"/>
      <c r="AD1703" s="22"/>
      <c r="AE1703" s="22"/>
      <c r="AF1703" s="22"/>
      <c r="AG1703" s="22"/>
      <c r="AH1703" s="22"/>
      <c r="AI1703" s="22"/>
      <c r="AJ1703" s="22"/>
      <c r="AK1703" s="22"/>
      <c r="AL1703" s="22"/>
      <c r="AM1703" s="22"/>
      <c r="AN1703" s="22"/>
      <c r="AO1703" s="22"/>
      <c r="AP1703" s="22"/>
      <c r="AQ1703" s="22"/>
      <c r="AR1703" s="22"/>
      <c r="AS1703" s="22"/>
      <c r="AT1703" s="22"/>
      <c r="AU1703" s="22"/>
      <c r="AV1703" s="22"/>
      <c r="AW1703" s="22"/>
      <c r="AX1703" s="22"/>
    </row>
    <row r="1704" spans="1:50" x14ac:dyDescent="0.35">
      <c r="A1704" s="23"/>
      <c r="B1704" s="23"/>
      <c r="C1704" s="23"/>
      <c r="D1704" s="23"/>
      <c r="E1704" s="23"/>
      <c r="F1704" s="23"/>
      <c r="G1704" s="23"/>
      <c r="H1704" s="23"/>
      <c r="I1704" s="23"/>
      <c r="J1704" s="23"/>
      <c r="K1704" s="23"/>
      <c r="L1704" s="23"/>
      <c r="M1704" s="23"/>
      <c r="N1704" s="23"/>
      <c r="O1704" s="23"/>
      <c r="P1704" s="23"/>
      <c r="Q1704" s="23"/>
      <c r="R1704" s="23"/>
      <c r="S1704" s="23"/>
      <c r="T1704" s="23"/>
      <c r="U1704" s="22"/>
      <c r="V1704" s="22"/>
      <c r="W1704" s="22"/>
      <c r="X1704" s="22"/>
      <c r="Y1704" s="22"/>
      <c r="Z1704" s="22"/>
      <c r="AA1704" s="22"/>
      <c r="AB1704" s="22"/>
      <c r="AC1704" s="22"/>
      <c r="AD1704" s="22"/>
      <c r="AE1704" s="22"/>
      <c r="AF1704" s="22"/>
      <c r="AG1704" s="22"/>
      <c r="AH1704" s="22"/>
      <c r="AI1704" s="22"/>
      <c r="AJ1704" s="22"/>
      <c r="AK1704" s="22"/>
      <c r="AL1704" s="22"/>
      <c r="AM1704" s="22"/>
      <c r="AN1704" s="22"/>
      <c r="AO1704" s="22"/>
      <c r="AP1704" s="22"/>
      <c r="AQ1704" s="22"/>
      <c r="AR1704" s="22"/>
      <c r="AS1704" s="22"/>
      <c r="AT1704" s="22"/>
      <c r="AU1704" s="22"/>
      <c r="AV1704" s="22"/>
      <c r="AW1704" s="22"/>
      <c r="AX1704" s="22"/>
    </row>
    <row r="1705" spans="1:50" x14ac:dyDescent="0.35">
      <c r="A1705" s="23"/>
      <c r="B1705" s="23"/>
      <c r="C1705" s="23"/>
      <c r="D1705" s="23"/>
      <c r="E1705" s="23"/>
      <c r="F1705" s="23"/>
      <c r="G1705" s="23"/>
      <c r="H1705" s="23"/>
      <c r="I1705" s="23"/>
      <c r="J1705" s="23"/>
      <c r="K1705" s="23"/>
      <c r="L1705" s="23"/>
      <c r="M1705" s="23"/>
      <c r="N1705" s="23"/>
      <c r="O1705" s="23"/>
      <c r="P1705" s="23"/>
      <c r="Q1705" s="23"/>
      <c r="R1705" s="23"/>
      <c r="S1705" s="23"/>
      <c r="T1705" s="23"/>
      <c r="U1705" s="22"/>
      <c r="V1705" s="22"/>
      <c r="W1705" s="22"/>
      <c r="X1705" s="22"/>
      <c r="Y1705" s="22"/>
      <c r="Z1705" s="22"/>
      <c r="AA1705" s="22"/>
      <c r="AB1705" s="22"/>
      <c r="AC1705" s="22"/>
      <c r="AD1705" s="22"/>
      <c r="AE1705" s="22"/>
      <c r="AF1705" s="22"/>
      <c r="AG1705" s="22"/>
      <c r="AH1705" s="22"/>
      <c r="AI1705" s="22"/>
      <c r="AJ1705" s="22"/>
      <c r="AK1705" s="22"/>
      <c r="AL1705" s="22"/>
      <c r="AM1705" s="22"/>
      <c r="AN1705" s="22"/>
      <c r="AO1705" s="22"/>
      <c r="AP1705" s="22"/>
      <c r="AQ1705" s="22"/>
      <c r="AR1705" s="22"/>
      <c r="AS1705" s="22"/>
      <c r="AT1705" s="22"/>
      <c r="AU1705" s="22"/>
      <c r="AV1705" s="22"/>
      <c r="AW1705" s="22"/>
      <c r="AX1705" s="22"/>
    </row>
    <row r="1706" spans="1:50" x14ac:dyDescent="0.35">
      <c r="A1706" s="23"/>
      <c r="B1706" s="23"/>
      <c r="C1706" s="23"/>
      <c r="D1706" s="23"/>
      <c r="E1706" s="23"/>
      <c r="F1706" s="23"/>
      <c r="G1706" s="23"/>
      <c r="H1706" s="23"/>
      <c r="I1706" s="23"/>
      <c r="J1706" s="23"/>
      <c r="K1706" s="23"/>
      <c r="L1706" s="23"/>
      <c r="M1706" s="23"/>
      <c r="N1706" s="23"/>
      <c r="O1706" s="23"/>
      <c r="P1706" s="23"/>
      <c r="Q1706" s="23"/>
      <c r="R1706" s="23"/>
      <c r="S1706" s="23"/>
      <c r="T1706" s="23"/>
      <c r="U1706" s="22"/>
      <c r="V1706" s="22"/>
      <c r="W1706" s="22"/>
      <c r="X1706" s="22"/>
      <c r="Y1706" s="22"/>
      <c r="Z1706" s="22"/>
      <c r="AA1706" s="22"/>
      <c r="AB1706" s="22"/>
      <c r="AC1706" s="22"/>
      <c r="AD1706" s="22"/>
      <c r="AE1706" s="22"/>
      <c r="AF1706" s="22"/>
      <c r="AG1706" s="22"/>
      <c r="AH1706" s="22"/>
      <c r="AI1706" s="22"/>
      <c r="AJ1706" s="22"/>
      <c r="AK1706" s="22"/>
      <c r="AL1706" s="22"/>
      <c r="AM1706" s="22"/>
      <c r="AN1706" s="22"/>
      <c r="AO1706" s="22"/>
      <c r="AP1706" s="22"/>
      <c r="AQ1706" s="22"/>
      <c r="AR1706" s="22"/>
      <c r="AS1706" s="22"/>
      <c r="AT1706" s="22"/>
      <c r="AU1706" s="22"/>
      <c r="AV1706" s="22"/>
      <c r="AW1706" s="22"/>
      <c r="AX1706" s="22"/>
    </row>
    <row r="1707" spans="1:50" x14ac:dyDescent="0.35">
      <c r="A1707" s="23"/>
      <c r="B1707" s="23"/>
      <c r="C1707" s="23"/>
      <c r="D1707" s="23"/>
      <c r="E1707" s="23"/>
      <c r="F1707" s="23"/>
      <c r="G1707" s="23"/>
      <c r="H1707" s="23"/>
      <c r="I1707" s="23"/>
      <c r="J1707" s="23"/>
      <c r="K1707" s="23"/>
      <c r="L1707" s="23"/>
      <c r="M1707" s="23"/>
      <c r="N1707" s="23"/>
      <c r="O1707" s="23"/>
      <c r="P1707" s="23"/>
      <c r="Q1707" s="23"/>
      <c r="R1707" s="23"/>
      <c r="S1707" s="23"/>
      <c r="T1707" s="23"/>
      <c r="U1707" s="22"/>
      <c r="V1707" s="22"/>
      <c r="W1707" s="22"/>
      <c r="X1707" s="22"/>
      <c r="Y1707" s="22"/>
      <c r="Z1707" s="22"/>
      <c r="AA1707" s="22"/>
      <c r="AB1707" s="22"/>
      <c r="AC1707" s="22"/>
      <c r="AD1707" s="22"/>
      <c r="AE1707" s="22"/>
      <c r="AF1707" s="22"/>
      <c r="AG1707" s="22"/>
      <c r="AH1707" s="22"/>
      <c r="AI1707" s="22"/>
      <c r="AJ1707" s="22"/>
      <c r="AK1707" s="22"/>
      <c r="AL1707" s="22"/>
      <c r="AM1707" s="22"/>
      <c r="AN1707" s="22"/>
      <c r="AO1707" s="22"/>
      <c r="AP1707" s="22"/>
      <c r="AQ1707" s="22"/>
      <c r="AR1707" s="22"/>
      <c r="AS1707" s="22"/>
      <c r="AT1707" s="22"/>
      <c r="AU1707" s="22"/>
      <c r="AV1707" s="22"/>
      <c r="AW1707" s="22"/>
      <c r="AX1707" s="22"/>
    </row>
    <row r="1708" spans="1:50" x14ac:dyDescent="0.35">
      <c r="A1708" s="23"/>
      <c r="B1708" s="23"/>
      <c r="C1708" s="23"/>
      <c r="D1708" s="23"/>
      <c r="E1708" s="23"/>
      <c r="F1708" s="23"/>
      <c r="G1708" s="23"/>
      <c r="H1708" s="23"/>
      <c r="I1708" s="23"/>
      <c r="J1708" s="23"/>
      <c r="K1708" s="23"/>
      <c r="L1708" s="23"/>
      <c r="M1708" s="23"/>
      <c r="N1708" s="23"/>
      <c r="O1708" s="23"/>
      <c r="P1708" s="23"/>
      <c r="Q1708" s="23"/>
      <c r="R1708" s="23"/>
      <c r="S1708" s="23"/>
      <c r="T1708" s="23"/>
      <c r="U1708" s="22"/>
      <c r="V1708" s="22"/>
      <c r="W1708" s="22"/>
      <c r="X1708" s="22"/>
      <c r="Y1708" s="22"/>
      <c r="Z1708" s="22"/>
      <c r="AA1708" s="22"/>
      <c r="AB1708" s="22"/>
      <c r="AC1708" s="22"/>
      <c r="AD1708" s="22"/>
      <c r="AE1708" s="22"/>
      <c r="AF1708" s="22"/>
      <c r="AG1708" s="22"/>
      <c r="AH1708" s="22"/>
      <c r="AI1708" s="22"/>
      <c r="AJ1708" s="22"/>
      <c r="AK1708" s="22"/>
      <c r="AL1708" s="22"/>
      <c r="AM1708" s="22"/>
      <c r="AN1708" s="22"/>
      <c r="AO1708" s="22"/>
      <c r="AP1708" s="22"/>
      <c r="AQ1708" s="22"/>
      <c r="AR1708" s="22"/>
      <c r="AS1708" s="22"/>
      <c r="AT1708" s="22"/>
      <c r="AU1708" s="22"/>
      <c r="AV1708" s="22"/>
      <c r="AW1708" s="22"/>
      <c r="AX1708" s="22"/>
    </row>
    <row r="1709" spans="1:50" x14ac:dyDescent="0.35">
      <c r="A1709" s="23"/>
      <c r="B1709" s="23"/>
      <c r="C1709" s="23"/>
      <c r="D1709" s="23"/>
      <c r="E1709" s="23"/>
      <c r="F1709" s="23"/>
      <c r="G1709" s="23"/>
      <c r="H1709" s="23"/>
      <c r="I1709" s="23"/>
      <c r="J1709" s="23"/>
      <c r="K1709" s="23"/>
      <c r="L1709" s="23"/>
      <c r="M1709" s="23"/>
      <c r="N1709" s="23"/>
      <c r="O1709" s="23"/>
      <c r="P1709" s="23"/>
      <c r="Q1709" s="23"/>
      <c r="R1709" s="23"/>
      <c r="S1709" s="23"/>
      <c r="T1709" s="23"/>
      <c r="U1709" s="22"/>
      <c r="V1709" s="22"/>
      <c r="W1709" s="22"/>
      <c r="X1709" s="22"/>
      <c r="Y1709" s="22"/>
      <c r="Z1709" s="22"/>
      <c r="AA1709" s="22"/>
      <c r="AB1709" s="22"/>
      <c r="AC1709" s="22"/>
      <c r="AD1709" s="22"/>
      <c r="AE1709" s="22"/>
      <c r="AF1709" s="22"/>
      <c r="AG1709" s="22"/>
      <c r="AH1709" s="22"/>
      <c r="AI1709" s="22"/>
      <c r="AJ1709" s="22"/>
      <c r="AK1709" s="22"/>
      <c r="AL1709" s="22"/>
      <c r="AM1709" s="22"/>
      <c r="AN1709" s="22"/>
      <c r="AO1709" s="22"/>
      <c r="AP1709" s="22"/>
      <c r="AQ1709" s="22"/>
      <c r="AR1709" s="22"/>
      <c r="AS1709" s="22"/>
      <c r="AT1709" s="22"/>
      <c r="AU1709" s="22"/>
      <c r="AV1709" s="22"/>
      <c r="AW1709" s="22"/>
      <c r="AX1709" s="22"/>
    </row>
    <row r="1710" spans="1:50" x14ac:dyDescent="0.35">
      <c r="A1710" s="23"/>
      <c r="B1710" s="23"/>
      <c r="C1710" s="23"/>
      <c r="D1710" s="23"/>
      <c r="E1710" s="23"/>
      <c r="F1710" s="23"/>
      <c r="G1710" s="23"/>
      <c r="H1710" s="23"/>
      <c r="I1710" s="23"/>
      <c r="J1710" s="23"/>
      <c r="K1710" s="23"/>
      <c r="L1710" s="23"/>
      <c r="M1710" s="23"/>
      <c r="N1710" s="23"/>
      <c r="O1710" s="23"/>
      <c r="P1710" s="23"/>
      <c r="Q1710" s="23"/>
      <c r="R1710" s="23"/>
      <c r="S1710" s="23"/>
      <c r="T1710" s="23"/>
      <c r="U1710" s="22"/>
      <c r="V1710" s="22"/>
      <c r="W1710" s="22"/>
      <c r="X1710" s="22"/>
      <c r="Y1710" s="22"/>
      <c r="Z1710" s="22"/>
      <c r="AA1710" s="22"/>
      <c r="AB1710" s="22"/>
      <c r="AC1710" s="22"/>
      <c r="AD1710" s="22"/>
      <c r="AE1710" s="22"/>
      <c r="AF1710" s="22"/>
      <c r="AG1710" s="22"/>
      <c r="AH1710" s="22"/>
      <c r="AI1710" s="22"/>
      <c r="AJ1710" s="22"/>
      <c r="AK1710" s="22"/>
      <c r="AL1710" s="22"/>
      <c r="AM1710" s="22"/>
      <c r="AN1710" s="22"/>
      <c r="AO1710" s="22"/>
      <c r="AP1710" s="22"/>
      <c r="AQ1710" s="22"/>
      <c r="AR1710" s="22"/>
      <c r="AS1710" s="22"/>
      <c r="AT1710" s="22"/>
      <c r="AU1710" s="22"/>
      <c r="AV1710" s="22"/>
      <c r="AW1710" s="22"/>
      <c r="AX1710" s="22"/>
    </row>
    <row r="1711" spans="1:50" x14ac:dyDescent="0.35">
      <c r="A1711" s="23"/>
      <c r="B1711" s="23"/>
      <c r="C1711" s="23"/>
      <c r="D1711" s="23"/>
      <c r="E1711" s="23"/>
      <c r="F1711" s="23"/>
      <c r="G1711" s="23"/>
      <c r="H1711" s="23"/>
      <c r="I1711" s="23"/>
      <c r="J1711" s="23"/>
      <c r="K1711" s="23"/>
      <c r="L1711" s="23"/>
      <c r="M1711" s="23"/>
      <c r="N1711" s="23"/>
      <c r="O1711" s="23"/>
      <c r="P1711" s="23"/>
      <c r="Q1711" s="23"/>
      <c r="R1711" s="23"/>
      <c r="S1711" s="23"/>
      <c r="T1711" s="23"/>
      <c r="U1711" s="22"/>
      <c r="V1711" s="22"/>
      <c r="W1711" s="22"/>
      <c r="X1711" s="22"/>
      <c r="Y1711" s="22"/>
      <c r="Z1711" s="22"/>
      <c r="AA1711" s="22"/>
      <c r="AB1711" s="22"/>
      <c r="AC1711" s="22"/>
      <c r="AD1711" s="22"/>
      <c r="AE1711" s="22"/>
      <c r="AF1711" s="22"/>
      <c r="AG1711" s="22"/>
      <c r="AH1711" s="22"/>
      <c r="AI1711" s="22"/>
      <c r="AJ1711" s="22"/>
      <c r="AK1711" s="22"/>
      <c r="AL1711" s="22"/>
      <c r="AM1711" s="22"/>
      <c r="AN1711" s="22"/>
      <c r="AO1711" s="22"/>
      <c r="AP1711" s="22"/>
      <c r="AQ1711" s="22"/>
      <c r="AR1711" s="22"/>
      <c r="AS1711" s="22"/>
      <c r="AT1711" s="22"/>
      <c r="AU1711" s="22"/>
      <c r="AV1711" s="22"/>
      <c r="AW1711" s="22"/>
      <c r="AX1711" s="22"/>
    </row>
    <row r="1712" spans="1:50" x14ac:dyDescent="0.35">
      <c r="A1712" s="23"/>
      <c r="B1712" s="23"/>
      <c r="C1712" s="23"/>
      <c r="D1712" s="23"/>
      <c r="E1712" s="23"/>
      <c r="F1712" s="23"/>
      <c r="G1712" s="23"/>
      <c r="H1712" s="23"/>
      <c r="I1712" s="23"/>
      <c r="J1712" s="23"/>
      <c r="K1712" s="23"/>
      <c r="L1712" s="23"/>
      <c r="M1712" s="23"/>
      <c r="N1712" s="23"/>
      <c r="O1712" s="23"/>
      <c r="P1712" s="23"/>
      <c r="Q1712" s="23"/>
      <c r="R1712" s="23"/>
      <c r="S1712" s="23"/>
      <c r="T1712" s="23"/>
      <c r="U1712" s="22"/>
      <c r="V1712" s="22"/>
      <c r="W1712" s="22"/>
      <c r="X1712" s="22"/>
      <c r="Y1712" s="22"/>
      <c r="Z1712" s="22"/>
      <c r="AA1712" s="22"/>
      <c r="AB1712" s="22"/>
      <c r="AC1712" s="22"/>
      <c r="AD1712" s="22"/>
      <c r="AE1712" s="22"/>
      <c r="AF1712" s="22"/>
      <c r="AG1712" s="22"/>
      <c r="AH1712" s="22"/>
      <c r="AI1712" s="22"/>
      <c r="AJ1712" s="22"/>
      <c r="AK1712" s="22"/>
      <c r="AL1712" s="22"/>
      <c r="AM1712" s="22"/>
      <c r="AN1712" s="22"/>
      <c r="AO1712" s="22"/>
      <c r="AP1712" s="22"/>
      <c r="AQ1712" s="22"/>
      <c r="AR1712" s="22"/>
      <c r="AS1712" s="22"/>
      <c r="AT1712" s="22"/>
      <c r="AU1712" s="22"/>
      <c r="AV1712" s="22"/>
      <c r="AW1712" s="22"/>
      <c r="AX1712" s="22"/>
    </row>
    <row r="1713" spans="1:50" x14ac:dyDescent="0.35">
      <c r="A1713" s="23"/>
      <c r="B1713" s="23"/>
      <c r="C1713" s="23"/>
      <c r="D1713" s="23"/>
      <c r="E1713" s="23"/>
      <c r="F1713" s="23"/>
      <c r="G1713" s="23"/>
      <c r="H1713" s="23"/>
      <c r="I1713" s="23"/>
      <c r="J1713" s="23"/>
      <c r="K1713" s="23"/>
      <c r="L1713" s="23"/>
      <c r="M1713" s="23"/>
      <c r="N1713" s="23"/>
      <c r="O1713" s="23"/>
      <c r="P1713" s="23"/>
      <c r="Q1713" s="23"/>
      <c r="R1713" s="23"/>
      <c r="S1713" s="23"/>
      <c r="T1713" s="23"/>
      <c r="U1713" s="22"/>
      <c r="V1713" s="22"/>
      <c r="W1713" s="22"/>
      <c r="X1713" s="22"/>
      <c r="Y1713" s="22"/>
      <c r="Z1713" s="22"/>
      <c r="AA1713" s="22"/>
      <c r="AB1713" s="22"/>
      <c r="AC1713" s="22"/>
      <c r="AD1713" s="22"/>
      <c r="AE1713" s="22"/>
      <c r="AF1713" s="22"/>
      <c r="AG1713" s="22"/>
      <c r="AH1713" s="22"/>
      <c r="AI1713" s="22"/>
      <c r="AJ1713" s="22"/>
      <c r="AK1713" s="22"/>
      <c r="AL1713" s="22"/>
      <c r="AM1713" s="22"/>
      <c r="AN1713" s="22"/>
      <c r="AO1713" s="22"/>
      <c r="AP1713" s="22"/>
      <c r="AQ1713" s="22"/>
      <c r="AR1713" s="22"/>
      <c r="AS1713" s="22"/>
      <c r="AT1713" s="22"/>
      <c r="AU1713" s="22"/>
      <c r="AV1713" s="22"/>
      <c r="AW1713" s="22"/>
      <c r="AX1713" s="22"/>
    </row>
    <row r="1714" spans="1:50" x14ac:dyDescent="0.35">
      <c r="A1714" s="23"/>
      <c r="B1714" s="23"/>
      <c r="C1714" s="23"/>
      <c r="D1714" s="23"/>
      <c r="E1714" s="23"/>
      <c r="F1714" s="23"/>
      <c r="G1714" s="23"/>
      <c r="H1714" s="23"/>
      <c r="I1714" s="23"/>
      <c r="J1714" s="23"/>
      <c r="K1714" s="23"/>
      <c r="L1714" s="23"/>
      <c r="M1714" s="23"/>
      <c r="N1714" s="23"/>
      <c r="O1714" s="23"/>
      <c r="P1714" s="23"/>
      <c r="Q1714" s="23"/>
      <c r="R1714" s="23"/>
      <c r="S1714" s="23"/>
      <c r="T1714" s="23"/>
      <c r="U1714" s="22"/>
      <c r="V1714" s="22"/>
      <c r="W1714" s="22"/>
      <c r="X1714" s="22"/>
      <c r="Y1714" s="22"/>
      <c r="Z1714" s="22"/>
      <c r="AA1714" s="22"/>
      <c r="AB1714" s="22"/>
      <c r="AC1714" s="22"/>
      <c r="AD1714" s="22"/>
      <c r="AE1714" s="22"/>
      <c r="AF1714" s="22"/>
      <c r="AG1714" s="22"/>
      <c r="AH1714" s="22"/>
      <c r="AI1714" s="22"/>
      <c r="AJ1714" s="22"/>
      <c r="AK1714" s="22"/>
      <c r="AL1714" s="22"/>
      <c r="AM1714" s="22"/>
      <c r="AN1714" s="22"/>
      <c r="AO1714" s="22"/>
      <c r="AP1714" s="22"/>
      <c r="AQ1714" s="22"/>
      <c r="AR1714" s="22"/>
      <c r="AS1714" s="22"/>
      <c r="AT1714" s="22"/>
      <c r="AU1714" s="22"/>
      <c r="AV1714" s="22"/>
      <c r="AW1714" s="22"/>
      <c r="AX1714" s="22"/>
    </row>
    <row r="1715" spans="1:50" x14ac:dyDescent="0.35">
      <c r="A1715" s="23"/>
      <c r="B1715" s="23"/>
      <c r="C1715" s="23"/>
      <c r="D1715" s="23"/>
      <c r="E1715" s="23"/>
      <c r="F1715" s="23"/>
      <c r="G1715" s="23"/>
      <c r="H1715" s="23"/>
      <c r="I1715" s="23"/>
      <c r="J1715" s="23"/>
      <c r="K1715" s="23"/>
      <c r="L1715" s="23"/>
      <c r="M1715" s="23"/>
      <c r="N1715" s="23"/>
      <c r="O1715" s="23"/>
      <c r="P1715" s="23"/>
      <c r="Q1715" s="23"/>
      <c r="R1715" s="23"/>
      <c r="S1715" s="23"/>
      <c r="T1715" s="23"/>
      <c r="U1715" s="22"/>
      <c r="V1715" s="22"/>
      <c r="W1715" s="22"/>
      <c r="X1715" s="22"/>
      <c r="Y1715" s="22"/>
      <c r="Z1715" s="22"/>
      <c r="AA1715" s="22"/>
      <c r="AB1715" s="22"/>
      <c r="AC1715" s="22"/>
      <c r="AD1715" s="22"/>
      <c r="AE1715" s="22"/>
      <c r="AF1715" s="22"/>
      <c r="AG1715" s="22"/>
      <c r="AH1715" s="22"/>
      <c r="AI1715" s="22"/>
      <c r="AJ1715" s="22"/>
      <c r="AK1715" s="22"/>
      <c r="AL1715" s="22"/>
      <c r="AM1715" s="22"/>
      <c r="AN1715" s="22"/>
      <c r="AO1715" s="22"/>
      <c r="AP1715" s="22"/>
      <c r="AQ1715" s="22"/>
      <c r="AR1715" s="22"/>
      <c r="AS1715" s="22"/>
      <c r="AT1715" s="22"/>
      <c r="AU1715" s="22"/>
      <c r="AV1715" s="22"/>
      <c r="AW1715" s="22"/>
      <c r="AX1715" s="22"/>
    </row>
    <row r="1716" spans="1:50" x14ac:dyDescent="0.35">
      <c r="A1716" s="23"/>
      <c r="B1716" s="23"/>
      <c r="C1716" s="23"/>
      <c r="D1716" s="23"/>
      <c r="E1716" s="23"/>
      <c r="F1716" s="23"/>
      <c r="G1716" s="23"/>
      <c r="H1716" s="23"/>
      <c r="I1716" s="23"/>
      <c r="J1716" s="23"/>
      <c r="K1716" s="23"/>
      <c r="L1716" s="23"/>
      <c r="M1716" s="23"/>
      <c r="N1716" s="23"/>
      <c r="O1716" s="23"/>
      <c r="P1716" s="23"/>
      <c r="Q1716" s="23"/>
      <c r="R1716" s="23"/>
      <c r="S1716" s="23"/>
      <c r="T1716" s="23"/>
      <c r="U1716" s="22"/>
      <c r="V1716" s="22"/>
      <c r="W1716" s="22"/>
      <c r="X1716" s="22"/>
      <c r="Y1716" s="22"/>
      <c r="Z1716" s="22"/>
      <c r="AA1716" s="22"/>
      <c r="AB1716" s="22"/>
      <c r="AC1716" s="22"/>
      <c r="AD1716" s="22"/>
      <c r="AE1716" s="22"/>
      <c r="AF1716" s="22"/>
      <c r="AG1716" s="22"/>
      <c r="AH1716" s="22"/>
      <c r="AI1716" s="22"/>
      <c r="AJ1716" s="22"/>
      <c r="AK1716" s="22"/>
      <c r="AL1716" s="22"/>
      <c r="AM1716" s="22"/>
      <c r="AN1716" s="22"/>
      <c r="AO1716" s="22"/>
      <c r="AP1716" s="22"/>
      <c r="AQ1716" s="22"/>
      <c r="AR1716" s="22"/>
      <c r="AS1716" s="22"/>
      <c r="AT1716" s="22"/>
      <c r="AU1716" s="22"/>
      <c r="AV1716" s="22"/>
      <c r="AW1716" s="22"/>
      <c r="AX1716" s="22"/>
    </row>
    <row r="1717" spans="1:50" x14ac:dyDescent="0.35">
      <c r="A1717" s="23"/>
      <c r="B1717" s="23"/>
      <c r="C1717" s="23"/>
      <c r="D1717" s="23"/>
      <c r="E1717" s="23"/>
      <c r="F1717" s="23"/>
      <c r="G1717" s="23"/>
      <c r="H1717" s="23"/>
      <c r="I1717" s="23"/>
      <c r="J1717" s="23"/>
      <c r="K1717" s="23"/>
      <c r="L1717" s="23"/>
      <c r="M1717" s="23"/>
      <c r="N1717" s="23"/>
      <c r="O1717" s="23"/>
      <c r="P1717" s="23"/>
      <c r="Q1717" s="23"/>
      <c r="R1717" s="23"/>
      <c r="S1717" s="23"/>
      <c r="T1717" s="23"/>
      <c r="U1717" s="22"/>
      <c r="V1717" s="22"/>
      <c r="W1717" s="22"/>
      <c r="X1717" s="22"/>
      <c r="Y1717" s="22"/>
      <c r="Z1717" s="22"/>
      <c r="AA1717" s="22"/>
      <c r="AB1717" s="22"/>
      <c r="AC1717" s="22"/>
      <c r="AD1717" s="22"/>
      <c r="AE1717" s="22"/>
      <c r="AF1717" s="22"/>
      <c r="AG1717" s="22"/>
      <c r="AH1717" s="22"/>
      <c r="AI1717" s="22"/>
      <c r="AJ1717" s="22"/>
      <c r="AK1717" s="22"/>
      <c r="AL1717" s="22"/>
      <c r="AM1717" s="22"/>
      <c r="AN1717" s="22"/>
      <c r="AO1717" s="22"/>
      <c r="AP1717" s="22"/>
      <c r="AQ1717" s="22"/>
      <c r="AR1717" s="22"/>
      <c r="AS1717" s="22"/>
      <c r="AT1717" s="22"/>
      <c r="AU1717" s="22"/>
      <c r="AV1717" s="22"/>
      <c r="AW1717" s="22"/>
      <c r="AX1717" s="22"/>
    </row>
    <row r="1718" spans="1:50" x14ac:dyDescent="0.35">
      <c r="A1718" s="23"/>
      <c r="B1718" s="23"/>
      <c r="C1718" s="23"/>
      <c r="D1718" s="23"/>
      <c r="E1718" s="23"/>
      <c r="F1718" s="23"/>
      <c r="G1718" s="23"/>
      <c r="H1718" s="23"/>
      <c r="I1718" s="23"/>
      <c r="J1718" s="23"/>
      <c r="K1718" s="23"/>
      <c r="L1718" s="23"/>
      <c r="M1718" s="23"/>
      <c r="N1718" s="23"/>
      <c r="O1718" s="23"/>
      <c r="P1718" s="23"/>
      <c r="Q1718" s="23"/>
      <c r="R1718" s="23"/>
      <c r="S1718" s="23"/>
      <c r="T1718" s="23"/>
      <c r="U1718" s="22"/>
      <c r="V1718" s="22"/>
      <c r="W1718" s="22"/>
      <c r="X1718" s="22"/>
      <c r="Y1718" s="22"/>
      <c r="Z1718" s="22"/>
      <c r="AA1718" s="22"/>
      <c r="AB1718" s="22"/>
      <c r="AC1718" s="22"/>
      <c r="AD1718" s="22"/>
      <c r="AE1718" s="22"/>
      <c r="AF1718" s="22"/>
      <c r="AG1718" s="22"/>
      <c r="AH1718" s="22"/>
      <c r="AI1718" s="22"/>
      <c r="AJ1718" s="22"/>
      <c r="AK1718" s="22"/>
      <c r="AL1718" s="22"/>
      <c r="AM1718" s="22"/>
      <c r="AN1718" s="22"/>
      <c r="AO1718" s="22"/>
      <c r="AP1718" s="22"/>
      <c r="AQ1718" s="22"/>
      <c r="AR1718" s="22"/>
      <c r="AS1718" s="22"/>
      <c r="AT1718" s="22"/>
      <c r="AU1718" s="22"/>
      <c r="AV1718" s="22"/>
      <c r="AW1718" s="22"/>
      <c r="AX1718" s="22"/>
    </row>
    <row r="1719" spans="1:50" x14ac:dyDescent="0.35">
      <c r="A1719" s="23"/>
      <c r="B1719" s="23"/>
      <c r="C1719" s="23"/>
      <c r="D1719" s="23"/>
      <c r="E1719" s="23"/>
      <c r="F1719" s="23"/>
      <c r="G1719" s="23"/>
      <c r="H1719" s="23"/>
      <c r="I1719" s="23"/>
      <c r="J1719" s="23"/>
      <c r="K1719" s="23"/>
      <c r="L1719" s="23"/>
      <c r="M1719" s="23"/>
      <c r="N1719" s="23"/>
      <c r="O1719" s="23"/>
      <c r="P1719" s="23"/>
      <c r="Q1719" s="23"/>
      <c r="R1719" s="23"/>
      <c r="S1719" s="23"/>
      <c r="T1719" s="23"/>
      <c r="U1719" s="22"/>
      <c r="V1719" s="22"/>
      <c r="W1719" s="22"/>
      <c r="X1719" s="22"/>
      <c r="Y1719" s="22"/>
      <c r="Z1719" s="22"/>
      <c r="AA1719" s="22"/>
      <c r="AB1719" s="22"/>
      <c r="AC1719" s="22"/>
      <c r="AD1719" s="22"/>
      <c r="AE1719" s="22"/>
      <c r="AF1719" s="22"/>
      <c r="AG1719" s="22"/>
      <c r="AH1719" s="22"/>
      <c r="AI1719" s="22"/>
      <c r="AJ1719" s="22"/>
      <c r="AK1719" s="22"/>
      <c r="AL1719" s="22"/>
      <c r="AM1719" s="22"/>
      <c r="AN1719" s="22"/>
      <c r="AO1719" s="22"/>
      <c r="AP1719" s="22"/>
      <c r="AQ1719" s="22"/>
      <c r="AR1719" s="22"/>
      <c r="AS1719" s="22"/>
      <c r="AT1719" s="22"/>
      <c r="AU1719" s="22"/>
      <c r="AV1719" s="22"/>
      <c r="AW1719" s="22"/>
      <c r="AX1719" s="22"/>
    </row>
    <row r="1720" spans="1:50" x14ac:dyDescent="0.35">
      <c r="A1720" s="23"/>
      <c r="B1720" s="23"/>
      <c r="C1720" s="23"/>
      <c r="D1720" s="23"/>
      <c r="E1720" s="23"/>
      <c r="F1720" s="23"/>
      <c r="G1720" s="23"/>
      <c r="H1720" s="23"/>
      <c r="I1720" s="23"/>
      <c r="J1720" s="23"/>
      <c r="K1720" s="23"/>
      <c r="L1720" s="23"/>
      <c r="M1720" s="23"/>
      <c r="N1720" s="23"/>
      <c r="O1720" s="23"/>
      <c r="P1720" s="23"/>
      <c r="Q1720" s="23"/>
      <c r="R1720" s="23"/>
      <c r="S1720" s="23"/>
      <c r="T1720" s="23"/>
      <c r="U1720" s="22"/>
      <c r="V1720" s="22"/>
      <c r="W1720" s="22"/>
      <c r="X1720" s="22"/>
      <c r="Y1720" s="22"/>
      <c r="Z1720" s="22"/>
      <c r="AA1720" s="22"/>
      <c r="AB1720" s="22"/>
      <c r="AC1720" s="22"/>
      <c r="AD1720" s="22"/>
      <c r="AE1720" s="22"/>
      <c r="AF1720" s="22"/>
      <c r="AG1720" s="22"/>
      <c r="AH1720" s="22"/>
      <c r="AI1720" s="22"/>
      <c r="AJ1720" s="22"/>
      <c r="AK1720" s="22"/>
      <c r="AL1720" s="22"/>
      <c r="AM1720" s="22"/>
      <c r="AN1720" s="22"/>
      <c r="AO1720" s="22"/>
      <c r="AP1720" s="22"/>
      <c r="AQ1720" s="22"/>
      <c r="AR1720" s="22"/>
      <c r="AS1720" s="22"/>
      <c r="AT1720" s="22"/>
      <c r="AU1720" s="22"/>
      <c r="AV1720" s="22"/>
      <c r="AW1720" s="22"/>
      <c r="AX1720" s="22"/>
    </row>
    <row r="1721" spans="1:50" x14ac:dyDescent="0.35">
      <c r="A1721" s="23"/>
      <c r="B1721" s="23"/>
      <c r="C1721" s="23"/>
      <c r="D1721" s="23"/>
      <c r="E1721" s="23"/>
      <c r="F1721" s="23"/>
      <c r="G1721" s="23"/>
      <c r="H1721" s="23"/>
      <c r="I1721" s="23"/>
      <c r="J1721" s="23"/>
      <c r="K1721" s="23"/>
      <c r="L1721" s="23"/>
      <c r="M1721" s="23"/>
      <c r="N1721" s="23"/>
      <c r="O1721" s="23"/>
      <c r="P1721" s="23"/>
      <c r="Q1721" s="23"/>
      <c r="R1721" s="23"/>
      <c r="S1721" s="23"/>
      <c r="T1721" s="23"/>
      <c r="U1721" s="22"/>
      <c r="V1721" s="22"/>
      <c r="W1721" s="22"/>
      <c r="X1721" s="22"/>
      <c r="Y1721" s="22"/>
      <c r="Z1721" s="22"/>
      <c r="AA1721" s="22"/>
      <c r="AB1721" s="22"/>
      <c r="AC1721" s="22"/>
      <c r="AD1721" s="22"/>
      <c r="AE1721" s="22"/>
      <c r="AF1721" s="22"/>
      <c r="AG1721" s="22"/>
      <c r="AH1721" s="22"/>
      <c r="AI1721" s="22"/>
      <c r="AJ1721" s="22"/>
      <c r="AK1721" s="22"/>
      <c r="AL1721" s="22"/>
      <c r="AM1721" s="22"/>
      <c r="AN1721" s="22"/>
      <c r="AO1721" s="22"/>
      <c r="AP1721" s="22"/>
      <c r="AQ1721" s="22"/>
      <c r="AR1721" s="22"/>
      <c r="AS1721" s="22"/>
      <c r="AT1721" s="22"/>
      <c r="AU1721" s="22"/>
      <c r="AV1721" s="22"/>
      <c r="AW1721" s="22"/>
      <c r="AX1721" s="22"/>
    </row>
    <row r="1722" spans="1:50" x14ac:dyDescent="0.35">
      <c r="A1722" s="23"/>
      <c r="B1722" s="23"/>
      <c r="C1722" s="23"/>
      <c r="D1722" s="23"/>
      <c r="E1722" s="23"/>
      <c r="F1722" s="23"/>
      <c r="G1722" s="23"/>
      <c r="H1722" s="23"/>
      <c r="I1722" s="23"/>
      <c r="J1722" s="23"/>
      <c r="K1722" s="23"/>
      <c r="L1722" s="23"/>
      <c r="M1722" s="23"/>
      <c r="N1722" s="23"/>
      <c r="O1722" s="23"/>
      <c r="P1722" s="23"/>
      <c r="Q1722" s="23"/>
      <c r="R1722" s="23"/>
      <c r="S1722" s="23"/>
      <c r="T1722" s="23"/>
      <c r="U1722" s="22"/>
      <c r="V1722" s="22"/>
      <c r="W1722" s="22"/>
      <c r="X1722" s="22"/>
      <c r="Y1722" s="22"/>
      <c r="Z1722" s="22"/>
      <c r="AA1722" s="22"/>
      <c r="AB1722" s="22"/>
      <c r="AC1722" s="22"/>
      <c r="AD1722" s="22"/>
      <c r="AE1722" s="22"/>
      <c r="AF1722" s="22"/>
      <c r="AG1722" s="22"/>
      <c r="AH1722" s="22"/>
      <c r="AI1722" s="22"/>
      <c r="AJ1722" s="22"/>
      <c r="AK1722" s="22"/>
      <c r="AL1722" s="22"/>
      <c r="AM1722" s="22"/>
      <c r="AN1722" s="22"/>
      <c r="AO1722" s="22"/>
      <c r="AP1722" s="22"/>
      <c r="AQ1722" s="22"/>
      <c r="AR1722" s="22"/>
      <c r="AS1722" s="22"/>
      <c r="AT1722" s="22"/>
      <c r="AU1722" s="22"/>
      <c r="AV1722" s="22"/>
      <c r="AW1722" s="22"/>
      <c r="AX1722" s="22"/>
    </row>
    <row r="1723" spans="1:50" x14ac:dyDescent="0.35">
      <c r="A1723" s="23"/>
      <c r="B1723" s="23"/>
      <c r="C1723" s="23"/>
      <c r="D1723" s="23"/>
      <c r="E1723" s="23"/>
      <c r="F1723" s="23"/>
      <c r="G1723" s="23"/>
      <c r="H1723" s="23"/>
      <c r="I1723" s="23"/>
      <c r="J1723" s="23"/>
      <c r="K1723" s="23"/>
      <c r="L1723" s="23"/>
      <c r="M1723" s="23"/>
      <c r="N1723" s="23"/>
      <c r="O1723" s="23"/>
      <c r="P1723" s="23"/>
      <c r="Q1723" s="23"/>
      <c r="R1723" s="23"/>
      <c r="S1723" s="23"/>
      <c r="T1723" s="23"/>
      <c r="U1723" s="22"/>
      <c r="V1723" s="22"/>
      <c r="W1723" s="22"/>
      <c r="X1723" s="22"/>
      <c r="Y1723" s="22"/>
      <c r="Z1723" s="22"/>
      <c r="AA1723" s="22"/>
      <c r="AB1723" s="22"/>
      <c r="AC1723" s="22"/>
      <c r="AD1723" s="22"/>
      <c r="AE1723" s="22"/>
      <c r="AF1723" s="22"/>
      <c r="AG1723" s="22"/>
      <c r="AH1723" s="22"/>
      <c r="AI1723" s="22"/>
      <c r="AJ1723" s="22"/>
      <c r="AK1723" s="22"/>
      <c r="AL1723" s="22"/>
      <c r="AM1723" s="22"/>
      <c r="AN1723" s="22"/>
      <c r="AO1723" s="22"/>
      <c r="AP1723" s="22"/>
      <c r="AQ1723" s="22"/>
      <c r="AR1723" s="22"/>
      <c r="AS1723" s="22"/>
      <c r="AT1723" s="22"/>
      <c r="AU1723" s="22"/>
      <c r="AV1723" s="22"/>
      <c r="AW1723" s="22"/>
      <c r="AX1723" s="22"/>
    </row>
    <row r="1724" spans="1:50" x14ac:dyDescent="0.35">
      <c r="A1724" s="23"/>
      <c r="B1724" s="23"/>
      <c r="C1724" s="23"/>
      <c r="D1724" s="23"/>
      <c r="E1724" s="23"/>
      <c r="F1724" s="23"/>
      <c r="G1724" s="23"/>
      <c r="H1724" s="23"/>
      <c r="I1724" s="23"/>
      <c r="J1724" s="23"/>
      <c r="K1724" s="23"/>
      <c r="L1724" s="23"/>
      <c r="M1724" s="23"/>
      <c r="N1724" s="23"/>
      <c r="O1724" s="23"/>
      <c r="P1724" s="23"/>
      <c r="Q1724" s="23"/>
      <c r="R1724" s="23"/>
      <c r="S1724" s="23"/>
      <c r="T1724" s="23"/>
      <c r="U1724" s="22"/>
      <c r="V1724" s="22"/>
      <c r="W1724" s="22"/>
      <c r="X1724" s="22"/>
      <c r="Y1724" s="22"/>
      <c r="Z1724" s="22"/>
      <c r="AA1724" s="22"/>
      <c r="AB1724" s="22"/>
      <c r="AC1724" s="22"/>
      <c r="AD1724" s="22"/>
      <c r="AE1724" s="22"/>
      <c r="AF1724" s="22"/>
      <c r="AG1724" s="22"/>
      <c r="AH1724" s="22"/>
      <c r="AI1724" s="22"/>
      <c r="AJ1724" s="22"/>
      <c r="AK1724" s="22"/>
      <c r="AL1724" s="22"/>
      <c r="AM1724" s="22"/>
      <c r="AN1724" s="22"/>
      <c r="AO1724" s="22"/>
      <c r="AP1724" s="22"/>
      <c r="AQ1724" s="22"/>
      <c r="AR1724" s="22"/>
      <c r="AS1724" s="22"/>
      <c r="AT1724" s="22"/>
      <c r="AU1724" s="22"/>
      <c r="AV1724" s="22"/>
      <c r="AW1724" s="22"/>
      <c r="AX1724" s="22"/>
    </row>
    <row r="1725" spans="1:50" x14ac:dyDescent="0.35">
      <c r="A1725" s="23"/>
      <c r="B1725" s="23"/>
      <c r="C1725" s="23"/>
      <c r="D1725" s="23"/>
      <c r="E1725" s="23"/>
      <c r="F1725" s="23"/>
      <c r="G1725" s="23"/>
      <c r="H1725" s="23"/>
      <c r="I1725" s="23"/>
      <c r="J1725" s="23"/>
      <c r="K1725" s="23"/>
      <c r="L1725" s="23"/>
      <c r="M1725" s="23"/>
      <c r="N1725" s="23"/>
      <c r="O1725" s="23"/>
      <c r="P1725" s="23"/>
      <c r="Q1725" s="23"/>
      <c r="R1725" s="23"/>
      <c r="S1725" s="23"/>
      <c r="T1725" s="23"/>
      <c r="U1725" s="22"/>
      <c r="V1725" s="22"/>
      <c r="W1725" s="22"/>
      <c r="X1725" s="22"/>
      <c r="Y1725" s="22"/>
      <c r="Z1725" s="22"/>
      <c r="AA1725" s="22"/>
      <c r="AB1725" s="22"/>
      <c r="AC1725" s="22"/>
      <c r="AD1725" s="22"/>
      <c r="AE1725" s="22"/>
      <c r="AF1725" s="22"/>
      <c r="AG1725" s="22"/>
      <c r="AH1725" s="22"/>
      <c r="AI1725" s="22"/>
      <c r="AJ1725" s="22"/>
      <c r="AK1725" s="22"/>
      <c r="AL1725" s="22"/>
      <c r="AM1725" s="22"/>
      <c r="AN1725" s="22"/>
      <c r="AO1725" s="22"/>
      <c r="AP1725" s="22"/>
      <c r="AQ1725" s="22"/>
      <c r="AR1725" s="22"/>
      <c r="AS1725" s="22"/>
      <c r="AT1725" s="22"/>
      <c r="AU1725" s="22"/>
      <c r="AV1725" s="22"/>
      <c r="AW1725" s="22"/>
      <c r="AX1725" s="22"/>
    </row>
    <row r="1726" spans="1:50" x14ac:dyDescent="0.35">
      <c r="A1726" s="23"/>
      <c r="B1726" s="23"/>
      <c r="C1726" s="23"/>
      <c r="D1726" s="23"/>
      <c r="E1726" s="23"/>
      <c r="F1726" s="23"/>
      <c r="G1726" s="23"/>
      <c r="H1726" s="23"/>
      <c r="I1726" s="23"/>
      <c r="J1726" s="23"/>
      <c r="K1726" s="23"/>
      <c r="L1726" s="23"/>
      <c r="M1726" s="23"/>
      <c r="N1726" s="23"/>
      <c r="O1726" s="23"/>
      <c r="P1726" s="23"/>
      <c r="Q1726" s="23"/>
      <c r="R1726" s="23"/>
      <c r="S1726" s="23"/>
      <c r="T1726" s="23"/>
      <c r="U1726" s="22"/>
      <c r="V1726" s="22"/>
      <c r="W1726" s="22"/>
      <c r="X1726" s="22"/>
      <c r="Y1726" s="22"/>
      <c r="Z1726" s="22"/>
      <c r="AA1726" s="22"/>
      <c r="AB1726" s="22"/>
      <c r="AC1726" s="22"/>
      <c r="AD1726" s="22"/>
      <c r="AE1726" s="22"/>
      <c r="AF1726" s="22"/>
      <c r="AG1726" s="22"/>
      <c r="AH1726" s="22"/>
      <c r="AI1726" s="22"/>
      <c r="AJ1726" s="22"/>
      <c r="AK1726" s="22"/>
      <c r="AL1726" s="22"/>
      <c r="AM1726" s="22"/>
      <c r="AN1726" s="22"/>
      <c r="AO1726" s="22"/>
      <c r="AP1726" s="22"/>
      <c r="AQ1726" s="22"/>
      <c r="AR1726" s="22"/>
      <c r="AS1726" s="22"/>
      <c r="AT1726" s="22"/>
      <c r="AU1726" s="22"/>
      <c r="AV1726" s="22"/>
      <c r="AW1726" s="22"/>
      <c r="AX1726" s="22"/>
    </row>
    <row r="1727" spans="1:50" x14ac:dyDescent="0.35">
      <c r="A1727" s="23"/>
      <c r="B1727" s="23"/>
      <c r="C1727" s="23"/>
      <c r="D1727" s="23"/>
      <c r="E1727" s="23"/>
      <c r="F1727" s="23"/>
      <c r="G1727" s="23"/>
      <c r="H1727" s="23"/>
      <c r="I1727" s="23"/>
      <c r="J1727" s="23"/>
      <c r="K1727" s="23"/>
      <c r="L1727" s="23"/>
      <c r="M1727" s="23"/>
      <c r="N1727" s="23"/>
      <c r="O1727" s="23"/>
      <c r="P1727" s="23"/>
      <c r="Q1727" s="23"/>
      <c r="R1727" s="23"/>
      <c r="S1727" s="23"/>
      <c r="T1727" s="23"/>
      <c r="U1727" s="22"/>
      <c r="V1727" s="22"/>
      <c r="W1727" s="22"/>
      <c r="X1727" s="22"/>
      <c r="Y1727" s="22"/>
      <c r="Z1727" s="22"/>
      <c r="AA1727" s="22"/>
      <c r="AB1727" s="22"/>
      <c r="AC1727" s="22"/>
      <c r="AD1727" s="22"/>
      <c r="AE1727" s="22"/>
      <c r="AF1727" s="22"/>
      <c r="AG1727" s="22"/>
      <c r="AH1727" s="22"/>
      <c r="AI1727" s="22"/>
      <c r="AJ1727" s="22"/>
      <c r="AK1727" s="22"/>
      <c r="AL1727" s="22"/>
      <c r="AM1727" s="22"/>
      <c r="AN1727" s="22"/>
      <c r="AO1727" s="22"/>
      <c r="AP1727" s="22"/>
      <c r="AQ1727" s="22"/>
      <c r="AR1727" s="22"/>
      <c r="AS1727" s="22"/>
      <c r="AT1727" s="22"/>
      <c r="AU1727" s="22"/>
      <c r="AV1727" s="22"/>
      <c r="AW1727" s="22"/>
      <c r="AX1727" s="22"/>
    </row>
    <row r="1728" spans="1:50" x14ac:dyDescent="0.35">
      <c r="A1728" s="23"/>
      <c r="B1728" s="23"/>
      <c r="C1728" s="23"/>
      <c r="D1728" s="23"/>
      <c r="E1728" s="23"/>
      <c r="F1728" s="23"/>
      <c r="G1728" s="23"/>
      <c r="H1728" s="23"/>
      <c r="I1728" s="23"/>
      <c r="J1728" s="23"/>
      <c r="K1728" s="23"/>
      <c r="L1728" s="23"/>
      <c r="M1728" s="23"/>
      <c r="N1728" s="23"/>
      <c r="O1728" s="23"/>
      <c r="P1728" s="23"/>
      <c r="Q1728" s="23"/>
      <c r="R1728" s="23"/>
      <c r="S1728" s="23"/>
      <c r="T1728" s="23"/>
      <c r="U1728" s="22"/>
      <c r="V1728" s="22"/>
      <c r="W1728" s="22"/>
      <c r="X1728" s="22"/>
      <c r="Y1728" s="22"/>
      <c r="Z1728" s="22"/>
      <c r="AA1728" s="22"/>
      <c r="AB1728" s="22"/>
      <c r="AC1728" s="22"/>
      <c r="AD1728" s="22"/>
      <c r="AE1728" s="22"/>
      <c r="AF1728" s="22"/>
      <c r="AG1728" s="22"/>
      <c r="AH1728" s="22"/>
      <c r="AI1728" s="22"/>
      <c r="AJ1728" s="22"/>
      <c r="AK1728" s="22"/>
      <c r="AL1728" s="22"/>
      <c r="AM1728" s="22"/>
      <c r="AN1728" s="22"/>
      <c r="AO1728" s="22"/>
      <c r="AP1728" s="22"/>
      <c r="AQ1728" s="22"/>
      <c r="AR1728" s="22"/>
      <c r="AS1728" s="22"/>
      <c r="AT1728" s="22"/>
      <c r="AU1728" s="22"/>
      <c r="AV1728" s="22"/>
      <c r="AW1728" s="22"/>
      <c r="AX1728" s="22"/>
    </row>
    <row r="1729" spans="1:50" x14ac:dyDescent="0.35">
      <c r="A1729" s="23"/>
      <c r="B1729" s="23"/>
      <c r="C1729" s="23"/>
      <c r="D1729" s="23"/>
      <c r="E1729" s="23"/>
      <c r="F1729" s="23"/>
      <c r="G1729" s="23"/>
      <c r="H1729" s="23"/>
      <c r="I1729" s="23"/>
      <c r="J1729" s="23"/>
      <c r="K1729" s="23"/>
      <c r="L1729" s="23"/>
      <c r="M1729" s="23"/>
      <c r="N1729" s="23"/>
      <c r="O1729" s="23"/>
      <c r="P1729" s="23"/>
      <c r="Q1729" s="23"/>
      <c r="R1729" s="23"/>
      <c r="S1729" s="23"/>
      <c r="T1729" s="23"/>
      <c r="U1729" s="22"/>
      <c r="V1729" s="22"/>
      <c r="W1729" s="22"/>
      <c r="X1729" s="22"/>
      <c r="Y1729" s="22"/>
      <c r="Z1729" s="22"/>
      <c r="AA1729" s="22"/>
      <c r="AB1729" s="22"/>
      <c r="AC1729" s="22"/>
      <c r="AD1729" s="22"/>
      <c r="AE1729" s="22"/>
      <c r="AF1729" s="22"/>
      <c r="AG1729" s="22"/>
      <c r="AH1729" s="22"/>
      <c r="AI1729" s="22"/>
      <c r="AJ1729" s="22"/>
      <c r="AK1729" s="22"/>
      <c r="AL1729" s="22"/>
      <c r="AM1729" s="22"/>
      <c r="AN1729" s="22"/>
      <c r="AO1729" s="22"/>
      <c r="AP1729" s="22"/>
      <c r="AQ1729" s="22"/>
      <c r="AR1729" s="22"/>
      <c r="AS1729" s="22"/>
      <c r="AT1729" s="22"/>
      <c r="AU1729" s="22"/>
      <c r="AV1729" s="22"/>
      <c r="AW1729" s="22"/>
      <c r="AX1729" s="22"/>
    </row>
    <row r="1730" spans="1:50" x14ac:dyDescent="0.35">
      <c r="A1730" s="23"/>
      <c r="B1730" s="23"/>
      <c r="C1730" s="23"/>
      <c r="D1730" s="23"/>
      <c r="E1730" s="23"/>
      <c r="F1730" s="23"/>
      <c r="G1730" s="23"/>
      <c r="H1730" s="23"/>
      <c r="I1730" s="23"/>
      <c r="J1730" s="23"/>
      <c r="K1730" s="23"/>
      <c r="L1730" s="23"/>
      <c r="M1730" s="23"/>
      <c r="N1730" s="23"/>
      <c r="O1730" s="23"/>
      <c r="P1730" s="23"/>
      <c r="Q1730" s="23"/>
      <c r="R1730" s="23"/>
      <c r="S1730" s="23"/>
      <c r="T1730" s="23"/>
      <c r="U1730" s="22"/>
      <c r="V1730" s="22"/>
      <c r="W1730" s="22"/>
      <c r="X1730" s="22"/>
      <c r="Y1730" s="22"/>
      <c r="Z1730" s="22"/>
      <c r="AA1730" s="22"/>
      <c r="AB1730" s="22"/>
      <c r="AC1730" s="22"/>
      <c r="AD1730" s="22"/>
      <c r="AE1730" s="22"/>
      <c r="AF1730" s="22"/>
      <c r="AG1730" s="22"/>
      <c r="AH1730" s="22"/>
      <c r="AI1730" s="22"/>
      <c r="AJ1730" s="22"/>
      <c r="AK1730" s="22"/>
      <c r="AL1730" s="22"/>
      <c r="AM1730" s="22"/>
      <c r="AN1730" s="22"/>
      <c r="AO1730" s="22"/>
      <c r="AP1730" s="22"/>
      <c r="AQ1730" s="22"/>
      <c r="AR1730" s="22"/>
      <c r="AS1730" s="22"/>
      <c r="AT1730" s="22"/>
      <c r="AU1730" s="22"/>
      <c r="AV1730" s="22"/>
      <c r="AW1730" s="22"/>
      <c r="AX1730" s="22"/>
    </row>
    <row r="1731" spans="1:50" x14ac:dyDescent="0.35">
      <c r="A1731" s="23"/>
      <c r="B1731" s="23"/>
      <c r="C1731" s="23"/>
      <c r="D1731" s="23"/>
      <c r="E1731" s="23"/>
      <c r="F1731" s="23"/>
      <c r="G1731" s="23"/>
      <c r="H1731" s="23"/>
      <c r="I1731" s="23"/>
      <c r="J1731" s="23"/>
      <c r="K1731" s="23"/>
      <c r="L1731" s="23"/>
      <c r="M1731" s="23"/>
      <c r="N1731" s="23"/>
      <c r="O1731" s="23"/>
      <c r="P1731" s="23"/>
      <c r="Q1731" s="23"/>
      <c r="R1731" s="23"/>
      <c r="S1731" s="23"/>
      <c r="T1731" s="23"/>
      <c r="U1731" s="22"/>
      <c r="V1731" s="22"/>
      <c r="W1731" s="22"/>
      <c r="X1731" s="22"/>
      <c r="Y1731" s="22"/>
      <c r="Z1731" s="22"/>
      <c r="AA1731" s="22"/>
      <c r="AB1731" s="22"/>
      <c r="AC1731" s="22"/>
      <c r="AD1731" s="22"/>
      <c r="AE1731" s="22"/>
      <c r="AF1731" s="22"/>
      <c r="AG1731" s="22"/>
      <c r="AH1731" s="22"/>
      <c r="AI1731" s="22"/>
      <c r="AJ1731" s="22"/>
      <c r="AK1731" s="22"/>
      <c r="AL1731" s="22"/>
      <c r="AM1731" s="22"/>
      <c r="AN1731" s="22"/>
      <c r="AO1731" s="22"/>
      <c r="AP1731" s="22"/>
      <c r="AQ1731" s="22"/>
      <c r="AR1731" s="22"/>
      <c r="AS1731" s="22"/>
      <c r="AT1731" s="22"/>
      <c r="AU1731" s="22"/>
      <c r="AV1731" s="22"/>
      <c r="AW1731" s="22"/>
      <c r="AX1731" s="22"/>
    </row>
    <row r="1732" spans="1:50" x14ac:dyDescent="0.35">
      <c r="A1732" s="23"/>
      <c r="B1732" s="23"/>
      <c r="C1732" s="23"/>
      <c r="D1732" s="23"/>
      <c r="E1732" s="23"/>
      <c r="F1732" s="23"/>
      <c r="G1732" s="23"/>
      <c r="H1732" s="23"/>
      <c r="I1732" s="23"/>
      <c r="J1732" s="23"/>
      <c r="K1732" s="23"/>
      <c r="L1732" s="23"/>
      <c r="M1732" s="23"/>
      <c r="N1732" s="23"/>
      <c r="O1732" s="23"/>
      <c r="P1732" s="23"/>
      <c r="Q1732" s="23"/>
      <c r="R1732" s="23"/>
      <c r="S1732" s="23"/>
      <c r="T1732" s="23"/>
      <c r="U1732" s="22"/>
      <c r="V1732" s="22"/>
      <c r="W1732" s="22"/>
      <c r="X1732" s="22"/>
      <c r="Y1732" s="22"/>
      <c r="Z1732" s="22"/>
      <c r="AA1732" s="22"/>
      <c r="AB1732" s="22"/>
      <c r="AC1732" s="22"/>
      <c r="AD1732" s="22"/>
      <c r="AE1732" s="22"/>
      <c r="AF1732" s="22"/>
      <c r="AG1732" s="22"/>
      <c r="AH1732" s="22"/>
      <c r="AI1732" s="22"/>
      <c r="AJ1732" s="22"/>
      <c r="AK1732" s="22"/>
      <c r="AL1732" s="22"/>
      <c r="AM1732" s="22"/>
      <c r="AN1732" s="22"/>
      <c r="AO1732" s="22"/>
      <c r="AP1732" s="22"/>
      <c r="AQ1732" s="22"/>
      <c r="AR1732" s="22"/>
      <c r="AS1732" s="22"/>
      <c r="AT1732" s="22"/>
      <c r="AU1732" s="22"/>
      <c r="AV1732" s="22"/>
      <c r="AW1732" s="22"/>
      <c r="AX1732" s="22"/>
    </row>
    <row r="1733" spans="1:50" x14ac:dyDescent="0.35">
      <c r="A1733" s="23"/>
      <c r="B1733" s="23"/>
      <c r="C1733" s="23"/>
      <c r="D1733" s="23"/>
      <c r="E1733" s="23"/>
      <c r="F1733" s="23"/>
      <c r="G1733" s="23"/>
      <c r="H1733" s="23"/>
      <c r="I1733" s="23"/>
      <c r="J1733" s="23"/>
      <c r="K1733" s="23"/>
      <c r="L1733" s="23"/>
      <c r="M1733" s="23"/>
      <c r="N1733" s="23"/>
      <c r="O1733" s="23"/>
      <c r="P1733" s="23"/>
      <c r="Q1733" s="23"/>
      <c r="R1733" s="23"/>
      <c r="S1733" s="23"/>
      <c r="T1733" s="23"/>
      <c r="U1733" s="22"/>
      <c r="V1733" s="22"/>
      <c r="W1733" s="22"/>
      <c r="X1733" s="22"/>
      <c r="Y1733" s="22"/>
      <c r="Z1733" s="22"/>
      <c r="AA1733" s="22"/>
      <c r="AB1733" s="22"/>
      <c r="AC1733" s="22"/>
      <c r="AD1733" s="22"/>
      <c r="AE1733" s="22"/>
      <c r="AF1733" s="22"/>
      <c r="AG1733" s="22"/>
      <c r="AH1733" s="22"/>
      <c r="AI1733" s="22"/>
      <c r="AJ1733" s="22"/>
      <c r="AK1733" s="22"/>
      <c r="AL1733" s="22"/>
      <c r="AM1733" s="22"/>
      <c r="AN1733" s="22"/>
      <c r="AO1733" s="22"/>
      <c r="AP1733" s="22"/>
      <c r="AQ1733" s="22"/>
      <c r="AR1733" s="22"/>
      <c r="AS1733" s="22"/>
      <c r="AT1733" s="22"/>
      <c r="AU1733" s="22"/>
      <c r="AV1733" s="22"/>
      <c r="AW1733" s="22"/>
      <c r="AX1733" s="22"/>
    </row>
    <row r="1734" spans="1:50" x14ac:dyDescent="0.35">
      <c r="A1734" s="23"/>
      <c r="B1734" s="23"/>
      <c r="C1734" s="23"/>
      <c r="D1734" s="23"/>
      <c r="E1734" s="23"/>
      <c r="F1734" s="23"/>
      <c r="G1734" s="23"/>
      <c r="H1734" s="23"/>
      <c r="I1734" s="23"/>
      <c r="J1734" s="23"/>
      <c r="K1734" s="23"/>
      <c r="L1734" s="23"/>
      <c r="M1734" s="23"/>
      <c r="N1734" s="23"/>
      <c r="O1734" s="23"/>
      <c r="P1734" s="23"/>
      <c r="Q1734" s="23"/>
      <c r="R1734" s="23"/>
      <c r="S1734" s="23"/>
      <c r="T1734" s="23"/>
      <c r="U1734" s="22"/>
      <c r="V1734" s="22"/>
      <c r="W1734" s="22"/>
      <c r="X1734" s="22"/>
      <c r="Y1734" s="22"/>
      <c r="Z1734" s="22"/>
      <c r="AA1734" s="22"/>
      <c r="AB1734" s="22"/>
      <c r="AC1734" s="22"/>
      <c r="AD1734" s="22"/>
      <c r="AE1734" s="22"/>
      <c r="AF1734" s="22"/>
      <c r="AG1734" s="22"/>
      <c r="AH1734" s="22"/>
      <c r="AI1734" s="22"/>
      <c r="AJ1734" s="22"/>
      <c r="AK1734" s="22"/>
      <c r="AL1734" s="22"/>
      <c r="AM1734" s="22"/>
      <c r="AN1734" s="22"/>
      <c r="AO1734" s="22"/>
      <c r="AP1734" s="22"/>
      <c r="AQ1734" s="22"/>
      <c r="AR1734" s="22"/>
      <c r="AS1734" s="22"/>
      <c r="AT1734" s="22"/>
      <c r="AU1734" s="22"/>
      <c r="AV1734" s="22"/>
      <c r="AW1734" s="22"/>
      <c r="AX1734" s="22"/>
    </row>
    <row r="1735" spans="1:50" x14ac:dyDescent="0.35">
      <c r="A1735" s="23"/>
      <c r="B1735" s="23"/>
      <c r="C1735" s="23"/>
      <c r="D1735" s="23"/>
      <c r="E1735" s="23"/>
      <c r="F1735" s="23"/>
      <c r="G1735" s="23"/>
      <c r="H1735" s="23"/>
      <c r="I1735" s="23"/>
      <c r="J1735" s="23"/>
      <c r="K1735" s="23"/>
      <c r="L1735" s="23"/>
      <c r="M1735" s="23"/>
      <c r="N1735" s="23"/>
      <c r="O1735" s="23"/>
      <c r="P1735" s="23"/>
      <c r="Q1735" s="23"/>
      <c r="R1735" s="23"/>
      <c r="S1735" s="23"/>
      <c r="T1735" s="23"/>
      <c r="U1735" s="22"/>
      <c r="V1735" s="22"/>
      <c r="W1735" s="22"/>
      <c r="X1735" s="22"/>
      <c r="Y1735" s="22"/>
      <c r="Z1735" s="22"/>
      <c r="AA1735" s="22"/>
      <c r="AB1735" s="22"/>
      <c r="AC1735" s="22"/>
      <c r="AD1735" s="22"/>
      <c r="AE1735" s="22"/>
      <c r="AF1735" s="22"/>
      <c r="AG1735" s="22"/>
      <c r="AH1735" s="22"/>
      <c r="AI1735" s="22"/>
      <c r="AJ1735" s="22"/>
      <c r="AK1735" s="22"/>
      <c r="AL1735" s="22"/>
      <c r="AM1735" s="22"/>
      <c r="AN1735" s="22"/>
      <c r="AO1735" s="22"/>
      <c r="AP1735" s="22"/>
      <c r="AQ1735" s="22"/>
      <c r="AR1735" s="22"/>
      <c r="AS1735" s="22"/>
      <c r="AT1735" s="22"/>
      <c r="AU1735" s="22"/>
      <c r="AV1735" s="22"/>
      <c r="AW1735" s="22"/>
      <c r="AX1735" s="22"/>
    </row>
    <row r="1736" spans="1:50" x14ac:dyDescent="0.35">
      <c r="A1736" s="23"/>
      <c r="B1736" s="23"/>
      <c r="C1736" s="23"/>
      <c r="D1736" s="23"/>
      <c r="E1736" s="23"/>
      <c r="F1736" s="23"/>
      <c r="G1736" s="23"/>
      <c r="H1736" s="23"/>
      <c r="I1736" s="23"/>
      <c r="J1736" s="23"/>
      <c r="K1736" s="23"/>
      <c r="L1736" s="23"/>
      <c r="M1736" s="23"/>
      <c r="N1736" s="23"/>
      <c r="O1736" s="23"/>
      <c r="P1736" s="23"/>
      <c r="Q1736" s="23"/>
      <c r="R1736" s="23"/>
      <c r="S1736" s="23"/>
      <c r="T1736" s="23"/>
      <c r="U1736" s="22"/>
      <c r="V1736" s="22"/>
      <c r="W1736" s="22"/>
      <c r="X1736" s="22"/>
      <c r="Y1736" s="22"/>
      <c r="Z1736" s="22"/>
      <c r="AA1736" s="22"/>
      <c r="AB1736" s="22"/>
      <c r="AC1736" s="22"/>
      <c r="AD1736" s="22"/>
      <c r="AE1736" s="22"/>
      <c r="AF1736" s="22"/>
      <c r="AG1736" s="22"/>
      <c r="AH1736" s="22"/>
      <c r="AI1736" s="22"/>
      <c r="AJ1736" s="22"/>
      <c r="AK1736" s="22"/>
      <c r="AL1736" s="22"/>
      <c r="AM1736" s="22"/>
      <c r="AN1736" s="22"/>
      <c r="AO1736" s="22"/>
      <c r="AP1736" s="22"/>
      <c r="AQ1736" s="22"/>
      <c r="AR1736" s="22"/>
      <c r="AS1736" s="22"/>
      <c r="AT1736" s="22"/>
      <c r="AU1736" s="22"/>
      <c r="AV1736" s="22"/>
      <c r="AW1736" s="22"/>
      <c r="AX1736" s="22"/>
    </row>
    <row r="1737" spans="1:50" x14ac:dyDescent="0.35">
      <c r="A1737" s="23"/>
      <c r="B1737" s="23"/>
      <c r="C1737" s="23"/>
      <c r="D1737" s="23"/>
      <c r="E1737" s="23"/>
      <c r="F1737" s="23"/>
      <c r="G1737" s="23"/>
      <c r="H1737" s="23"/>
      <c r="I1737" s="23"/>
      <c r="J1737" s="23"/>
      <c r="K1737" s="23"/>
      <c r="L1737" s="23"/>
      <c r="M1737" s="23"/>
      <c r="N1737" s="23"/>
      <c r="O1737" s="23"/>
      <c r="P1737" s="23"/>
      <c r="Q1737" s="23"/>
      <c r="R1737" s="23"/>
      <c r="S1737" s="23"/>
      <c r="T1737" s="23"/>
      <c r="U1737" s="22"/>
      <c r="V1737" s="22"/>
      <c r="W1737" s="22"/>
      <c r="X1737" s="22"/>
      <c r="Y1737" s="22"/>
      <c r="Z1737" s="22"/>
      <c r="AA1737" s="22"/>
      <c r="AB1737" s="22"/>
      <c r="AC1737" s="22"/>
      <c r="AD1737" s="22"/>
      <c r="AE1737" s="22"/>
      <c r="AF1737" s="22"/>
      <c r="AG1737" s="22"/>
      <c r="AH1737" s="22"/>
      <c r="AI1737" s="22"/>
      <c r="AJ1737" s="22"/>
      <c r="AK1737" s="22"/>
      <c r="AL1737" s="22"/>
      <c r="AM1737" s="22"/>
      <c r="AN1737" s="22"/>
      <c r="AO1737" s="22"/>
      <c r="AP1737" s="22"/>
      <c r="AQ1737" s="22"/>
      <c r="AR1737" s="22"/>
      <c r="AS1737" s="22"/>
      <c r="AT1737" s="22"/>
      <c r="AU1737" s="22"/>
      <c r="AV1737" s="22"/>
      <c r="AW1737" s="22"/>
      <c r="AX1737" s="22"/>
    </row>
    <row r="1738" spans="1:50" x14ac:dyDescent="0.35">
      <c r="A1738" s="23"/>
      <c r="B1738" s="23"/>
      <c r="C1738" s="23"/>
      <c r="D1738" s="23"/>
      <c r="E1738" s="23"/>
      <c r="F1738" s="23"/>
      <c r="G1738" s="23"/>
      <c r="H1738" s="23"/>
      <c r="I1738" s="23"/>
      <c r="J1738" s="23"/>
      <c r="K1738" s="23"/>
      <c r="L1738" s="23"/>
      <c r="M1738" s="23"/>
      <c r="N1738" s="23"/>
      <c r="O1738" s="23"/>
      <c r="P1738" s="23"/>
      <c r="Q1738" s="23"/>
      <c r="R1738" s="23"/>
      <c r="S1738" s="23"/>
      <c r="T1738" s="23"/>
      <c r="U1738" s="22"/>
      <c r="V1738" s="22"/>
      <c r="W1738" s="22"/>
      <c r="X1738" s="22"/>
      <c r="Y1738" s="22"/>
      <c r="Z1738" s="22"/>
      <c r="AA1738" s="22"/>
      <c r="AB1738" s="22"/>
      <c r="AC1738" s="22"/>
      <c r="AD1738" s="22"/>
      <c r="AE1738" s="22"/>
      <c r="AF1738" s="22"/>
      <c r="AG1738" s="22"/>
      <c r="AH1738" s="22"/>
      <c r="AI1738" s="22"/>
      <c r="AJ1738" s="22"/>
      <c r="AK1738" s="22"/>
      <c r="AL1738" s="22"/>
      <c r="AM1738" s="22"/>
      <c r="AN1738" s="22"/>
      <c r="AO1738" s="22"/>
      <c r="AP1738" s="22"/>
      <c r="AQ1738" s="22"/>
      <c r="AR1738" s="22"/>
      <c r="AS1738" s="22"/>
      <c r="AT1738" s="22"/>
      <c r="AU1738" s="22"/>
      <c r="AV1738" s="22"/>
      <c r="AW1738" s="22"/>
      <c r="AX1738" s="22"/>
    </row>
    <row r="1739" spans="1:50" x14ac:dyDescent="0.35">
      <c r="A1739" s="23"/>
      <c r="B1739" s="23"/>
      <c r="C1739" s="23"/>
      <c r="D1739" s="23"/>
      <c r="E1739" s="23"/>
      <c r="F1739" s="23"/>
      <c r="G1739" s="23"/>
      <c r="H1739" s="23"/>
      <c r="I1739" s="23"/>
      <c r="J1739" s="23"/>
      <c r="K1739" s="23"/>
      <c r="L1739" s="23"/>
      <c r="M1739" s="23"/>
      <c r="N1739" s="23"/>
      <c r="O1739" s="23"/>
      <c r="P1739" s="23"/>
      <c r="Q1739" s="23"/>
      <c r="R1739" s="23"/>
      <c r="S1739" s="23"/>
      <c r="T1739" s="23"/>
      <c r="U1739" s="22"/>
      <c r="V1739" s="22"/>
      <c r="W1739" s="22"/>
      <c r="X1739" s="22"/>
      <c r="Y1739" s="22"/>
      <c r="Z1739" s="22"/>
      <c r="AA1739" s="22"/>
      <c r="AB1739" s="22"/>
      <c r="AC1739" s="22"/>
      <c r="AD1739" s="22"/>
      <c r="AE1739" s="22"/>
      <c r="AF1739" s="22"/>
      <c r="AG1739" s="22"/>
      <c r="AH1739" s="22"/>
      <c r="AI1739" s="22"/>
      <c r="AJ1739" s="22"/>
      <c r="AK1739" s="22"/>
      <c r="AL1739" s="22"/>
      <c r="AM1739" s="22"/>
      <c r="AN1739" s="22"/>
      <c r="AO1739" s="22"/>
      <c r="AP1739" s="22"/>
      <c r="AQ1739" s="22"/>
      <c r="AR1739" s="22"/>
      <c r="AS1739" s="22"/>
      <c r="AT1739" s="22"/>
      <c r="AU1739" s="22"/>
      <c r="AV1739" s="22"/>
      <c r="AW1739" s="22"/>
      <c r="AX1739" s="22"/>
    </row>
    <row r="1740" spans="1:50" x14ac:dyDescent="0.35">
      <c r="A1740" s="23"/>
      <c r="B1740" s="23"/>
      <c r="C1740" s="23"/>
      <c r="D1740" s="23"/>
      <c r="E1740" s="23"/>
      <c r="F1740" s="23"/>
      <c r="G1740" s="23"/>
      <c r="H1740" s="23"/>
      <c r="I1740" s="23"/>
      <c r="J1740" s="23"/>
      <c r="K1740" s="23"/>
      <c r="L1740" s="23"/>
      <c r="M1740" s="23"/>
      <c r="N1740" s="23"/>
      <c r="O1740" s="23"/>
      <c r="P1740" s="23"/>
      <c r="Q1740" s="23"/>
      <c r="R1740" s="23"/>
      <c r="S1740" s="23"/>
      <c r="T1740" s="23"/>
      <c r="U1740" s="22"/>
      <c r="V1740" s="22"/>
      <c r="W1740" s="22"/>
      <c r="X1740" s="22"/>
      <c r="Y1740" s="22"/>
      <c r="Z1740" s="22"/>
      <c r="AA1740" s="22"/>
      <c r="AB1740" s="22"/>
      <c r="AC1740" s="22"/>
      <c r="AD1740" s="22"/>
      <c r="AE1740" s="22"/>
      <c r="AF1740" s="22"/>
      <c r="AG1740" s="22"/>
      <c r="AH1740" s="22"/>
      <c r="AI1740" s="22"/>
      <c r="AJ1740" s="22"/>
      <c r="AK1740" s="22"/>
      <c r="AL1740" s="22"/>
      <c r="AM1740" s="22"/>
      <c r="AN1740" s="22"/>
      <c r="AO1740" s="22"/>
      <c r="AP1740" s="22"/>
      <c r="AQ1740" s="22"/>
      <c r="AR1740" s="22"/>
      <c r="AS1740" s="22"/>
      <c r="AT1740" s="22"/>
      <c r="AU1740" s="22"/>
      <c r="AV1740" s="22"/>
      <c r="AW1740" s="22"/>
      <c r="AX1740" s="22"/>
    </row>
    <row r="1741" spans="1:50" x14ac:dyDescent="0.35">
      <c r="A1741" s="23"/>
      <c r="B1741" s="23"/>
      <c r="C1741" s="23"/>
      <c r="D1741" s="23"/>
      <c r="E1741" s="23"/>
      <c r="F1741" s="23"/>
      <c r="G1741" s="23"/>
      <c r="H1741" s="23"/>
      <c r="I1741" s="23"/>
      <c r="J1741" s="23"/>
      <c r="K1741" s="23"/>
      <c r="L1741" s="23"/>
      <c r="M1741" s="23"/>
      <c r="N1741" s="23"/>
      <c r="O1741" s="23"/>
      <c r="P1741" s="23"/>
      <c r="Q1741" s="23"/>
      <c r="R1741" s="23"/>
      <c r="S1741" s="23"/>
      <c r="T1741" s="23"/>
      <c r="U1741" s="22"/>
      <c r="V1741" s="22"/>
      <c r="W1741" s="22"/>
      <c r="X1741" s="22"/>
      <c r="Y1741" s="22"/>
      <c r="Z1741" s="22"/>
      <c r="AA1741" s="22"/>
      <c r="AB1741" s="22"/>
      <c r="AC1741" s="22"/>
      <c r="AD1741" s="22"/>
      <c r="AE1741" s="22"/>
      <c r="AF1741" s="22"/>
      <c r="AG1741" s="22"/>
      <c r="AH1741" s="22"/>
      <c r="AI1741" s="22"/>
      <c r="AJ1741" s="22"/>
      <c r="AK1741" s="22"/>
      <c r="AL1741" s="22"/>
      <c r="AM1741" s="22"/>
      <c r="AN1741" s="22"/>
      <c r="AO1741" s="22"/>
      <c r="AP1741" s="22"/>
      <c r="AQ1741" s="22"/>
      <c r="AR1741" s="22"/>
      <c r="AS1741" s="22"/>
      <c r="AT1741" s="22"/>
      <c r="AU1741" s="22"/>
      <c r="AV1741" s="22"/>
      <c r="AW1741" s="22"/>
      <c r="AX1741" s="22"/>
    </row>
    <row r="1742" spans="1:50" x14ac:dyDescent="0.35">
      <c r="A1742" s="23"/>
      <c r="B1742" s="23"/>
      <c r="C1742" s="23"/>
      <c r="D1742" s="23"/>
      <c r="E1742" s="23"/>
      <c r="F1742" s="23"/>
      <c r="G1742" s="23"/>
      <c r="H1742" s="23"/>
      <c r="I1742" s="23"/>
      <c r="J1742" s="23"/>
      <c r="K1742" s="23"/>
      <c r="L1742" s="23"/>
      <c r="M1742" s="23"/>
      <c r="N1742" s="23"/>
      <c r="O1742" s="23"/>
      <c r="P1742" s="23"/>
      <c r="Q1742" s="23"/>
      <c r="R1742" s="23"/>
      <c r="S1742" s="23"/>
      <c r="T1742" s="23"/>
      <c r="U1742" s="22"/>
      <c r="V1742" s="22"/>
      <c r="W1742" s="22"/>
      <c r="X1742" s="22"/>
      <c r="Y1742" s="22"/>
      <c r="Z1742" s="22"/>
      <c r="AA1742" s="22"/>
      <c r="AB1742" s="22"/>
      <c r="AC1742" s="22"/>
      <c r="AD1742" s="22"/>
      <c r="AE1742" s="22"/>
      <c r="AF1742" s="22"/>
      <c r="AG1742" s="22"/>
      <c r="AH1742" s="22"/>
      <c r="AI1742" s="22"/>
      <c r="AJ1742" s="22"/>
      <c r="AK1742" s="22"/>
      <c r="AL1742" s="22"/>
      <c r="AM1742" s="22"/>
      <c r="AN1742" s="22"/>
      <c r="AO1742" s="22"/>
      <c r="AP1742" s="22"/>
      <c r="AQ1742" s="22"/>
      <c r="AR1742" s="22"/>
      <c r="AS1742" s="22"/>
      <c r="AT1742" s="22"/>
      <c r="AU1742" s="22"/>
      <c r="AV1742" s="22"/>
      <c r="AW1742" s="22"/>
      <c r="AX1742" s="22"/>
    </row>
    <row r="1743" spans="1:50" x14ac:dyDescent="0.35">
      <c r="A1743" s="23"/>
      <c r="B1743" s="23"/>
      <c r="C1743" s="23"/>
      <c r="D1743" s="23"/>
      <c r="E1743" s="23"/>
      <c r="F1743" s="23"/>
      <c r="G1743" s="23"/>
      <c r="H1743" s="23"/>
      <c r="I1743" s="23"/>
      <c r="J1743" s="23"/>
      <c r="K1743" s="23"/>
      <c r="L1743" s="23"/>
      <c r="M1743" s="23"/>
      <c r="N1743" s="23"/>
      <c r="O1743" s="23"/>
      <c r="P1743" s="23"/>
      <c r="Q1743" s="23"/>
      <c r="R1743" s="23"/>
      <c r="S1743" s="23"/>
      <c r="T1743" s="23"/>
      <c r="U1743" s="22"/>
      <c r="V1743" s="22"/>
      <c r="W1743" s="22"/>
      <c r="X1743" s="22"/>
      <c r="Y1743" s="22"/>
      <c r="Z1743" s="22"/>
      <c r="AA1743" s="22"/>
      <c r="AB1743" s="22"/>
      <c r="AC1743" s="22"/>
      <c r="AD1743" s="22"/>
      <c r="AE1743" s="22"/>
      <c r="AF1743" s="22"/>
      <c r="AG1743" s="22"/>
      <c r="AH1743" s="22"/>
      <c r="AI1743" s="22"/>
      <c r="AJ1743" s="22"/>
      <c r="AK1743" s="22"/>
      <c r="AL1743" s="22"/>
      <c r="AM1743" s="22"/>
      <c r="AN1743" s="22"/>
      <c r="AO1743" s="22"/>
      <c r="AP1743" s="22"/>
      <c r="AQ1743" s="22"/>
      <c r="AR1743" s="22"/>
      <c r="AS1743" s="22"/>
      <c r="AT1743" s="22"/>
      <c r="AU1743" s="22"/>
      <c r="AV1743" s="22"/>
      <c r="AW1743" s="22"/>
      <c r="AX1743" s="22"/>
    </row>
    <row r="1744" spans="1:50" x14ac:dyDescent="0.35">
      <c r="A1744" s="23"/>
      <c r="B1744" s="23"/>
      <c r="C1744" s="23"/>
      <c r="D1744" s="23"/>
      <c r="E1744" s="23"/>
      <c r="F1744" s="23"/>
      <c r="G1744" s="23"/>
      <c r="H1744" s="23"/>
      <c r="I1744" s="23"/>
      <c r="J1744" s="23"/>
      <c r="K1744" s="23"/>
      <c r="L1744" s="23"/>
      <c r="M1744" s="23"/>
      <c r="N1744" s="23"/>
      <c r="O1744" s="23"/>
      <c r="P1744" s="23"/>
      <c r="Q1744" s="23"/>
      <c r="R1744" s="23"/>
      <c r="S1744" s="23"/>
      <c r="T1744" s="23"/>
      <c r="U1744" s="22"/>
      <c r="V1744" s="22"/>
      <c r="W1744" s="22"/>
      <c r="X1744" s="22"/>
      <c r="Y1744" s="22"/>
      <c r="Z1744" s="22"/>
      <c r="AA1744" s="22"/>
      <c r="AB1744" s="22"/>
      <c r="AC1744" s="22"/>
      <c r="AD1744" s="22"/>
      <c r="AE1744" s="22"/>
      <c r="AF1744" s="22"/>
      <c r="AG1744" s="22"/>
      <c r="AH1744" s="22"/>
      <c r="AI1744" s="22"/>
      <c r="AJ1744" s="22"/>
      <c r="AK1744" s="22"/>
      <c r="AL1744" s="22"/>
      <c r="AM1744" s="22"/>
      <c r="AN1744" s="22"/>
      <c r="AO1744" s="22"/>
      <c r="AP1744" s="22"/>
      <c r="AQ1744" s="22"/>
      <c r="AR1744" s="22"/>
      <c r="AS1744" s="22"/>
      <c r="AT1744" s="22"/>
      <c r="AU1744" s="22"/>
      <c r="AV1744" s="22"/>
      <c r="AW1744" s="22"/>
      <c r="AX1744" s="22"/>
    </row>
    <row r="1745" spans="1:50" x14ac:dyDescent="0.35">
      <c r="A1745" s="23"/>
      <c r="B1745" s="23"/>
      <c r="C1745" s="23"/>
      <c r="D1745" s="23"/>
      <c r="E1745" s="23"/>
      <c r="F1745" s="23"/>
      <c r="G1745" s="23"/>
      <c r="H1745" s="23"/>
      <c r="I1745" s="23"/>
      <c r="J1745" s="23"/>
      <c r="K1745" s="23"/>
      <c r="L1745" s="23"/>
      <c r="M1745" s="23"/>
      <c r="N1745" s="23"/>
      <c r="O1745" s="23"/>
      <c r="P1745" s="23"/>
      <c r="Q1745" s="23"/>
      <c r="R1745" s="23"/>
      <c r="S1745" s="23"/>
      <c r="T1745" s="23"/>
      <c r="U1745" s="22"/>
      <c r="V1745" s="22"/>
      <c r="W1745" s="22"/>
      <c r="X1745" s="22"/>
      <c r="Y1745" s="22"/>
      <c r="Z1745" s="22"/>
      <c r="AA1745" s="22"/>
      <c r="AB1745" s="22"/>
      <c r="AC1745" s="22"/>
      <c r="AD1745" s="22"/>
      <c r="AE1745" s="22"/>
      <c r="AF1745" s="22"/>
      <c r="AG1745" s="22"/>
      <c r="AH1745" s="22"/>
      <c r="AI1745" s="22"/>
      <c r="AJ1745" s="22"/>
      <c r="AK1745" s="22"/>
      <c r="AL1745" s="22"/>
      <c r="AM1745" s="22"/>
      <c r="AN1745" s="22"/>
      <c r="AO1745" s="22"/>
      <c r="AP1745" s="22"/>
      <c r="AQ1745" s="22"/>
      <c r="AR1745" s="22"/>
      <c r="AS1745" s="22"/>
      <c r="AT1745" s="22"/>
      <c r="AU1745" s="22"/>
      <c r="AV1745" s="22"/>
      <c r="AW1745" s="22"/>
      <c r="AX1745" s="22"/>
    </row>
    <row r="1746" spans="1:50" x14ac:dyDescent="0.35">
      <c r="A1746" s="23"/>
      <c r="B1746" s="23"/>
      <c r="C1746" s="23"/>
      <c r="D1746" s="23"/>
      <c r="E1746" s="23"/>
      <c r="F1746" s="23"/>
      <c r="G1746" s="23"/>
      <c r="H1746" s="23"/>
      <c r="I1746" s="23"/>
      <c r="J1746" s="23"/>
      <c r="K1746" s="23"/>
      <c r="L1746" s="23"/>
      <c r="M1746" s="23"/>
      <c r="N1746" s="23"/>
      <c r="O1746" s="23"/>
      <c r="P1746" s="23"/>
      <c r="Q1746" s="23"/>
      <c r="R1746" s="23"/>
      <c r="S1746" s="23"/>
      <c r="T1746" s="23"/>
      <c r="U1746" s="22"/>
      <c r="V1746" s="22"/>
      <c r="W1746" s="22"/>
      <c r="X1746" s="22"/>
      <c r="Y1746" s="22"/>
      <c r="Z1746" s="22"/>
      <c r="AA1746" s="22"/>
      <c r="AB1746" s="22"/>
      <c r="AC1746" s="22"/>
      <c r="AD1746" s="22"/>
      <c r="AE1746" s="22"/>
      <c r="AF1746" s="22"/>
      <c r="AG1746" s="22"/>
      <c r="AH1746" s="22"/>
      <c r="AI1746" s="22"/>
      <c r="AJ1746" s="22"/>
      <c r="AK1746" s="22"/>
      <c r="AL1746" s="22"/>
      <c r="AM1746" s="22"/>
      <c r="AN1746" s="22"/>
      <c r="AO1746" s="22"/>
      <c r="AP1746" s="22"/>
      <c r="AQ1746" s="22"/>
      <c r="AR1746" s="22"/>
      <c r="AS1746" s="22"/>
      <c r="AT1746" s="22"/>
      <c r="AU1746" s="22"/>
      <c r="AV1746" s="22"/>
      <c r="AW1746" s="22"/>
      <c r="AX1746" s="22"/>
    </row>
    <row r="1747" spans="1:50" x14ac:dyDescent="0.35">
      <c r="A1747" s="23"/>
      <c r="B1747" s="23"/>
      <c r="C1747" s="23"/>
      <c r="D1747" s="23"/>
      <c r="E1747" s="23"/>
      <c r="F1747" s="23"/>
      <c r="G1747" s="23"/>
      <c r="H1747" s="23"/>
      <c r="I1747" s="23"/>
      <c r="J1747" s="23"/>
      <c r="K1747" s="23"/>
      <c r="L1747" s="23"/>
      <c r="M1747" s="23"/>
      <c r="N1747" s="23"/>
      <c r="O1747" s="23"/>
      <c r="P1747" s="23"/>
      <c r="Q1747" s="23"/>
      <c r="R1747" s="23"/>
      <c r="S1747" s="23"/>
      <c r="T1747" s="23"/>
      <c r="U1747" s="22"/>
      <c r="V1747" s="22"/>
      <c r="W1747" s="22"/>
      <c r="X1747" s="22"/>
      <c r="Y1747" s="22"/>
      <c r="Z1747" s="22"/>
      <c r="AA1747" s="22"/>
      <c r="AB1747" s="22"/>
      <c r="AC1747" s="22"/>
      <c r="AD1747" s="22"/>
      <c r="AE1747" s="22"/>
      <c r="AF1747" s="22"/>
      <c r="AG1747" s="22"/>
      <c r="AH1747" s="22"/>
      <c r="AI1747" s="22"/>
      <c r="AJ1747" s="22"/>
      <c r="AK1747" s="22"/>
      <c r="AL1747" s="22"/>
      <c r="AM1747" s="22"/>
      <c r="AN1747" s="22"/>
      <c r="AO1747" s="22"/>
      <c r="AP1747" s="22"/>
      <c r="AQ1747" s="22"/>
      <c r="AR1747" s="22"/>
      <c r="AS1747" s="22"/>
      <c r="AT1747" s="22"/>
      <c r="AU1747" s="22"/>
      <c r="AV1747" s="22"/>
      <c r="AW1747" s="22"/>
      <c r="AX1747" s="22"/>
    </row>
    <row r="1748" spans="1:50" x14ac:dyDescent="0.35">
      <c r="A1748" s="23"/>
      <c r="B1748" s="23"/>
      <c r="C1748" s="23"/>
      <c r="D1748" s="23"/>
      <c r="E1748" s="23"/>
      <c r="F1748" s="23"/>
      <c r="G1748" s="23"/>
      <c r="H1748" s="23"/>
      <c r="I1748" s="23"/>
      <c r="J1748" s="23"/>
      <c r="K1748" s="23"/>
      <c r="L1748" s="23"/>
      <c r="M1748" s="23"/>
      <c r="N1748" s="23"/>
      <c r="O1748" s="23"/>
      <c r="P1748" s="23"/>
      <c r="Q1748" s="23"/>
      <c r="R1748" s="23"/>
      <c r="S1748" s="23"/>
      <c r="T1748" s="23"/>
      <c r="U1748" s="22"/>
      <c r="V1748" s="22"/>
      <c r="W1748" s="22"/>
      <c r="X1748" s="22"/>
      <c r="Y1748" s="22"/>
      <c r="Z1748" s="22"/>
      <c r="AA1748" s="22"/>
      <c r="AB1748" s="22"/>
      <c r="AC1748" s="22"/>
      <c r="AD1748" s="22"/>
      <c r="AE1748" s="22"/>
      <c r="AF1748" s="22"/>
      <c r="AG1748" s="22"/>
      <c r="AH1748" s="22"/>
      <c r="AI1748" s="22"/>
      <c r="AJ1748" s="22"/>
      <c r="AK1748" s="22"/>
      <c r="AL1748" s="22"/>
      <c r="AM1748" s="22"/>
      <c r="AN1748" s="22"/>
      <c r="AO1748" s="22"/>
      <c r="AP1748" s="22"/>
      <c r="AQ1748" s="22"/>
      <c r="AR1748" s="22"/>
      <c r="AS1748" s="22"/>
      <c r="AT1748" s="22"/>
      <c r="AU1748" s="22"/>
      <c r="AV1748" s="22"/>
      <c r="AW1748" s="22"/>
      <c r="AX1748" s="22"/>
    </row>
    <row r="1749" spans="1:50" x14ac:dyDescent="0.35">
      <c r="A1749" s="23"/>
      <c r="B1749" s="23"/>
      <c r="C1749" s="23"/>
      <c r="D1749" s="23"/>
      <c r="E1749" s="23"/>
      <c r="F1749" s="23"/>
      <c r="G1749" s="23"/>
      <c r="H1749" s="23"/>
      <c r="I1749" s="23"/>
      <c r="J1749" s="23"/>
      <c r="K1749" s="23"/>
      <c r="L1749" s="23"/>
      <c r="M1749" s="23"/>
      <c r="N1749" s="23"/>
      <c r="O1749" s="23"/>
      <c r="P1749" s="23"/>
      <c r="Q1749" s="23"/>
      <c r="R1749" s="23"/>
      <c r="S1749" s="23"/>
      <c r="T1749" s="23"/>
      <c r="U1749" s="22"/>
      <c r="V1749" s="22"/>
      <c r="W1749" s="22"/>
      <c r="X1749" s="22"/>
      <c r="Y1749" s="22"/>
      <c r="Z1749" s="22"/>
      <c r="AA1749" s="22"/>
      <c r="AB1749" s="22"/>
      <c r="AC1749" s="22"/>
      <c r="AD1749" s="22"/>
      <c r="AE1749" s="22"/>
      <c r="AF1749" s="22"/>
      <c r="AG1749" s="22"/>
      <c r="AH1749" s="22"/>
      <c r="AI1749" s="22"/>
      <c r="AJ1749" s="22"/>
      <c r="AK1749" s="22"/>
      <c r="AL1749" s="22"/>
      <c r="AM1749" s="22"/>
      <c r="AN1749" s="22"/>
      <c r="AO1749" s="22"/>
      <c r="AP1749" s="22"/>
      <c r="AQ1749" s="22"/>
      <c r="AR1749" s="22"/>
      <c r="AS1749" s="22"/>
      <c r="AT1749" s="22"/>
      <c r="AU1749" s="22"/>
      <c r="AV1749" s="22"/>
      <c r="AW1749" s="22"/>
      <c r="AX1749" s="22"/>
    </row>
    <row r="1750" spans="1:50" x14ac:dyDescent="0.35">
      <c r="A1750" s="23"/>
      <c r="B1750" s="23"/>
      <c r="C1750" s="23"/>
      <c r="D1750" s="23"/>
      <c r="E1750" s="23"/>
      <c r="F1750" s="23"/>
      <c r="G1750" s="23"/>
      <c r="H1750" s="23"/>
      <c r="I1750" s="23"/>
      <c r="J1750" s="23"/>
      <c r="K1750" s="23"/>
      <c r="L1750" s="23"/>
      <c r="M1750" s="23"/>
      <c r="N1750" s="23"/>
      <c r="O1750" s="23"/>
      <c r="P1750" s="23"/>
      <c r="Q1750" s="23"/>
      <c r="R1750" s="23"/>
      <c r="S1750" s="23"/>
      <c r="T1750" s="23"/>
      <c r="U1750" s="22"/>
      <c r="V1750" s="22"/>
      <c r="W1750" s="22"/>
      <c r="X1750" s="22"/>
      <c r="Y1750" s="22"/>
      <c r="Z1750" s="22"/>
      <c r="AA1750" s="22"/>
      <c r="AB1750" s="22"/>
      <c r="AC1750" s="22"/>
      <c r="AD1750" s="22"/>
      <c r="AE1750" s="22"/>
      <c r="AF1750" s="22"/>
      <c r="AG1750" s="22"/>
      <c r="AH1750" s="22"/>
      <c r="AI1750" s="22"/>
      <c r="AJ1750" s="22"/>
      <c r="AK1750" s="22"/>
      <c r="AL1750" s="22"/>
      <c r="AM1750" s="22"/>
      <c r="AN1750" s="22"/>
      <c r="AO1750" s="22"/>
      <c r="AP1750" s="22"/>
      <c r="AQ1750" s="22"/>
      <c r="AR1750" s="22"/>
      <c r="AS1750" s="22"/>
      <c r="AT1750" s="22"/>
      <c r="AU1750" s="22"/>
      <c r="AV1750" s="22"/>
      <c r="AW1750" s="22"/>
      <c r="AX1750" s="22"/>
    </row>
    <row r="1751" spans="1:50" x14ac:dyDescent="0.35">
      <c r="A1751" s="23"/>
      <c r="B1751" s="23"/>
      <c r="C1751" s="23"/>
      <c r="D1751" s="23"/>
      <c r="E1751" s="23"/>
      <c r="F1751" s="23"/>
      <c r="G1751" s="23"/>
      <c r="H1751" s="23"/>
      <c r="I1751" s="23"/>
      <c r="J1751" s="23"/>
      <c r="K1751" s="23"/>
      <c r="L1751" s="23"/>
      <c r="M1751" s="23"/>
      <c r="N1751" s="23"/>
      <c r="O1751" s="23"/>
      <c r="P1751" s="23"/>
      <c r="Q1751" s="23"/>
      <c r="R1751" s="23"/>
      <c r="S1751" s="23"/>
      <c r="T1751" s="23"/>
      <c r="U1751" s="22"/>
      <c r="V1751" s="22"/>
      <c r="W1751" s="22"/>
      <c r="X1751" s="22"/>
      <c r="Y1751" s="22"/>
      <c r="Z1751" s="22"/>
      <c r="AA1751" s="22"/>
      <c r="AB1751" s="22"/>
      <c r="AC1751" s="22"/>
      <c r="AD1751" s="22"/>
      <c r="AE1751" s="22"/>
      <c r="AF1751" s="22"/>
      <c r="AG1751" s="22"/>
      <c r="AH1751" s="22"/>
      <c r="AI1751" s="22"/>
      <c r="AJ1751" s="22"/>
      <c r="AK1751" s="22"/>
      <c r="AL1751" s="22"/>
      <c r="AM1751" s="22"/>
      <c r="AN1751" s="22"/>
      <c r="AO1751" s="22"/>
      <c r="AP1751" s="22"/>
      <c r="AQ1751" s="22"/>
      <c r="AR1751" s="22"/>
      <c r="AS1751" s="22"/>
      <c r="AT1751" s="22"/>
      <c r="AU1751" s="22"/>
      <c r="AV1751" s="22"/>
      <c r="AW1751" s="22"/>
      <c r="AX1751" s="22"/>
    </row>
    <row r="1752" spans="1:50" x14ac:dyDescent="0.35">
      <c r="A1752" s="23"/>
      <c r="B1752" s="23"/>
      <c r="C1752" s="23"/>
      <c r="D1752" s="23"/>
      <c r="E1752" s="23"/>
      <c r="F1752" s="23"/>
      <c r="G1752" s="23"/>
      <c r="H1752" s="23"/>
      <c r="I1752" s="23"/>
      <c r="J1752" s="23"/>
      <c r="K1752" s="23"/>
      <c r="L1752" s="23"/>
      <c r="M1752" s="23"/>
      <c r="N1752" s="23"/>
      <c r="O1752" s="23"/>
      <c r="P1752" s="23"/>
      <c r="Q1752" s="23"/>
      <c r="R1752" s="23"/>
      <c r="S1752" s="23"/>
      <c r="T1752" s="23"/>
      <c r="U1752" s="22"/>
      <c r="V1752" s="22"/>
      <c r="W1752" s="22"/>
      <c r="X1752" s="22"/>
      <c r="Y1752" s="22"/>
      <c r="Z1752" s="22"/>
      <c r="AA1752" s="22"/>
      <c r="AB1752" s="22"/>
      <c r="AC1752" s="22"/>
      <c r="AD1752" s="22"/>
      <c r="AE1752" s="22"/>
      <c r="AF1752" s="22"/>
      <c r="AG1752" s="22"/>
      <c r="AH1752" s="22"/>
      <c r="AI1752" s="22"/>
      <c r="AJ1752" s="22"/>
      <c r="AK1752" s="22"/>
      <c r="AL1752" s="22"/>
      <c r="AM1752" s="22"/>
      <c r="AN1752" s="22"/>
      <c r="AO1752" s="22"/>
      <c r="AP1752" s="22"/>
      <c r="AQ1752" s="22"/>
      <c r="AR1752" s="22"/>
      <c r="AS1752" s="22"/>
      <c r="AT1752" s="22"/>
      <c r="AU1752" s="22"/>
      <c r="AV1752" s="22"/>
      <c r="AW1752" s="22"/>
      <c r="AX1752" s="22"/>
    </row>
    <row r="1753" spans="1:50" x14ac:dyDescent="0.35">
      <c r="A1753" s="23"/>
      <c r="B1753" s="23"/>
      <c r="C1753" s="23"/>
      <c r="D1753" s="23"/>
      <c r="E1753" s="23"/>
      <c r="F1753" s="23"/>
      <c r="G1753" s="23"/>
      <c r="H1753" s="23"/>
      <c r="I1753" s="23"/>
      <c r="J1753" s="23"/>
      <c r="K1753" s="23"/>
      <c r="L1753" s="23"/>
      <c r="M1753" s="23"/>
      <c r="N1753" s="23"/>
      <c r="O1753" s="23"/>
      <c r="P1753" s="23"/>
      <c r="Q1753" s="23"/>
      <c r="R1753" s="23"/>
      <c r="S1753" s="23"/>
      <c r="T1753" s="23"/>
      <c r="U1753" s="22"/>
      <c r="V1753" s="22"/>
      <c r="W1753" s="22"/>
      <c r="X1753" s="22"/>
      <c r="Y1753" s="22"/>
      <c r="Z1753" s="22"/>
      <c r="AA1753" s="22"/>
      <c r="AB1753" s="22"/>
      <c r="AC1753" s="22"/>
      <c r="AD1753" s="22"/>
      <c r="AE1753" s="22"/>
      <c r="AF1753" s="22"/>
      <c r="AG1753" s="22"/>
      <c r="AH1753" s="22"/>
      <c r="AI1753" s="22"/>
      <c r="AJ1753" s="22"/>
      <c r="AK1753" s="22"/>
      <c r="AL1753" s="22"/>
      <c r="AM1753" s="22"/>
      <c r="AN1753" s="22"/>
      <c r="AO1753" s="22"/>
      <c r="AP1753" s="22"/>
      <c r="AQ1753" s="22"/>
      <c r="AR1753" s="22"/>
      <c r="AS1753" s="22"/>
      <c r="AT1753" s="22"/>
      <c r="AU1753" s="22"/>
      <c r="AV1753" s="22"/>
      <c r="AW1753" s="22"/>
      <c r="AX1753" s="22"/>
    </row>
    <row r="1754" spans="1:50" x14ac:dyDescent="0.35">
      <c r="A1754" s="23"/>
      <c r="B1754" s="23"/>
      <c r="C1754" s="23"/>
      <c r="D1754" s="23"/>
      <c r="E1754" s="23"/>
      <c r="F1754" s="23"/>
      <c r="G1754" s="23"/>
      <c r="H1754" s="23"/>
      <c r="I1754" s="23"/>
      <c r="J1754" s="23"/>
      <c r="K1754" s="23"/>
      <c r="L1754" s="23"/>
      <c r="M1754" s="23"/>
      <c r="N1754" s="23"/>
      <c r="O1754" s="23"/>
      <c r="P1754" s="23"/>
      <c r="Q1754" s="23"/>
      <c r="R1754" s="23"/>
      <c r="S1754" s="23"/>
      <c r="T1754" s="23"/>
      <c r="U1754" s="22"/>
      <c r="V1754" s="22"/>
      <c r="W1754" s="22"/>
      <c r="X1754" s="22"/>
      <c r="Y1754" s="22"/>
      <c r="Z1754" s="22"/>
      <c r="AA1754" s="22"/>
      <c r="AB1754" s="22"/>
      <c r="AC1754" s="22"/>
      <c r="AD1754" s="22"/>
      <c r="AE1754" s="22"/>
      <c r="AF1754" s="22"/>
      <c r="AG1754" s="22"/>
      <c r="AH1754" s="22"/>
      <c r="AI1754" s="22"/>
      <c r="AJ1754" s="22"/>
      <c r="AK1754" s="22"/>
      <c r="AL1754" s="22"/>
      <c r="AM1754" s="22"/>
      <c r="AN1754" s="22"/>
      <c r="AO1754" s="22"/>
      <c r="AP1754" s="22"/>
      <c r="AQ1754" s="22"/>
      <c r="AR1754" s="22"/>
      <c r="AS1754" s="22"/>
      <c r="AT1754" s="22"/>
      <c r="AU1754" s="22"/>
      <c r="AV1754" s="22"/>
      <c r="AW1754" s="22"/>
      <c r="AX1754" s="22"/>
    </row>
    <row r="1755" spans="1:50" x14ac:dyDescent="0.35">
      <c r="A1755" s="23"/>
      <c r="B1755" s="23"/>
      <c r="C1755" s="23"/>
      <c r="D1755" s="23"/>
      <c r="E1755" s="23"/>
      <c r="F1755" s="23"/>
      <c r="G1755" s="23"/>
      <c r="H1755" s="23"/>
      <c r="I1755" s="23"/>
      <c r="J1755" s="23"/>
      <c r="K1755" s="23"/>
      <c r="L1755" s="23"/>
      <c r="M1755" s="23"/>
      <c r="N1755" s="23"/>
      <c r="O1755" s="23"/>
      <c r="P1755" s="23"/>
      <c r="Q1755" s="23"/>
      <c r="R1755" s="23"/>
      <c r="S1755" s="23"/>
      <c r="T1755" s="23"/>
      <c r="U1755" s="22"/>
      <c r="V1755" s="22"/>
      <c r="W1755" s="22"/>
      <c r="X1755" s="22"/>
      <c r="Y1755" s="22"/>
      <c r="Z1755" s="22"/>
      <c r="AA1755" s="22"/>
      <c r="AB1755" s="22"/>
      <c r="AC1755" s="22"/>
      <c r="AD1755" s="22"/>
      <c r="AE1755" s="22"/>
      <c r="AF1755" s="22"/>
      <c r="AG1755" s="22"/>
      <c r="AH1755" s="22"/>
      <c r="AI1755" s="22"/>
      <c r="AJ1755" s="22"/>
      <c r="AK1755" s="22"/>
      <c r="AL1755" s="22"/>
      <c r="AM1755" s="22"/>
      <c r="AN1755" s="22"/>
      <c r="AO1755" s="22"/>
      <c r="AP1755" s="22"/>
      <c r="AQ1755" s="22"/>
      <c r="AR1755" s="22"/>
      <c r="AS1755" s="22"/>
      <c r="AT1755" s="22"/>
      <c r="AU1755" s="22"/>
      <c r="AV1755" s="22"/>
      <c r="AW1755" s="22"/>
      <c r="AX1755" s="22"/>
    </row>
    <row r="1756" spans="1:50" x14ac:dyDescent="0.35">
      <c r="A1756" s="23"/>
      <c r="B1756" s="23"/>
      <c r="C1756" s="23"/>
      <c r="D1756" s="23"/>
      <c r="E1756" s="23"/>
      <c r="F1756" s="23"/>
      <c r="G1756" s="23"/>
      <c r="H1756" s="23"/>
      <c r="I1756" s="23"/>
      <c r="J1756" s="23"/>
      <c r="K1756" s="23"/>
      <c r="L1756" s="23"/>
      <c r="M1756" s="23"/>
      <c r="N1756" s="23"/>
      <c r="O1756" s="23"/>
      <c r="P1756" s="23"/>
      <c r="Q1756" s="23"/>
      <c r="R1756" s="23"/>
      <c r="S1756" s="23"/>
      <c r="T1756" s="23"/>
      <c r="U1756" s="22"/>
      <c r="V1756" s="22"/>
      <c r="W1756" s="22"/>
      <c r="X1756" s="22"/>
      <c r="Y1756" s="22"/>
      <c r="Z1756" s="22"/>
      <c r="AA1756" s="22"/>
      <c r="AB1756" s="22"/>
      <c r="AC1756" s="22"/>
      <c r="AD1756" s="22"/>
      <c r="AE1756" s="22"/>
      <c r="AF1756" s="22"/>
      <c r="AG1756" s="22"/>
      <c r="AH1756" s="22"/>
      <c r="AI1756" s="22"/>
      <c r="AJ1756" s="22"/>
      <c r="AK1756" s="22"/>
      <c r="AL1756" s="22"/>
      <c r="AM1756" s="22"/>
      <c r="AN1756" s="22"/>
      <c r="AO1756" s="22"/>
      <c r="AP1756" s="22"/>
      <c r="AQ1756" s="22"/>
      <c r="AR1756" s="22"/>
      <c r="AS1756" s="22"/>
      <c r="AT1756" s="22"/>
      <c r="AU1756" s="22"/>
      <c r="AV1756" s="22"/>
      <c r="AW1756" s="22"/>
      <c r="AX1756" s="22"/>
    </row>
    <row r="1757" spans="1:50" x14ac:dyDescent="0.35">
      <c r="A1757" s="23"/>
      <c r="B1757" s="23"/>
      <c r="C1757" s="23"/>
      <c r="D1757" s="23"/>
      <c r="E1757" s="23"/>
      <c r="F1757" s="23"/>
      <c r="G1757" s="23"/>
      <c r="H1757" s="23"/>
      <c r="I1757" s="23"/>
      <c r="J1757" s="23"/>
      <c r="K1757" s="23"/>
      <c r="L1757" s="23"/>
      <c r="M1757" s="23"/>
      <c r="N1757" s="23"/>
      <c r="O1757" s="23"/>
      <c r="P1757" s="23"/>
      <c r="Q1757" s="23"/>
      <c r="R1757" s="23"/>
      <c r="S1757" s="23"/>
      <c r="T1757" s="23"/>
      <c r="U1757" s="22"/>
      <c r="V1757" s="22"/>
      <c r="W1757" s="22"/>
      <c r="X1757" s="22"/>
      <c r="Y1757" s="22"/>
      <c r="Z1757" s="22"/>
      <c r="AA1757" s="22"/>
      <c r="AB1757" s="22"/>
      <c r="AC1757" s="22"/>
      <c r="AD1757" s="22"/>
      <c r="AE1757" s="22"/>
      <c r="AF1757" s="22"/>
      <c r="AG1757" s="22"/>
      <c r="AH1757" s="22"/>
      <c r="AI1757" s="22"/>
      <c r="AJ1757" s="22"/>
      <c r="AK1757" s="22"/>
      <c r="AL1757" s="22"/>
      <c r="AM1757" s="22"/>
      <c r="AN1757" s="22"/>
      <c r="AO1757" s="22"/>
      <c r="AP1757" s="22"/>
      <c r="AQ1757" s="22"/>
      <c r="AR1757" s="22"/>
      <c r="AS1757" s="22"/>
      <c r="AT1757" s="22"/>
      <c r="AU1757" s="22"/>
      <c r="AV1757" s="22"/>
      <c r="AW1757" s="22"/>
      <c r="AX1757" s="22"/>
    </row>
    <row r="1758" spans="1:50" x14ac:dyDescent="0.35">
      <c r="A1758" s="23"/>
      <c r="B1758" s="23"/>
      <c r="C1758" s="23"/>
      <c r="D1758" s="23"/>
      <c r="E1758" s="23"/>
      <c r="F1758" s="23"/>
      <c r="G1758" s="23"/>
      <c r="H1758" s="23"/>
      <c r="I1758" s="23"/>
      <c r="J1758" s="23"/>
      <c r="K1758" s="23"/>
      <c r="L1758" s="23"/>
      <c r="M1758" s="23"/>
      <c r="N1758" s="23"/>
      <c r="O1758" s="23"/>
      <c r="P1758" s="23"/>
      <c r="Q1758" s="23"/>
      <c r="R1758" s="23"/>
      <c r="S1758" s="23"/>
      <c r="T1758" s="23"/>
      <c r="U1758" s="22"/>
      <c r="V1758" s="22"/>
      <c r="W1758" s="22"/>
      <c r="X1758" s="22"/>
      <c r="Y1758" s="22"/>
      <c r="Z1758" s="22"/>
      <c r="AA1758" s="22"/>
      <c r="AB1758" s="22"/>
      <c r="AC1758" s="22"/>
      <c r="AD1758" s="22"/>
      <c r="AE1758" s="22"/>
      <c r="AF1758" s="22"/>
      <c r="AG1758" s="22"/>
      <c r="AH1758" s="22"/>
      <c r="AI1758" s="22"/>
      <c r="AJ1758" s="22"/>
      <c r="AK1758" s="22"/>
      <c r="AL1758" s="22"/>
      <c r="AM1758" s="22"/>
      <c r="AN1758" s="22"/>
      <c r="AO1758" s="22"/>
      <c r="AP1758" s="22"/>
      <c r="AQ1758" s="22"/>
      <c r="AR1758" s="22"/>
      <c r="AS1758" s="22"/>
      <c r="AT1758" s="22"/>
      <c r="AU1758" s="22"/>
      <c r="AV1758" s="22"/>
      <c r="AW1758" s="22"/>
      <c r="AX1758" s="22"/>
    </row>
    <row r="1759" spans="1:50" x14ac:dyDescent="0.35">
      <c r="A1759" s="23"/>
      <c r="B1759" s="23"/>
      <c r="C1759" s="23"/>
      <c r="D1759" s="23"/>
      <c r="E1759" s="23"/>
      <c r="F1759" s="23"/>
      <c r="G1759" s="23"/>
      <c r="H1759" s="23"/>
      <c r="I1759" s="23"/>
      <c r="J1759" s="23"/>
      <c r="K1759" s="23"/>
      <c r="L1759" s="23"/>
      <c r="M1759" s="23"/>
      <c r="N1759" s="23"/>
      <c r="O1759" s="23"/>
      <c r="P1759" s="23"/>
      <c r="Q1759" s="23"/>
      <c r="R1759" s="23"/>
      <c r="S1759" s="23"/>
      <c r="T1759" s="23"/>
      <c r="U1759" s="22"/>
      <c r="V1759" s="22"/>
      <c r="W1759" s="22"/>
      <c r="X1759" s="22"/>
      <c r="Y1759" s="22"/>
      <c r="Z1759" s="22"/>
      <c r="AA1759" s="22"/>
      <c r="AB1759" s="22"/>
      <c r="AC1759" s="22"/>
      <c r="AD1759" s="22"/>
      <c r="AE1759" s="22"/>
      <c r="AF1759" s="22"/>
      <c r="AG1759" s="22"/>
      <c r="AH1759" s="22"/>
      <c r="AI1759" s="22"/>
      <c r="AJ1759" s="22"/>
      <c r="AK1759" s="22"/>
      <c r="AL1759" s="22"/>
      <c r="AM1759" s="22"/>
      <c r="AN1759" s="22"/>
      <c r="AO1759" s="22"/>
      <c r="AP1759" s="22"/>
      <c r="AQ1759" s="22"/>
      <c r="AR1759" s="22"/>
      <c r="AS1759" s="22"/>
      <c r="AT1759" s="22"/>
      <c r="AU1759" s="22"/>
      <c r="AV1759" s="22"/>
      <c r="AW1759" s="22"/>
      <c r="AX1759" s="22"/>
    </row>
    <row r="1760" spans="1:50" x14ac:dyDescent="0.35">
      <c r="A1760" s="23"/>
      <c r="B1760" s="23"/>
      <c r="C1760" s="23"/>
      <c r="D1760" s="23"/>
      <c r="E1760" s="23"/>
      <c r="F1760" s="23"/>
      <c r="G1760" s="23"/>
      <c r="H1760" s="23"/>
      <c r="I1760" s="23"/>
      <c r="J1760" s="23"/>
      <c r="K1760" s="23"/>
      <c r="L1760" s="23"/>
      <c r="M1760" s="23"/>
      <c r="N1760" s="23"/>
      <c r="O1760" s="23"/>
      <c r="P1760" s="23"/>
      <c r="Q1760" s="23"/>
      <c r="R1760" s="23"/>
      <c r="S1760" s="23"/>
      <c r="T1760" s="23"/>
      <c r="U1760" s="22"/>
      <c r="V1760" s="22"/>
      <c r="W1760" s="22"/>
      <c r="X1760" s="22"/>
      <c r="Y1760" s="22"/>
      <c r="Z1760" s="22"/>
      <c r="AA1760" s="22"/>
      <c r="AB1760" s="22"/>
      <c r="AC1760" s="22"/>
      <c r="AD1760" s="22"/>
      <c r="AE1760" s="22"/>
      <c r="AF1760" s="22"/>
      <c r="AG1760" s="22"/>
      <c r="AH1760" s="22"/>
      <c r="AI1760" s="22"/>
      <c r="AJ1760" s="22"/>
      <c r="AK1760" s="22"/>
      <c r="AL1760" s="22"/>
      <c r="AM1760" s="22"/>
      <c r="AN1760" s="22"/>
      <c r="AO1760" s="22"/>
      <c r="AP1760" s="22"/>
      <c r="AQ1760" s="22"/>
      <c r="AR1760" s="22"/>
      <c r="AS1760" s="22"/>
      <c r="AT1760" s="22"/>
      <c r="AU1760" s="22"/>
      <c r="AV1760" s="22"/>
      <c r="AW1760" s="22"/>
      <c r="AX1760" s="22"/>
    </row>
    <row r="1761" spans="1:50" x14ac:dyDescent="0.35">
      <c r="A1761" s="23"/>
      <c r="B1761" s="23"/>
      <c r="C1761" s="23"/>
      <c r="D1761" s="23"/>
      <c r="E1761" s="23"/>
      <c r="F1761" s="23"/>
      <c r="G1761" s="23"/>
      <c r="H1761" s="23"/>
      <c r="I1761" s="23"/>
      <c r="J1761" s="23"/>
      <c r="K1761" s="23"/>
      <c r="L1761" s="23"/>
      <c r="M1761" s="23"/>
      <c r="N1761" s="23"/>
      <c r="O1761" s="23"/>
      <c r="P1761" s="23"/>
      <c r="Q1761" s="23"/>
      <c r="R1761" s="23"/>
      <c r="S1761" s="23"/>
      <c r="T1761" s="23"/>
      <c r="U1761" s="22"/>
      <c r="V1761" s="22"/>
      <c r="W1761" s="22"/>
      <c r="X1761" s="22"/>
      <c r="Y1761" s="22"/>
      <c r="Z1761" s="22"/>
      <c r="AA1761" s="22"/>
      <c r="AB1761" s="22"/>
      <c r="AC1761" s="22"/>
      <c r="AD1761" s="22"/>
      <c r="AE1761" s="22"/>
      <c r="AF1761" s="22"/>
      <c r="AG1761" s="22"/>
      <c r="AH1761" s="22"/>
      <c r="AI1761" s="22"/>
      <c r="AJ1761" s="22"/>
      <c r="AK1761" s="22"/>
      <c r="AL1761" s="22"/>
      <c r="AM1761" s="22"/>
      <c r="AN1761" s="22"/>
      <c r="AO1761" s="22"/>
      <c r="AP1761" s="22"/>
      <c r="AQ1761" s="22"/>
      <c r="AR1761" s="22"/>
      <c r="AS1761" s="22"/>
      <c r="AT1761" s="22"/>
      <c r="AU1761" s="22"/>
      <c r="AV1761" s="22"/>
      <c r="AW1761" s="22"/>
      <c r="AX1761" s="22"/>
    </row>
    <row r="1762" spans="1:50" x14ac:dyDescent="0.35">
      <c r="A1762" s="23"/>
      <c r="B1762" s="23"/>
      <c r="C1762" s="23"/>
      <c r="D1762" s="23"/>
      <c r="E1762" s="23"/>
      <c r="F1762" s="23"/>
      <c r="G1762" s="23"/>
      <c r="H1762" s="23"/>
      <c r="I1762" s="23"/>
      <c r="J1762" s="23"/>
      <c r="K1762" s="23"/>
      <c r="L1762" s="23"/>
      <c r="M1762" s="23"/>
      <c r="N1762" s="23"/>
      <c r="O1762" s="23"/>
      <c r="P1762" s="23"/>
      <c r="Q1762" s="23"/>
      <c r="R1762" s="23"/>
      <c r="S1762" s="23"/>
      <c r="T1762" s="23"/>
      <c r="U1762" s="22"/>
      <c r="V1762" s="22"/>
      <c r="W1762" s="22"/>
      <c r="X1762" s="22"/>
      <c r="Y1762" s="22"/>
      <c r="Z1762" s="22"/>
      <c r="AA1762" s="22"/>
      <c r="AB1762" s="22"/>
      <c r="AC1762" s="22"/>
      <c r="AD1762" s="22"/>
      <c r="AE1762" s="22"/>
      <c r="AF1762" s="22"/>
      <c r="AG1762" s="22"/>
      <c r="AH1762" s="22"/>
      <c r="AI1762" s="22"/>
      <c r="AJ1762" s="22"/>
      <c r="AK1762" s="22"/>
      <c r="AL1762" s="22"/>
      <c r="AM1762" s="22"/>
      <c r="AN1762" s="22"/>
      <c r="AO1762" s="22"/>
      <c r="AP1762" s="22"/>
      <c r="AQ1762" s="22"/>
      <c r="AR1762" s="22"/>
      <c r="AS1762" s="22"/>
      <c r="AT1762" s="22"/>
      <c r="AU1762" s="22"/>
      <c r="AV1762" s="22"/>
      <c r="AW1762" s="22"/>
      <c r="AX1762" s="22"/>
    </row>
    <row r="1763" spans="1:50" x14ac:dyDescent="0.35">
      <c r="A1763" s="23"/>
      <c r="B1763" s="23"/>
      <c r="C1763" s="23"/>
      <c r="D1763" s="23"/>
      <c r="E1763" s="23"/>
      <c r="F1763" s="23"/>
      <c r="G1763" s="23"/>
      <c r="H1763" s="23"/>
      <c r="I1763" s="23"/>
      <c r="J1763" s="23"/>
      <c r="K1763" s="23"/>
      <c r="L1763" s="23"/>
      <c r="M1763" s="23"/>
      <c r="N1763" s="23"/>
      <c r="O1763" s="23"/>
      <c r="P1763" s="23"/>
      <c r="Q1763" s="23"/>
      <c r="R1763" s="23"/>
      <c r="S1763" s="23"/>
      <c r="T1763" s="23"/>
      <c r="U1763" s="22"/>
      <c r="V1763" s="22"/>
      <c r="W1763" s="22"/>
      <c r="X1763" s="22"/>
      <c r="Y1763" s="22"/>
      <c r="Z1763" s="22"/>
      <c r="AA1763" s="22"/>
      <c r="AB1763" s="22"/>
      <c r="AC1763" s="22"/>
      <c r="AD1763" s="22"/>
      <c r="AE1763" s="22"/>
      <c r="AF1763" s="22"/>
      <c r="AG1763" s="22"/>
      <c r="AH1763" s="22"/>
      <c r="AI1763" s="22"/>
      <c r="AJ1763" s="22"/>
      <c r="AK1763" s="22"/>
      <c r="AL1763" s="22"/>
      <c r="AM1763" s="22"/>
      <c r="AN1763" s="22"/>
      <c r="AO1763" s="22"/>
      <c r="AP1763" s="22"/>
      <c r="AQ1763" s="22"/>
      <c r="AR1763" s="22"/>
      <c r="AS1763" s="22"/>
      <c r="AT1763" s="22"/>
      <c r="AU1763" s="22"/>
      <c r="AV1763" s="22"/>
      <c r="AW1763" s="22"/>
      <c r="AX1763" s="22"/>
    </row>
    <row r="1764" spans="1:50" x14ac:dyDescent="0.35">
      <c r="A1764" s="23"/>
      <c r="B1764" s="23"/>
      <c r="C1764" s="23"/>
      <c r="D1764" s="23"/>
      <c r="E1764" s="23"/>
      <c r="F1764" s="23"/>
      <c r="G1764" s="23"/>
      <c r="H1764" s="23"/>
      <c r="I1764" s="23"/>
      <c r="J1764" s="23"/>
      <c r="K1764" s="23"/>
      <c r="L1764" s="23"/>
      <c r="M1764" s="23"/>
      <c r="N1764" s="23"/>
      <c r="O1764" s="23"/>
      <c r="P1764" s="23"/>
      <c r="Q1764" s="23"/>
      <c r="R1764" s="23"/>
      <c r="S1764" s="23"/>
      <c r="T1764" s="23"/>
      <c r="U1764" s="22"/>
      <c r="V1764" s="22"/>
      <c r="W1764" s="22"/>
      <c r="X1764" s="22"/>
      <c r="Y1764" s="22"/>
      <c r="Z1764" s="22"/>
      <c r="AA1764" s="22"/>
      <c r="AB1764" s="22"/>
      <c r="AC1764" s="22"/>
      <c r="AD1764" s="22"/>
      <c r="AE1764" s="22"/>
      <c r="AF1764" s="22"/>
      <c r="AG1764" s="22"/>
      <c r="AH1764" s="22"/>
      <c r="AI1764" s="22"/>
      <c r="AJ1764" s="22"/>
      <c r="AK1764" s="22"/>
      <c r="AL1764" s="22"/>
      <c r="AM1764" s="22"/>
      <c r="AN1764" s="22"/>
      <c r="AO1764" s="22"/>
      <c r="AP1764" s="22"/>
      <c r="AQ1764" s="22"/>
      <c r="AR1764" s="22"/>
      <c r="AS1764" s="22"/>
      <c r="AT1764" s="22"/>
      <c r="AU1764" s="22"/>
      <c r="AV1764" s="22"/>
      <c r="AW1764" s="22"/>
      <c r="AX1764" s="22"/>
    </row>
    <row r="1765" spans="1:50" x14ac:dyDescent="0.35">
      <c r="A1765" s="23"/>
      <c r="B1765" s="23"/>
      <c r="C1765" s="23"/>
      <c r="D1765" s="23"/>
      <c r="E1765" s="23"/>
      <c r="F1765" s="23"/>
      <c r="G1765" s="23"/>
      <c r="H1765" s="23"/>
      <c r="I1765" s="23"/>
      <c r="J1765" s="23"/>
      <c r="K1765" s="23"/>
      <c r="L1765" s="23"/>
      <c r="M1765" s="23"/>
      <c r="N1765" s="23"/>
      <c r="O1765" s="23"/>
      <c r="P1765" s="23"/>
      <c r="Q1765" s="23"/>
      <c r="R1765" s="23"/>
      <c r="S1765" s="23"/>
      <c r="T1765" s="23"/>
      <c r="U1765" s="22"/>
      <c r="V1765" s="22"/>
      <c r="W1765" s="22"/>
      <c r="X1765" s="22"/>
      <c r="Y1765" s="22"/>
      <c r="Z1765" s="22"/>
      <c r="AA1765" s="22"/>
      <c r="AB1765" s="22"/>
      <c r="AC1765" s="22"/>
      <c r="AD1765" s="22"/>
      <c r="AE1765" s="22"/>
      <c r="AF1765" s="22"/>
      <c r="AG1765" s="22"/>
      <c r="AH1765" s="22"/>
      <c r="AI1765" s="22"/>
      <c r="AJ1765" s="22"/>
      <c r="AK1765" s="22"/>
      <c r="AL1765" s="22"/>
      <c r="AM1765" s="22"/>
      <c r="AN1765" s="22"/>
      <c r="AO1765" s="22"/>
      <c r="AP1765" s="22"/>
      <c r="AQ1765" s="22"/>
      <c r="AR1765" s="22"/>
      <c r="AS1765" s="22"/>
      <c r="AT1765" s="22"/>
      <c r="AU1765" s="22"/>
      <c r="AV1765" s="22"/>
      <c r="AW1765" s="22"/>
      <c r="AX1765" s="22"/>
    </row>
    <row r="1766" spans="1:50" x14ac:dyDescent="0.35">
      <c r="A1766" s="23"/>
      <c r="B1766" s="23"/>
      <c r="C1766" s="23"/>
      <c r="D1766" s="23"/>
      <c r="E1766" s="23"/>
      <c r="F1766" s="23"/>
      <c r="G1766" s="23"/>
      <c r="H1766" s="23"/>
      <c r="I1766" s="23"/>
      <c r="J1766" s="23"/>
      <c r="K1766" s="23"/>
      <c r="L1766" s="23"/>
      <c r="M1766" s="23"/>
      <c r="N1766" s="23"/>
      <c r="O1766" s="23"/>
      <c r="P1766" s="23"/>
      <c r="Q1766" s="23"/>
      <c r="R1766" s="23"/>
      <c r="S1766" s="23"/>
      <c r="T1766" s="23"/>
      <c r="U1766" s="22"/>
      <c r="V1766" s="22"/>
      <c r="W1766" s="22"/>
      <c r="X1766" s="22"/>
      <c r="Y1766" s="22"/>
      <c r="Z1766" s="22"/>
      <c r="AA1766" s="22"/>
      <c r="AB1766" s="22"/>
      <c r="AC1766" s="22"/>
      <c r="AD1766" s="22"/>
      <c r="AE1766" s="22"/>
      <c r="AF1766" s="22"/>
      <c r="AG1766" s="22"/>
      <c r="AH1766" s="22"/>
      <c r="AI1766" s="22"/>
      <c r="AJ1766" s="22"/>
      <c r="AK1766" s="22"/>
      <c r="AL1766" s="22"/>
      <c r="AM1766" s="22"/>
      <c r="AN1766" s="22"/>
      <c r="AO1766" s="22"/>
      <c r="AP1766" s="22"/>
      <c r="AQ1766" s="22"/>
      <c r="AR1766" s="22"/>
      <c r="AS1766" s="22"/>
      <c r="AT1766" s="22"/>
      <c r="AU1766" s="22"/>
      <c r="AV1766" s="22"/>
      <c r="AW1766" s="22"/>
      <c r="AX1766" s="22"/>
    </row>
    <row r="1767" spans="1:50" x14ac:dyDescent="0.35">
      <c r="A1767" s="23"/>
      <c r="B1767" s="23"/>
      <c r="C1767" s="23"/>
      <c r="D1767" s="23"/>
      <c r="E1767" s="23"/>
      <c r="F1767" s="23"/>
      <c r="G1767" s="23"/>
      <c r="H1767" s="23"/>
      <c r="I1767" s="23"/>
      <c r="J1767" s="23"/>
      <c r="K1767" s="23"/>
      <c r="L1767" s="23"/>
      <c r="M1767" s="23"/>
      <c r="N1767" s="23"/>
      <c r="O1767" s="23"/>
      <c r="P1767" s="23"/>
      <c r="Q1767" s="23"/>
      <c r="R1767" s="23"/>
      <c r="S1767" s="23"/>
      <c r="T1767" s="23"/>
      <c r="U1767" s="22"/>
      <c r="V1767" s="22"/>
      <c r="W1767" s="22"/>
      <c r="X1767" s="22"/>
      <c r="Y1767" s="22"/>
      <c r="Z1767" s="22"/>
      <c r="AA1767" s="22"/>
      <c r="AB1767" s="22"/>
      <c r="AC1767" s="22"/>
      <c r="AD1767" s="22"/>
      <c r="AE1767" s="22"/>
      <c r="AF1767" s="22"/>
      <c r="AG1767" s="22"/>
      <c r="AH1767" s="22"/>
      <c r="AI1767" s="22"/>
      <c r="AJ1767" s="22"/>
      <c r="AK1767" s="22"/>
      <c r="AL1767" s="22"/>
      <c r="AM1767" s="22"/>
      <c r="AN1767" s="22"/>
      <c r="AO1767" s="22"/>
      <c r="AP1767" s="22"/>
      <c r="AQ1767" s="22"/>
      <c r="AR1767" s="22"/>
      <c r="AS1767" s="22"/>
      <c r="AT1767" s="22"/>
      <c r="AU1767" s="22"/>
      <c r="AV1767" s="22"/>
      <c r="AW1767" s="22"/>
      <c r="AX1767" s="22"/>
    </row>
    <row r="1768" spans="1:50" x14ac:dyDescent="0.35">
      <c r="A1768" s="23"/>
      <c r="B1768" s="23"/>
      <c r="C1768" s="23"/>
      <c r="D1768" s="23"/>
      <c r="E1768" s="23"/>
      <c r="F1768" s="23"/>
      <c r="G1768" s="23"/>
      <c r="H1768" s="23"/>
      <c r="I1768" s="23"/>
      <c r="J1768" s="23"/>
      <c r="K1768" s="23"/>
      <c r="L1768" s="23"/>
      <c r="M1768" s="23"/>
      <c r="N1768" s="23"/>
      <c r="O1768" s="23"/>
      <c r="P1768" s="23"/>
      <c r="Q1768" s="23"/>
      <c r="R1768" s="23"/>
      <c r="S1768" s="23"/>
      <c r="T1768" s="23"/>
      <c r="U1768" s="22"/>
      <c r="V1768" s="22"/>
      <c r="W1768" s="22"/>
      <c r="X1768" s="22"/>
      <c r="Y1768" s="22"/>
      <c r="Z1768" s="22"/>
      <c r="AA1768" s="22"/>
      <c r="AB1768" s="22"/>
      <c r="AC1768" s="22"/>
      <c r="AD1768" s="22"/>
      <c r="AE1768" s="22"/>
      <c r="AF1768" s="22"/>
      <c r="AG1768" s="22"/>
      <c r="AH1768" s="22"/>
      <c r="AI1768" s="22"/>
      <c r="AJ1768" s="22"/>
      <c r="AK1768" s="22"/>
      <c r="AL1768" s="22"/>
      <c r="AM1768" s="22"/>
      <c r="AN1768" s="22"/>
      <c r="AO1768" s="22"/>
      <c r="AP1768" s="22"/>
      <c r="AQ1768" s="22"/>
      <c r="AR1768" s="22"/>
      <c r="AS1768" s="22"/>
      <c r="AT1768" s="22"/>
      <c r="AU1768" s="22"/>
      <c r="AV1768" s="22"/>
      <c r="AW1768" s="22"/>
      <c r="AX1768" s="22"/>
    </row>
    <row r="1769" spans="1:50" x14ac:dyDescent="0.35">
      <c r="A1769" s="23"/>
      <c r="B1769" s="23"/>
      <c r="C1769" s="23"/>
      <c r="D1769" s="23"/>
      <c r="E1769" s="23"/>
      <c r="F1769" s="23"/>
      <c r="G1769" s="23"/>
      <c r="H1769" s="23"/>
      <c r="I1769" s="23"/>
      <c r="J1769" s="23"/>
      <c r="K1769" s="23"/>
      <c r="L1769" s="23"/>
      <c r="M1769" s="23"/>
      <c r="N1769" s="23"/>
      <c r="O1769" s="23"/>
      <c r="P1769" s="23"/>
      <c r="Q1769" s="23"/>
      <c r="R1769" s="23"/>
      <c r="S1769" s="23"/>
      <c r="T1769" s="23"/>
      <c r="U1769" s="22"/>
      <c r="V1769" s="22"/>
      <c r="W1769" s="22"/>
      <c r="X1769" s="22"/>
      <c r="Y1769" s="22"/>
      <c r="Z1769" s="22"/>
      <c r="AA1769" s="22"/>
      <c r="AB1769" s="22"/>
      <c r="AC1769" s="22"/>
      <c r="AD1769" s="22"/>
      <c r="AE1769" s="22"/>
      <c r="AF1769" s="22"/>
      <c r="AG1769" s="22"/>
      <c r="AH1769" s="22"/>
      <c r="AI1769" s="22"/>
      <c r="AJ1769" s="22"/>
      <c r="AK1769" s="22"/>
      <c r="AL1769" s="22"/>
      <c r="AM1769" s="22"/>
      <c r="AN1769" s="22"/>
      <c r="AO1769" s="22"/>
      <c r="AP1769" s="22"/>
      <c r="AQ1769" s="22"/>
      <c r="AR1769" s="22"/>
      <c r="AS1769" s="22"/>
      <c r="AT1769" s="22"/>
      <c r="AU1769" s="22"/>
      <c r="AV1769" s="22"/>
      <c r="AW1769" s="22"/>
      <c r="AX1769" s="22"/>
    </row>
    <row r="1770" spans="1:50" x14ac:dyDescent="0.35">
      <c r="A1770" s="23"/>
      <c r="B1770" s="23"/>
      <c r="C1770" s="23"/>
      <c r="D1770" s="23"/>
      <c r="E1770" s="23"/>
      <c r="F1770" s="23"/>
      <c r="G1770" s="23"/>
      <c r="H1770" s="23"/>
      <c r="I1770" s="23"/>
      <c r="J1770" s="23"/>
      <c r="K1770" s="23"/>
      <c r="L1770" s="23"/>
      <c r="M1770" s="23"/>
      <c r="N1770" s="23"/>
      <c r="O1770" s="23"/>
      <c r="P1770" s="23"/>
      <c r="Q1770" s="23"/>
      <c r="R1770" s="23"/>
      <c r="S1770" s="23"/>
      <c r="T1770" s="23"/>
      <c r="U1770" s="22"/>
      <c r="V1770" s="22"/>
      <c r="W1770" s="22"/>
      <c r="X1770" s="22"/>
      <c r="Y1770" s="22"/>
      <c r="Z1770" s="22"/>
      <c r="AA1770" s="22"/>
      <c r="AB1770" s="22"/>
      <c r="AC1770" s="22"/>
      <c r="AD1770" s="22"/>
      <c r="AE1770" s="22"/>
      <c r="AF1770" s="22"/>
      <c r="AG1770" s="22"/>
      <c r="AH1770" s="22"/>
      <c r="AI1770" s="22"/>
      <c r="AJ1770" s="22"/>
      <c r="AK1770" s="22"/>
      <c r="AL1770" s="22"/>
      <c r="AM1770" s="22"/>
      <c r="AN1770" s="22"/>
      <c r="AO1770" s="22"/>
      <c r="AP1770" s="22"/>
      <c r="AQ1770" s="22"/>
      <c r="AR1770" s="22"/>
      <c r="AS1770" s="22"/>
      <c r="AT1770" s="22"/>
      <c r="AU1770" s="22"/>
      <c r="AV1770" s="22"/>
      <c r="AW1770" s="22"/>
      <c r="AX1770" s="22"/>
    </row>
    <row r="1771" spans="1:50" x14ac:dyDescent="0.35">
      <c r="A1771" s="23"/>
      <c r="B1771" s="23"/>
      <c r="C1771" s="23"/>
      <c r="D1771" s="23"/>
      <c r="E1771" s="23"/>
      <c r="F1771" s="23"/>
      <c r="G1771" s="23"/>
      <c r="H1771" s="23"/>
      <c r="I1771" s="23"/>
      <c r="J1771" s="23"/>
      <c r="K1771" s="23"/>
      <c r="L1771" s="23"/>
      <c r="M1771" s="23"/>
      <c r="N1771" s="23"/>
      <c r="O1771" s="23"/>
      <c r="P1771" s="23"/>
      <c r="Q1771" s="23"/>
      <c r="R1771" s="23"/>
      <c r="S1771" s="23"/>
      <c r="T1771" s="23"/>
      <c r="U1771" s="22"/>
      <c r="V1771" s="22"/>
      <c r="W1771" s="22"/>
      <c r="X1771" s="22"/>
      <c r="Y1771" s="22"/>
      <c r="Z1771" s="22"/>
      <c r="AA1771" s="22"/>
      <c r="AB1771" s="22"/>
      <c r="AC1771" s="22"/>
      <c r="AD1771" s="22"/>
      <c r="AE1771" s="22"/>
      <c r="AF1771" s="22"/>
      <c r="AG1771" s="22"/>
      <c r="AH1771" s="22"/>
      <c r="AI1771" s="22"/>
      <c r="AJ1771" s="22"/>
      <c r="AK1771" s="22"/>
      <c r="AL1771" s="22"/>
      <c r="AM1771" s="22"/>
      <c r="AN1771" s="22"/>
      <c r="AO1771" s="22"/>
      <c r="AP1771" s="22"/>
      <c r="AQ1771" s="22"/>
      <c r="AR1771" s="22"/>
      <c r="AS1771" s="22"/>
      <c r="AT1771" s="22"/>
      <c r="AU1771" s="22"/>
      <c r="AV1771" s="22"/>
      <c r="AW1771" s="22"/>
      <c r="AX1771" s="22"/>
    </row>
    <row r="1772" spans="1:50" x14ac:dyDescent="0.35">
      <c r="A1772" s="23"/>
      <c r="B1772" s="23"/>
      <c r="C1772" s="23"/>
      <c r="D1772" s="23"/>
      <c r="E1772" s="23"/>
      <c r="F1772" s="23"/>
      <c r="G1772" s="23"/>
      <c r="H1772" s="23"/>
      <c r="I1772" s="23"/>
      <c r="J1772" s="23"/>
      <c r="K1772" s="23"/>
      <c r="L1772" s="23"/>
      <c r="M1772" s="23"/>
      <c r="N1772" s="23"/>
      <c r="O1772" s="23"/>
      <c r="P1772" s="23"/>
      <c r="Q1772" s="23"/>
      <c r="R1772" s="23"/>
      <c r="S1772" s="23"/>
      <c r="T1772" s="23"/>
      <c r="U1772" s="22"/>
      <c r="V1772" s="22"/>
      <c r="W1772" s="22"/>
      <c r="X1772" s="22"/>
      <c r="Y1772" s="22"/>
      <c r="Z1772" s="22"/>
      <c r="AA1772" s="22"/>
      <c r="AB1772" s="22"/>
      <c r="AC1772" s="22"/>
      <c r="AD1772" s="22"/>
      <c r="AE1772" s="22"/>
      <c r="AF1772" s="22"/>
      <c r="AG1772" s="22"/>
      <c r="AH1772" s="22"/>
      <c r="AI1772" s="22"/>
      <c r="AJ1772" s="22"/>
      <c r="AK1772" s="22"/>
      <c r="AL1772" s="22"/>
      <c r="AM1772" s="22"/>
      <c r="AN1772" s="22"/>
      <c r="AO1772" s="22"/>
      <c r="AP1772" s="22"/>
      <c r="AQ1772" s="22"/>
      <c r="AR1772" s="22"/>
      <c r="AS1772" s="22"/>
      <c r="AT1772" s="22"/>
      <c r="AU1772" s="22"/>
      <c r="AV1772" s="22"/>
      <c r="AW1772" s="22"/>
      <c r="AX1772" s="22"/>
    </row>
    <row r="1773" spans="1:50" x14ac:dyDescent="0.35">
      <c r="A1773" s="23"/>
      <c r="B1773" s="23"/>
      <c r="C1773" s="23"/>
      <c r="D1773" s="23"/>
      <c r="E1773" s="23"/>
      <c r="F1773" s="23"/>
      <c r="G1773" s="23"/>
      <c r="H1773" s="23"/>
      <c r="I1773" s="23"/>
      <c r="J1773" s="23"/>
      <c r="K1773" s="23"/>
      <c r="L1773" s="23"/>
      <c r="M1773" s="23"/>
      <c r="N1773" s="23"/>
      <c r="O1773" s="23"/>
      <c r="P1773" s="23"/>
      <c r="Q1773" s="23"/>
      <c r="R1773" s="23"/>
      <c r="S1773" s="23"/>
      <c r="T1773" s="23"/>
      <c r="U1773" s="22"/>
      <c r="V1773" s="22"/>
      <c r="W1773" s="22"/>
      <c r="X1773" s="22"/>
      <c r="Y1773" s="22"/>
      <c r="Z1773" s="22"/>
      <c r="AA1773" s="22"/>
      <c r="AB1773" s="22"/>
      <c r="AC1773" s="22"/>
      <c r="AD1773" s="22"/>
      <c r="AE1773" s="22"/>
      <c r="AF1773" s="22"/>
      <c r="AG1773" s="22"/>
      <c r="AH1773" s="22"/>
      <c r="AI1773" s="22"/>
      <c r="AJ1773" s="22"/>
      <c r="AK1773" s="22"/>
      <c r="AL1773" s="22"/>
      <c r="AM1773" s="22"/>
      <c r="AN1773" s="22"/>
      <c r="AO1773" s="22"/>
      <c r="AP1773" s="22"/>
      <c r="AQ1773" s="22"/>
      <c r="AR1773" s="22"/>
      <c r="AS1773" s="22"/>
      <c r="AT1773" s="22"/>
      <c r="AU1773" s="22"/>
      <c r="AV1773" s="22"/>
      <c r="AW1773" s="22"/>
      <c r="AX1773" s="22"/>
    </row>
    <row r="1774" spans="1:50" x14ac:dyDescent="0.35">
      <c r="A1774" s="23"/>
      <c r="B1774" s="23"/>
      <c r="C1774" s="23"/>
      <c r="D1774" s="23"/>
      <c r="E1774" s="23"/>
      <c r="F1774" s="23"/>
      <c r="G1774" s="23"/>
      <c r="H1774" s="23"/>
      <c r="I1774" s="23"/>
      <c r="J1774" s="23"/>
      <c r="K1774" s="23"/>
      <c r="L1774" s="23"/>
      <c r="M1774" s="23"/>
      <c r="N1774" s="23"/>
      <c r="O1774" s="23"/>
      <c r="P1774" s="23"/>
      <c r="Q1774" s="23"/>
      <c r="R1774" s="23"/>
      <c r="S1774" s="23"/>
      <c r="T1774" s="23"/>
      <c r="U1774" s="22"/>
      <c r="V1774" s="22"/>
      <c r="W1774" s="22"/>
      <c r="X1774" s="22"/>
      <c r="Y1774" s="22"/>
      <c r="Z1774" s="22"/>
      <c r="AA1774" s="22"/>
      <c r="AB1774" s="22"/>
      <c r="AC1774" s="22"/>
      <c r="AD1774" s="22"/>
      <c r="AE1774" s="22"/>
      <c r="AF1774" s="22"/>
      <c r="AG1774" s="22"/>
      <c r="AH1774" s="22"/>
      <c r="AI1774" s="22"/>
      <c r="AJ1774" s="22"/>
      <c r="AK1774" s="22"/>
      <c r="AL1774" s="22"/>
      <c r="AM1774" s="22"/>
      <c r="AN1774" s="22"/>
      <c r="AO1774" s="22"/>
      <c r="AP1774" s="22"/>
      <c r="AQ1774" s="22"/>
      <c r="AR1774" s="22"/>
      <c r="AS1774" s="22"/>
      <c r="AT1774" s="22"/>
      <c r="AU1774" s="22"/>
      <c r="AV1774" s="22"/>
      <c r="AW1774" s="22"/>
      <c r="AX1774" s="22"/>
    </row>
    <row r="1775" spans="1:50" x14ac:dyDescent="0.35">
      <c r="A1775" s="23"/>
      <c r="B1775" s="23"/>
      <c r="C1775" s="23"/>
      <c r="D1775" s="23"/>
      <c r="E1775" s="23"/>
      <c r="F1775" s="23"/>
      <c r="G1775" s="23"/>
      <c r="H1775" s="23"/>
      <c r="I1775" s="23"/>
      <c r="J1775" s="23"/>
      <c r="K1775" s="23"/>
      <c r="L1775" s="23"/>
      <c r="M1775" s="23"/>
      <c r="N1775" s="23"/>
      <c r="O1775" s="23"/>
      <c r="P1775" s="23"/>
      <c r="Q1775" s="23"/>
      <c r="R1775" s="23"/>
      <c r="S1775" s="23"/>
      <c r="T1775" s="23"/>
      <c r="U1775" s="22"/>
      <c r="V1775" s="22"/>
      <c r="W1775" s="22"/>
      <c r="X1775" s="22"/>
      <c r="Y1775" s="22"/>
      <c r="Z1775" s="22"/>
      <c r="AA1775" s="22"/>
      <c r="AB1775" s="22"/>
      <c r="AC1775" s="22"/>
      <c r="AD1775" s="22"/>
      <c r="AE1775" s="22"/>
      <c r="AF1775" s="22"/>
      <c r="AG1775" s="22"/>
      <c r="AH1775" s="22"/>
      <c r="AI1775" s="22"/>
      <c r="AJ1775" s="22"/>
      <c r="AK1775" s="22"/>
      <c r="AL1775" s="22"/>
      <c r="AM1775" s="22"/>
      <c r="AN1775" s="22"/>
      <c r="AO1775" s="22"/>
      <c r="AP1775" s="22"/>
      <c r="AQ1775" s="22"/>
      <c r="AR1775" s="22"/>
      <c r="AS1775" s="22"/>
      <c r="AT1775" s="22"/>
      <c r="AU1775" s="22"/>
      <c r="AV1775" s="22"/>
      <c r="AW1775" s="22"/>
      <c r="AX1775" s="22"/>
    </row>
    <row r="1776" spans="1:50" x14ac:dyDescent="0.35">
      <c r="A1776" s="23"/>
      <c r="B1776" s="23"/>
      <c r="C1776" s="23"/>
      <c r="D1776" s="23"/>
      <c r="E1776" s="23"/>
      <c r="F1776" s="23"/>
      <c r="G1776" s="23"/>
      <c r="H1776" s="23"/>
      <c r="I1776" s="23"/>
      <c r="J1776" s="23"/>
      <c r="K1776" s="23"/>
      <c r="L1776" s="23"/>
      <c r="M1776" s="23"/>
      <c r="N1776" s="23"/>
      <c r="O1776" s="23"/>
      <c r="P1776" s="23"/>
      <c r="Q1776" s="23"/>
      <c r="R1776" s="23"/>
      <c r="S1776" s="23"/>
      <c r="T1776" s="23"/>
      <c r="U1776" s="22"/>
      <c r="V1776" s="22"/>
      <c r="W1776" s="22"/>
      <c r="X1776" s="22"/>
      <c r="Y1776" s="22"/>
      <c r="Z1776" s="22"/>
      <c r="AA1776" s="22"/>
      <c r="AB1776" s="22"/>
      <c r="AC1776" s="22"/>
      <c r="AD1776" s="22"/>
      <c r="AE1776" s="22"/>
      <c r="AF1776" s="22"/>
      <c r="AG1776" s="22"/>
      <c r="AH1776" s="22"/>
      <c r="AI1776" s="22"/>
      <c r="AJ1776" s="22"/>
      <c r="AK1776" s="22"/>
      <c r="AL1776" s="22"/>
      <c r="AM1776" s="22"/>
      <c r="AN1776" s="22"/>
      <c r="AO1776" s="22"/>
      <c r="AP1776" s="22"/>
      <c r="AQ1776" s="22"/>
      <c r="AR1776" s="22"/>
      <c r="AS1776" s="22"/>
      <c r="AT1776" s="22"/>
      <c r="AU1776" s="22"/>
      <c r="AV1776" s="22"/>
      <c r="AW1776" s="22"/>
      <c r="AX1776" s="22"/>
    </row>
    <row r="1777" spans="1:50" x14ac:dyDescent="0.35">
      <c r="A1777" s="23"/>
      <c r="B1777" s="23"/>
      <c r="C1777" s="23"/>
      <c r="D1777" s="23"/>
      <c r="E1777" s="23"/>
      <c r="F1777" s="23"/>
      <c r="G1777" s="23"/>
      <c r="H1777" s="23"/>
      <c r="I1777" s="23"/>
      <c r="J1777" s="23"/>
      <c r="K1777" s="23"/>
      <c r="L1777" s="23"/>
      <c r="M1777" s="23"/>
      <c r="N1777" s="23"/>
      <c r="O1777" s="23"/>
      <c r="P1777" s="23"/>
      <c r="Q1777" s="23"/>
      <c r="R1777" s="23"/>
      <c r="S1777" s="23"/>
      <c r="T1777" s="23"/>
      <c r="U1777" s="22"/>
      <c r="V1777" s="22"/>
      <c r="W1777" s="22"/>
      <c r="X1777" s="22"/>
      <c r="Y1777" s="22"/>
      <c r="Z1777" s="22"/>
      <c r="AA1777" s="22"/>
      <c r="AB1777" s="22"/>
      <c r="AC1777" s="22"/>
      <c r="AD1777" s="22"/>
      <c r="AE1777" s="22"/>
      <c r="AF1777" s="22"/>
      <c r="AG1777" s="22"/>
      <c r="AH1777" s="22"/>
      <c r="AI1777" s="22"/>
      <c r="AJ1777" s="22"/>
      <c r="AK1777" s="22"/>
      <c r="AL1777" s="22"/>
      <c r="AM1777" s="22"/>
      <c r="AN1777" s="22"/>
      <c r="AO1777" s="22"/>
      <c r="AP1777" s="22"/>
      <c r="AQ1777" s="22"/>
      <c r="AR1777" s="22"/>
      <c r="AS1777" s="22"/>
      <c r="AT1777" s="22"/>
      <c r="AU1777" s="22"/>
      <c r="AV1777" s="22"/>
      <c r="AW1777" s="22"/>
      <c r="AX1777" s="22"/>
    </row>
    <row r="1778" spans="1:50" x14ac:dyDescent="0.35">
      <c r="A1778" s="23"/>
      <c r="B1778" s="23"/>
      <c r="C1778" s="23"/>
      <c r="D1778" s="23"/>
      <c r="E1778" s="23"/>
      <c r="F1778" s="23"/>
      <c r="G1778" s="23"/>
      <c r="H1778" s="23"/>
      <c r="I1778" s="23"/>
      <c r="J1778" s="23"/>
      <c r="K1778" s="23"/>
      <c r="L1778" s="23"/>
      <c r="M1778" s="23"/>
      <c r="N1778" s="23"/>
      <c r="O1778" s="23"/>
      <c r="P1778" s="23"/>
      <c r="Q1778" s="23"/>
      <c r="R1778" s="23"/>
      <c r="S1778" s="23"/>
      <c r="T1778" s="23"/>
      <c r="U1778" s="22"/>
      <c r="V1778" s="22"/>
      <c r="W1778" s="22"/>
      <c r="X1778" s="22"/>
      <c r="Y1778" s="22"/>
      <c r="Z1778" s="22"/>
      <c r="AA1778" s="22"/>
      <c r="AB1778" s="22"/>
      <c r="AC1778" s="22"/>
      <c r="AD1778" s="22"/>
      <c r="AE1778" s="22"/>
      <c r="AF1778" s="22"/>
      <c r="AG1778" s="22"/>
      <c r="AH1778" s="22"/>
      <c r="AI1778" s="22"/>
      <c r="AJ1778" s="22"/>
      <c r="AK1778" s="22"/>
      <c r="AL1778" s="22"/>
      <c r="AM1778" s="22"/>
      <c r="AN1778" s="22"/>
      <c r="AO1778" s="22"/>
      <c r="AP1778" s="22"/>
      <c r="AQ1778" s="22"/>
      <c r="AR1778" s="22"/>
      <c r="AS1778" s="22"/>
      <c r="AT1778" s="22"/>
      <c r="AU1778" s="22"/>
      <c r="AV1778" s="22"/>
      <c r="AW1778" s="22"/>
      <c r="AX1778" s="22"/>
    </row>
    <row r="1779" spans="1:50" x14ac:dyDescent="0.35">
      <c r="A1779" s="23"/>
      <c r="B1779" s="23"/>
      <c r="C1779" s="23"/>
      <c r="D1779" s="23"/>
      <c r="E1779" s="23"/>
      <c r="F1779" s="23"/>
      <c r="G1779" s="23"/>
      <c r="H1779" s="23"/>
      <c r="I1779" s="23"/>
      <c r="J1779" s="23"/>
      <c r="K1779" s="23"/>
      <c r="L1779" s="23"/>
      <c r="M1779" s="23"/>
      <c r="N1779" s="23"/>
      <c r="O1779" s="23"/>
      <c r="P1779" s="23"/>
      <c r="Q1779" s="23"/>
      <c r="R1779" s="23"/>
      <c r="S1779" s="23"/>
      <c r="T1779" s="23"/>
      <c r="U1779" s="22"/>
      <c r="V1779" s="22"/>
      <c r="W1779" s="22"/>
      <c r="X1779" s="22"/>
      <c r="Y1779" s="22"/>
      <c r="Z1779" s="22"/>
      <c r="AA1779" s="22"/>
      <c r="AB1779" s="22"/>
      <c r="AC1779" s="22"/>
      <c r="AD1779" s="22"/>
      <c r="AE1779" s="22"/>
      <c r="AF1779" s="22"/>
      <c r="AG1779" s="22"/>
      <c r="AH1779" s="22"/>
      <c r="AI1779" s="22"/>
      <c r="AJ1779" s="22"/>
      <c r="AK1779" s="22"/>
      <c r="AL1779" s="22"/>
      <c r="AM1779" s="22"/>
      <c r="AN1779" s="22"/>
      <c r="AO1779" s="22"/>
      <c r="AP1779" s="22"/>
      <c r="AQ1779" s="22"/>
      <c r="AR1779" s="22"/>
      <c r="AS1779" s="22"/>
      <c r="AT1779" s="22"/>
      <c r="AU1779" s="22"/>
      <c r="AV1779" s="22"/>
      <c r="AW1779" s="22"/>
      <c r="AX1779" s="22"/>
    </row>
    <row r="1780" spans="1:50" x14ac:dyDescent="0.35">
      <c r="A1780" s="23"/>
      <c r="B1780" s="23"/>
      <c r="C1780" s="23"/>
      <c r="D1780" s="23"/>
      <c r="E1780" s="23"/>
      <c r="F1780" s="23"/>
      <c r="G1780" s="23"/>
      <c r="H1780" s="23"/>
      <c r="I1780" s="23"/>
      <c r="J1780" s="23"/>
      <c r="K1780" s="23"/>
      <c r="L1780" s="23"/>
      <c r="M1780" s="23"/>
      <c r="N1780" s="23"/>
      <c r="O1780" s="23"/>
      <c r="P1780" s="23"/>
      <c r="Q1780" s="23"/>
      <c r="R1780" s="23"/>
      <c r="S1780" s="23"/>
      <c r="T1780" s="23"/>
      <c r="U1780" s="22"/>
      <c r="V1780" s="22"/>
      <c r="W1780" s="22"/>
      <c r="X1780" s="22"/>
      <c r="Y1780" s="22"/>
      <c r="Z1780" s="22"/>
      <c r="AA1780" s="22"/>
      <c r="AB1780" s="22"/>
      <c r="AC1780" s="22"/>
      <c r="AD1780" s="22"/>
      <c r="AE1780" s="22"/>
      <c r="AF1780" s="22"/>
      <c r="AG1780" s="22"/>
      <c r="AH1780" s="22"/>
      <c r="AI1780" s="22"/>
      <c r="AJ1780" s="22"/>
      <c r="AK1780" s="22"/>
      <c r="AL1780" s="22"/>
      <c r="AM1780" s="22"/>
      <c r="AN1780" s="22"/>
      <c r="AO1780" s="22"/>
      <c r="AP1780" s="22"/>
      <c r="AQ1780" s="22"/>
      <c r="AR1780" s="22"/>
      <c r="AS1780" s="22"/>
      <c r="AT1780" s="22"/>
      <c r="AU1780" s="22"/>
      <c r="AV1780" s="22"/>
      <c r="AW1780" s="22"/>
      <c r="AX1780" s="22"/>
    </row>
    <row r="1781" spans="1:50" x14ac:dyDescent="0.35">
      <c r="A1781" s="23"/>
      <c r="B1781" s="23"/>
      <c r="C1781" s="23"/>
      <c r="D1781" s="23"/>
      <c r="E1781" s="23"/>
      <c r="F1781" s="23"/>
      <c r="G1781" s="23"/>
      <c r="H1781" s="23"/>
      <c r="I1781" s="23"/>
      <c r="J1781" s="23"/>
      <c r="K1781" s="23"/>
      <c r="L1781" s="23"/>
      <c r="M1781" s="23"/>
      <c r="N1781" s="23"/>
      <c r="O1781" s="23"/>
      <c r="P1781" s="23"/>
      <c r="Q1781" s="23"/>
      <c r="R1781" s="23"/>
      <c r="S1781" s="23"/>
      <c r="T1781" s="23"/>
      <c r="U1781" s="22"/>
      <c r="V1781" s="22"/>
      <c r="W1781" s="22"/>
      <c r="X1781" s="22"/>
      <c r="Y1781" s="22"/>
      <c r="Z1781" s="22"/>
      <c r="AA1781" s="22"/>
      <c r="AB1781" s="22"/>
      <c r="AC1781" s="22"/>
      <c r="AD1781" s="22"/>
      <c r="AE1781" s="22"/>
      <c r="AF1781" s="22"/>
      <c r="AG1781" s="22"/>
      <c r="AH1781" s="22"/>
      <c r="AI1781" s="22"/>
      <c r="AJ1781" s="22"/>
      <c r="AK1781" s="22"/>
      <c r="AL1781" s="22"/>
      <c r="AM1781" s="22"/>
      <c r="AN1781" s="22"/>
      <c r="AO1781" s="22"/>
      <c r="AP1781" s="22"/>
      <c r="AQ1781" s="22"/>
      <c r="AR1781" s="22"/>
      <c r="AS1781" s="22"/>
      <c r="AT1781" s="22"/>
      <c r="AU1781" s="22"/>
      <c r="AV1781" s="22"/>
      <c r="AW1781" s="22"/>
      <c r="AX1781" s="22"/>
    </row>
    <row r="1782" spans="1:50" x14ac:dyDescent="0.35">
      <c r="A1782" s="23"/>
      <c r="B1782" s="23"/>
      <c r="C1782" s="23"/>
      <c r="D1782" s="23"/>
      <c r="E1782" s="23"/>
      <c r="F1782" s="23"/>
      <c r="G1782" s="23"/>
      <c r="H1782" s="23"/>
      <c r="I1782" s="23"/>
      <c r="J1782" s="23"/>
      <c r="K1782" s="23"/>
      <c r="L1782" s="23"/>
      <c r="M1782" s="23"/>
      <c r="N1782" s="23"/>
      <c r="O1782" s="23"/>
      <c r="P1782" s="23"/>
      <c r="Q1782" s="23"/>
      <c r="R1782" s="23"/>
      <c r="S1782" s="23"/>
      <c r="T1782" s="23"/>
      <c r="U1782" s="22"/>
      <c r="V1782" s="22"/>
      <c r="W1782" s="22"/>
      <c r="X1782" s="22"/>
      <c r="Y1782" s="22"/>
      <c r="Z1782" s="22"/>
      <c r="AA1782" s="22"/>
      <c r="AB1782" s="22"/>
      <c r="AC1782" s="22"/>
      <c r="AD1782" s="22"/>
      <c r="AE1782" s="22"/>
      <c r="AF1782" s="22"/>
      <c r="AG1782" s="22"/>
      <c r="AH1782" s="22"/>
      <c r="AI1782" s="22"/>
      <c r="AJ1782" s="22"/>
      <c r="AK1782" s="22"/>
      <c r="AL1782" s="22"/>
      <c r="AM1782" s="22"/>
      <c r="AN1782" s="22"/>
      <c r="AO1782" s="22"/>
      <c r="AP1782" s="22"/>
      <c r="AQ1782" s="22"/>
      <c r="AR1782" s="22"/>
      <c r="AS1782" s="22"/>
      <c r="AT1782" s="22"/>
      <c r="AU1782" s="22"/>
      <c r="AV1782" s="22"/>
      <c r="AW1782" s="22"/>
      <c r="AX1782" s="22"/>
    </row>
    <row r="1783" spans="1:50" x14ac:dyDescent="0.35">
      <c r="A1783" s="23"/>
      <c r="B1783" s="23"/>
      <c r="C1783" s="23"/>
      <c r="D1783" s="23"/>
      <c r="E1783" s="23"/>
      <c r="F1783" s="23"/>
      <c r="G1783" s="23"/>
      <c r="H1783" s="23"/>
      <c r="I1783" s="23"/>
      <c r="J1783" s="23"/>
      <c r="K1783" s="23"/>
      <c r="L1783" s="23"/>
      <c r="M1783" s="23"/>
      <c r="N1783" s="23"/>
      <c r="O1783" s="23"/>
      <c r="P1783" s="23"/>
      <c r="Q1783" s="23"/>
      <c r="R1783" s="23"/>
      <c r="S1783" s="23"/>
      <c r="T1783" s="23"/>
      <c r="U1783" s="22"/>
      <c r="V1783" s="22"/>
      <c r="W1783" s="22"/>
      <c r="X1783" s="22"/>
      <c r="Y1783" s="22"/>
      <c r="Z1783" s="22"/>
      <c r="AA1783" s="22"/>
      <c r="AB1783" s="22"/>
      <c r="AC1783" s="22"/>
      <c r="AD1783" s="22"/>
      <c r="AE1783" s="22"/>
      <c r="AF1783" s="22"/>
      <c r="AG1783" s="22"/>
      <c r="AH1783" s="22"/>
      <c r="AI1783" s="22"/>
      <c r="AJ1783" s="22"/>
      <c r="AK1783" s="22"/>
      <c r="AL1783" s="22"/>
      <c r="AM1783" s="22"/>
      <c r="AN1783" s="22"/>
      <c r="AO1783" s="22"/>
      <c r="AP1783" s="22"/>
      <c r="AQ1783" s="22"/>
      <c r="AR1783" s="22"/>
      <c r="AS1783" s="22"/>
      <c r="AT1783" s="22"/>
      <c r="AU1783" s="22"/>
      <c r="AV1783" s="22"/>
      <c r="AW1783" s="22"/>
      <c r="AX1783" s="22"/>
    </row>
    <row r="1784" spans="1:50" x14ac:dyDescent="0.35">
      <c r="A1784" s="23"/>
      <c r="B1784" s="23"/>
      <c r="C1784" s="23"/>
      <c r="D1784" s="23"/>
      <c r="E1784" s="23"/>
      <c r="F1784" s="23"/>
      <c r="G1784" s="23"/>
      <c r="H1784" s="23"/>
      <c r="I1784" s="23"/>
      <c r="J1784" s="23"/>
      <c r="K1784" s="23"/>
      <c r="L1784" s="23"/>
      <c r="M1784" s="23"/>
      <c r="N1784" s="23"/>
      <c r="O1784" s="23"/>
      <c r="P1784" s="23"/>
      <c r="Q1784" s="23"/>
      <c r="R1784" s="23"/>
      <c r="S1784" s="23"/>
      <c r="T1784" s="23"/>
      <c r="U1784" s="22"/>
      <c r="V1784" s="22"/>
      <c r="W1784" s="22"/>
      <c r="X1784" s="22"/>
      <c r="Y1784" s="22"/>
      <c r="Z1784" s="22"/>
      <c r="AA1784" s="22"/>
      <c r="AB1784" s="22"/>
      <c r="AC1784" s="22"/>
      <c r="AD1784" s="22"/>
      <c r="AE1784" s="22"/>
      <c r="AF1784" s="22"/>
      <c r="AG1784" s="22"/>
      <c r="AH1784" s="22"/>
      <c r="AI1784" s="22"/>
      <c r="AJ1784" s="22"/>
      <c r="AK1784" s="22"/>
      <c r="AL1784" s="22"/>
      <c r="AM1784" s="22"/>
      <c r="AN1784" s="22"/>
      <c r="AO1784" s="22"/>
      <c r="AP1784" s="22"/>
      <c r="AQ1784" s="22"/>
      <c r="AR1784" s="22"/>
      <c r="AS1784" s="22"/>
      <c r="AT1784" s="22"/>
      <c r="AU1784" s="22"/>
      <c r="AV1784" s="22"/>
      <c r="AW1784" s="22"/>
      <c r="AX1784" s="22"/>
    </row>
    <row r="1785" spans="1:50" x14ac:dyDescent="0.35">
      <c r="A1785" s="23"/>
      <c r="B1785" s="23"/>
      <c r="C1785" s="23"/>
      <c r="D1785" s="23"/>
      <c r="E1785" s="23"/>
      <c r="F1785" s="23"/>
      <c r="G1785" s="23"/>
      <c r="H1785" s="23"/>
      <c r="I1785" s="23"/>
      <c r="J1785" s="23"/>
      <c r="K1785" s="23"/>
      <c r="L1785" s="23"/>
      <c r="M1785" s="23"/>
      <c r="N1785" s="23"/>
      <c r="O1785" s="23"/>
      <c r="P1785" s="23"/>
      <c r="Q1785" s="23"/>
      <c r="R1785" s="23"/>
      <c r="S1785" s="23"/>
      <c r="T1785" s="23"/>
      <c r="U1785" s="22"/>
      <c r="V1785" s="22"/>
      <c r="W1785" s="22"/>
      <c r="X1785" s="22"/>
      <c r="Y1785" s="22"/>
      <c r="Z1785" s="22"/>
      <c r="AA1785" s="22"/>
      <c r="AB1785" s="22"/>
      <c r="AC1785" s="22"/>
      <c r="AD1785" s="22"/>
      <c r="AE1785" s="22"/>
      <c r="AF1785" s="22"/>
      <c r="AG1785" s="22"/>
      <c r="AH1785" s="22"/>
      <c r="AI1785" s="22"/>
      <c r="AJ1785" s="22"/>
      <c r="AK1785" s="22"/>
      <c r="AL1785" s="22"/>
      <c r="AM1785" s="22"/>
      <c r="AN1785" s="22"/>
      <c r="AO1785" s="22"/>
      <c r="AP1785" s="22"/>
      <c r="AQ1785" s="22"/>
      <c r="AR1785" s="22"/>
      <c r="AS1785" s="22"/>
      <c r="AT1785" s="22"/>
      <c r="AU1785" s="22"/>
      <c r="AV1785" s="22"/>
      <c r="AW1785" s="22"/>
      <c r="AX1785" s="22"/>
    </row>
    <row r="1786" spans="1:50" x14ac:dyDescent="0.35">
      <c r="A1786" s="23"/>
      <c r="B1786" s="23"/>
      <c r="C1786" s="23"/>
      <c r="D1786" s="23"/>
      <c r="E1786" s="23"/>
      <c r="F1786" s="23"/>
      <c r="G1786" s="23"/>
      <c r="H1786" s="23"/>
      <c r="I1786" s="23"/>
      <c r="J1786" s="23"/>
      <c r="K1786" s="23"/>
      <c r="L1786" s="23"/>
      <c r="M1786" s="23"/>
      <c r="N1786" s="23"/>
      <c r="O1786" s="23"/>
      <c r="P1786" s="23"/>
      <c r="Q1786" s="23"/>
      <c r="R1786" s="23"/>
      <c r="S1786" s="23"/>
      <c r="T1786" s="23"/>
      <c r="U1786" s="22"/>
      <c r="V1786" s="22"/>
      <c r="W1786" s="22"/>
      <c r="X1786" s="22"/>
      <c r="Y1786" s="22"/>
      <c r="Z1786" s="22"/>
      <c r="AA1786" s="22"/>
      <c r="AB1786" s="22"/>
      <c r="AC1786" s="22"/>
      <c r="AD1786" s="22"/>
      <c r="AE1786" s="22"/>
      <c r="AF1786" s="22"/>
      <c r="AG1786" s="22"/>
      <c r="AH1786" s="22"/>
      <c r="AI1786" s="22"/>
      <c r="AJ1786" s="22"/>
      <c r="AK1786" s="22"/>
      <c r="AL1786" s="22"/>
      <c r="AM1786" s="22"/>
      <c r="AN1786" s="22"/>
      <c r="AO1786" s="22"/>
      <c r="AP1786" s="22"/>
      <c r="AQ1786" s="22"/>
      <c r="AR1786" s="22"/>
      <c r="AS1786" s="22"/>
      <c r="AT1786" s="22"/>
      <c r="AU1786" s="22"/>
      <c r="AV1786" s="22"/>
      <c r="AW1786" s="22"/>
      <c r="AX1786" s="22"/>
    </row>
    <row r="1787" spans="1:50" x14ac:dyDescent="0.35">
      <c r="A1787" s="23"/>
      <c r="B1787" s="23"/>
      <c r="C1787" s="23"/>
      <c r="D1787" s="23"/>
      <c r="E1787" s="23"/>
      <c r="F1787" s="23"/>
      <c r="G1787" s="23"/>
      <c r="H1787" s="23"/>
      <c r="I1787" s="23"/>
      <c r="J1787" s="23"/>
      <c r="K1787" s="23"/>
      <c r="L1787" s="23"/>
      <c r="M1787" s="23"/>
      <c r="N1787" s="23"/>
      <c r="O1787" s="23"/>
      <c r="P1787" s="23"/>
      <c r="Q1787" s="23"/>
      <c r="R1787" s="23"/>
      <c r="S1787" s="23"/>
      <c r="T1787" s="23"/>
      <c r="U1787" s="22"/>
      <c r="V1787" s="22"/>
      <c r="W1787" s="22"/>
      <c r="X1787" s="22"/>
      <c r="Y1787" s="22"/>
      <c r="Z1787" s="22"/>
      <c r="AA1787" s="22"/>
      <c r="AB1787" s="22"/>
      <c r="AC1787" s="22"/>
      <c r="AD1787" s="22"/>
      <c r="AE1787" s="22"/>
      <c r="AF1787" s="22"/>
      <c r="AG1787" s="22"/>
      <c r="AH1787" s="22"/>
      <c r="AI1787" s="22"/>
      <c r="AJ1787" s="22"/>
      <c r="AK1787" s="22"/>
      <c r="AL1787" s="22"/>
      <c r="AM1787" s="22"/>
      <c r="AN1787" s="22"/>
      <c r="AO1787" s="22"/>
      <c r="AP1787" s="22"/>
      <c r="AQ1787" s="22"/>
      <c r="AR1787" s="22"/>
      <c r="AS1787" s="22"/>
      <c r="AT1787" s="22"/>
      <c r="AU1787" s="22"/>
      <c r="AV1787" s="22"/>
      <c r="AW1787" s="22"/>
      <c r="AX1787" s="22"/>
    </row>
    <row r="1788" spans="1:50" x14ac:dyDescent="0.35">
      <c r="A1788" s="23"/>
      <c r="B1788" s="23"/>
      <c r="C1788" s="23"/>
      <c r="D1788" s="23"/>
      <c r="E1788" s="23"/>
      <c r="F1788" s="23"/>
      <c r="G1788" s="23"/>
      <c r="H1788" s="23"/>
      <c r="I1788" s="23"/>
      <c r="J1788" s="23"/>
      <c r="K1788" s="23"/>
      <c r="L1788" s="23"/>
      <c r="M1788" s="23"/>
      <c r="N1788" s="23"/>
      <c r="O1788" s="23"/>
      <c r="P1788" s="23"/>
      <c r="Q1788" s="23"/>
      <c r="R1788" s="23"/>
      <c r="S1788" s="23"/>
      <c r="T1788" s="23"/>
      <c r="U1788" s="22"/>
      <c r="V1788" s="22"/>
      <c r="W1788" s="22"/>
      <c r="X1788" s="22"/>
      <c r="Y1788" s="22"/>
      <c r="Z1788" s="22"/>
      <c r="AA1788" s="22"/>
      <c r="AB1788" s="22"/>
      <c r="AC1788" s="22"/>
      <c r="AD1788" s="22"/>
      <c r="AE1788" s="22"/>
      <c r="AF1788" s="22"/>
      <c r="AG1788" s="22"/>
      <c r="AH1788" s="22"/>
      <c r="AI1788" s="22"/>
      <c r="AJ1788" s="22"/>
      <c r="AK1788" s="22"/>
      <c r="AL1788" s="22"/>
      <c r="AM1788" s="22"/>
      <c r="AN1788" s="22"/>
      <c r="AO1788" s="22"/>
      <c r="AP1788" s="22"/>
      <c r="AQ1788" s="22"/>
      <c r="AR1788" s="22"/>
      <c r="AS1788" s="22"/>
      <c r="AT1788" s="22"/>
      <c r="AU1788" s="22"/>
      <c r="AV1788" s="22"/>
      <c r="AW1788" s="22"/>
      <c r="AX1788" s="22"/>
    </row>
    <row r="1789" spans="1:50" x14ac:dyDescent="0.35">
      <c r="A1789" s="23"/>
      <c r="B1789" s="23"/>
      <c r="C1789" s="23"/>
      <c r="D1789" s="23"/>
      <c r="E1789" s="23"/>
      <c r="F1789" s="23"/>
      <c r="G1789" s="23"/>
      <c r="H1789" s="23"/>
      <c r="I1789" s="23"/>
      <c r="J1789" s="23"/>
      <c r="K1789" s="23"/>
      <c r="L1789" s="23"/>
      <c r="M1789" s="23"/>
      <c r="N1789" s="23"/>
      <c r="O1789" s="23"/>
      <c r="P1789" s="23"/>
      <c r="Q1789" s="23"/>
      <c r="R1789" s="23"/>
      <c r="S1789" s="23"/>
      <c r="T1789" s="23"/>
      <c r="U1789" s="22"/>
      <c r="V1789" s="22"/>
      <c r="W1789" s="22"/>
      <c r="X1789" s="22"/>
      <c r="Y1789" s="22"/>
      <c r="Z1789" s="22"/>
      <c r="AA1789" s="22"/>
      <c r="AB1789" s="22"/>
      <c r="AC1789" s="22"/>
      <c r="AD1789" s="22"/>
      <c r="AE1789" s="22"/>
      <c r="AF1789" s="22"/>
      <c r="AG1789" s="22"/>
      <c r="AH1789" s="22"/>
      <c r="AI1789" s="22"/>
      <c r="AJ1789" s="22"/>
      <c r="AK1789" s="22"/>
      <c r="AL1789" s="22"/>
      <c r="AM1789" s="22"/>
      <c r="AN1789" s="22"/>
      <c r="AO1789" s="22"/>
      <c r="AP1789" s="22"/>
      <c r="AQ1789" s="22"/>
      <c r="AR1789" s="22"/>
      <c r="AS1789" s="22"/>
      <c r="AT1789" s="22"/>
      <c r="AU1789" s="22"/>
      <c r="AV1789" s="22"/>
      <c r="AW1789" s="22"/>
      <c r="AX1789" s="22"/>
    </row>
    <row r="1790" spans="1:50" x14ac:dyDescent="0.35">
      <c r="A1790" s="23"/>
      <c r="B1790" s="23"/>
      <c r="C1790" s="23"/>
      <c r="D1790" s="23"/>
      <c r="E1790" s="23"/>
      <c r="F1790" s="23"/>
      <c r="G1790" s="23"/>
      <c r="H1790" s="23"/>
      <c r="I1790" s="23"/>
      <c r="J1790" s="23"/>
      <c r="K1790" s="23"/>
      <c r="L1790" s="23"/>
      <c r="M1790" s="23"/>
      <c r="N1790" s="23"/>
      <c r="O1790" s="23"/>
      <c r="P1790" s="23"/>
      <c r="Q1790" s="23"/>
      <c r="R1790" s="23"/>
      <c r="S1790" s="23"/>
      <c r="T1790" s="23"/>
      <c r="U1790" s="22"/>
      <c r="V1790" s="22"/>
      <c r="W1790" s="22"/>
      <c r="X1790" s="22"/>
      <c r="Y1790" s="22"/>
      <c r="Z1790" s="22"/>
      <c r="AA1790" s="22"/>
      <c r="AB1790" s="22"/>
      <c r="AC1790" s="22"/>
      <c r="AD1790" s="22"/>
      <c r="AE1790" s="22"/>
      <c r="AF1790" s="22"/>
      <c r="AG1790" s="22"/>
      <c r="AH1790" s="22"/>
      <c r="AI1790" s="22"/>
      <c r="AJ1790" s="22"/>
      <c r="AK1790" s="22"/>
      <c r="AL1790" s="22"/>
      <c r="AM1790" s="22"/>
      <c r="AN1790" s="22"/>
      <c r="AO1790" s="22"/>
      <c r="AP1790" s="22"/>
      <c r="AQ1790" s="22"/>
      <c r="AR1790" s="22"/>
      <c r="AS1790" s="22"/>
      <c r="AT1790" s="22"/>
      <c r="AU1790" s="22"/>
      <c r="AV1790" s="22"/>
      <c r="AW1790" s="22"/>
      <c r="AX1790" s="22"/>
    </row>
    <row r="1791" spans="1:50" x14ac:dyDescent="0.35">
      <c r="A1791" s="23"/>
      <c r="B1791" s="23"/>
      <c r="C1791" s="23"/>
      <c r="D1791" s="23"/>
      <c r="E1791" s="23"/>
      <c r="F1791" s="23"/>
      <c r="G1791" s="23"/>
      <c r="H1791" s="23"/>
      <c r="I1791" s="23"/>
      <c r="J1791" s="23"/>
      <c r="K1791" s="23"/>
      <c r="L1791" s="23"/>
      <c r="M1791" s="23"/>
      <c r="N1791" s="23"/>
      <c r="O1791" s="23"/>
      <c r="P1791" s="23"/>
      <c r="Q1791" s="23"/>
      <c r="R1791" s="23"/>
      <c r="S1791" s="23"/>
      <c r="T1791" s="23"/>
      <c r="U1791" s="22"/>
      <c r="V1791" s="22"/>
      <c r="W1791" s="22"/>
      <c r="X1791" s="22"/>
      <c r="Y1791" s="22"/>
      <c r="Z1791" s="22"/>
      <c r="AA1791" s="22"/>
      <c r="AB1791" s="22"/>
      <c r="AC1791" s="22"/>
      <c r="AD1791" s="22"/>
      <c r="AE1791" s="22"/>
      <c r="AF1791" s="22"/>
      <c r="AG1791" s="22"/>
      <c r="AH1791" s="22"/>
      <c r="AI1791" s="22"/>
      <c r="AJ1791" s="22"/>
      <c r="AK1791" s="22"/>
      <c r="AL1791" s="22"/>
      <c r="AM1791" s="22"/>
      <c r="AN1791" s="22"/>
      <c r="AO1791" s="22"/>
      <c r="AP1791" s="22"/>
      <c r="AQ1791" s="22"/>
      <c r="AR1791" s="22"/>
      <c r="AS1791" s="22"/>
      <c r="AT1791" s="22"/>
      <c r="AU1791" s="22"/>
      <c r="AV1791" s="22"/>
      <c r="AW1791" s="22"/>
      <c r="AX1791" s="22"/>
    </row>
    <row r="1792" spans="1:50" x14ac:dyDescent="0.35">
      <c r="A1792" s="23"/>
      <c r="B1792" s="23"/>
      <c r="C1792" s="23"/>
      <c r="D1792" s="23"/>
      <c r="E1792" s="23"/>
      <c r="F1792" s="23"/>
      <c r="G1792" s="23"/>
      <c r="H1792" s="23"/>
      <c r="I1792" s="23"/>
      <c r="J1792" s="23"/>
      <c r="K1792" s="23"/>
      <c r="L1792" s="23"/>
      <c r="M1792" s="23"/>
      <c r="N1792" s="23"/>
      <c r="O1792" s="23"/>
      <c r="P1792" s="23"/>
      <c r="Q1792" s="23"/>
      <c r="R1792" s="23"/>
      <c r="S1792" s="23"/>
      <c r="T1792" s="23"/>
      <c r="U1792" s="22"/>
      <c r="V1792" s="22"/>
      <c r="W1792" s="22"/>
      <c r="X1792" s="22"/>
      <c r="Y1792" s="22"/>
      <c r="Z1792" s="22"/>
      <c r="AA1792" s="22"/>
      <c r="AB1792" s="22"/>
      <c r="AC1792" s="22"/>
      <c r="AD1792" s="22"/>
      <c r="AE1792" s="22"/>
      <c r="AF1792" s="22"/>
      <c r="AG1792" s="22"/>
      <c r="AH1792" s="22"/>
      <c r="AI1792" s="22"/>
      <c r="AJ1792" s="22"/>
      <c r="AK1792" s="22"/>
      <c r="AL1792" s="22"/>
      <c r="AM1792" s="22"/>
      <c r="AN1792" s="22"/>
      <c r="AO1792" s="22"/>
      <c r="AP1792" s="22"/>
      <c r="AQ1792" s="22"/>
      <c r="AR1792" s="22"/>
      <c r="AS1792" s="22"/>
      <c r="AT1792" s="22"/>
      <c r="AU1792" s="22"/>
      <c r="AV1792" s="22"/>
      <c r="AW1792" s="22"/>
      <c r="AX1792" s="22"/>
    </row>
    <row r="1793" spans="1:50" x14ac:dyDescent="0.35">
      <c r="A1793" s="23"/>
      <c r="B1793" s="23"/>
      <c r="C1793" s="23"/>
      <c r="D1793" s="23"/>
      <c r="E1793" s="23"/>
      <c r="F1793" s="23"/>
      <c r="G1793" s="23"/>
      <c r="H1793" s="23"/>
      <c r="I1793" s="23"/>
      <c r="J1793" s="23"/>
      <c r="K1793" s="23"/>
      <c r="L1793" s="23"/>
      <c r="M1793" s="23"/>
      <c r="N1793" s="23"/>
      <c r="O1793" s="23"/>
      <c r="P1793" s="23"/>
      <c r="Q1793" s="23"/>
      <c r="R1793" s="23"/>
      <c r="S1793" s="23"/>
      <c r="T1793" s="23"/>
      <c r="U1793" s="22"/>
      <c r="V1793" s="22"/>
      <c r="W1793" s="22"/>
      <c r="X1793" s="22"/>
      <c r="Y1793" s="22"/>
      <c r="Z1793" s="22"/>
      <c r="AA1793" s="22"/>
      <c r="AB1793" s="22"/>
      <c r="AC1793" s="22"/>
      <c r="AD1793" s="22"/>
      <c r="AE1793" s="22"/>
      <c r="AF1793" s="22"/>
      <c r="AG1793" s="22"/>
      <c r="AH1793" s="22"/>
      <c r="AI1793" s="22"/>
      <c r="AJ1793" s="22"/>
      <c r="AK1793" s="22"/>
      <c r="AL1793" s="22"/>
      <c r="AM1793" s="22"/>
      <c r="AN1793" s="22"/>
      <c r="AO1793" s="22"/>
      <c r="AP1793" s="22"/>
      <c r="AQ1793" s="22"/>
      <c r="AR1793" s="22"/>
      <c r="AS1793" s="22"/>
      <c r="AT1793" s="22"/>
      <c r="AU1793" s="22"/>
      <c r="AV1793" s="22"/>
      <c r="AW1793" s="22"/>
      <c r="AX1793" s="22"/>
    </row>
    <row r="1794" spans="1:50" x14ac:dyDescent="0.35">
      <c r="A1794" s="23"/>
      <c r="B1794" s="23"/>
      <c r="C1794" s="23"/>
      <c r="D1794" s="23"/>
      <c r="E1794" s="23"/>
      <c r="F1794" s="23"/>
      <c r="G1794" s="23"/>
      <c r="H1794" s="23"/>
      <c r="I1794" s="23"/>
      <c r="J1794" s="23"/>
      <c r="K1794" s="23"/>
      <c r="L1794" s="23"/>
      <c r="M1794" s="23"/>
      <c r="N1794" s="23"/>
      <c r="O1794" s="23"/>
      <c r="P1794" s="23"/>
      <c r="Q1794" s="23"/>
      <c r="R1794" s="23"/>
      <c r="S1794" s="23"/>
      <c r="T1794" s="23"/>
      <c r="U1794" s="22"/>
      <c r="V1794" s="22"/>
      <c r="W1794" s="22"/>
      <c r="X1794" s="22"/>
      <c r="Y1794" s="22"/>
      <c r="Z1794" s="22"/>
      <c r="AA1794" s="22"/>
      <c r="AB1794" s="22"/>
      <c r="AC1794" s="22"/>
      <c r="AD1794" s="22"/>
      <c r="AE1794" s="22"/>
      <c r="AF1794" s="22"/>
      <c r="AG1794" s="22"/>
      <c r="AH1794" s="22"/>
      <c r="AI1794" s="22"/>
      <c r="AJ1794" s="22"/>
      <c r="AK1794" s="22"/>
      <c r="AL1794" s="22"/>
      <c r="AM1794" s="22"/>
      <c r="AN1794" s="22"/>
      <c r="AO1794" s="22"/>
      <c r="AP1794" s="22"/>
      <c r="AQ1794" s="22"/>
      <c r="AR1794" s="22"/>
      <c r="AS1794" s="22"/>
      <c r="AT1794" s="22"/>
      <c r="AU1794" s="22"/>
      <c r="AV1794" s="22"/>
      <c r="AW1794" s="22"/>
      <c r="AX1794" s="22"/>
    </row>
    <row r="1795" spans="1:50" x14ac:dyDescent="0.35">
      <c r="A1795" s="23"/>
      <c r="B1795" s="23"/>
      <c r="C1795" s="23"/>
      <c r="D1795" s="23"/>
      <c r="E1795" s="23"/>
      <c r="F1795" s="23"/>
      <c r="G1795" s="23"/>
      <c r="H1795" s="23"/>
      <c r="I1795" s="23"/>
      <c r="J1795" s="23"/>
      <c r="K1795" s="23"/>
      <c r="L1795" s="23"/>
      <c r="M1795" s="23"/>
      <c r="N1795" s="23"/>
      <c r="O1795" s="23"/>
      <c r="P1795" s="23"/>
      <c r="Q1795" s="23"/>
      <c r="R1795" s="23"/>
      <c r="S1795" s="23"/>
      <c r="T1795" s="23"/>
      <c r="U1795" s="22"/>
      <c r="V1795" s="22"/>
      <c r="W1795" s="22"/>
      <c r="X1795" s="22"/>
      <c r="Y1795" s="22"/>
      <c r="Z1795" s="22"/>
      <c r="AA1795" s="22"/>
      <c r="AB1795" s="22"/>
      <c r="AC1795" s="22"/>
      <c r="AD1795" s="22"/>
      <c r="AE1795" s="22"/>
      <c r="AF1795" s="22"/>
      <c r="AG1795" s="22"/>
      <c r="AH1795" s="22"/>
      <c r="AI1795" s="22"/>
      <c r="AJ1795" s="22"/>
      <c r="AK1795" s="22"/>
      <c r="AL1795" s="22"/>
      <c r="AM1795" s="22"/>
      <c r="AN1795" s="22"/>
      <c r="AO1795" s="22"/>
      <c r="AP1795" s="22"/>
      <c r="AQ1795" s="22"/>
      <c r="AR1795" s="22"/>
      <c r="AS1795" s="22"/>
      <c r="AT1795" s="22"/>
      <c r="AU1795" s="22"/>
      <c r="AV1795" s="22"/>
      <c r="AW1795" s="22"/>
      <c r="AX1795" s="22"/>
    </row>
    <row r="1796" spans="1:50" x14ac:dyDescent="0.35">
      <c r="A1796" s="23"/>
      <c r="B1796" s="23"/>
      <c r="C1796" s="23"/>
      <c r="D1796" s="23"/>
      <c r="E1796" s="23"/>
      <c r="F1796" s="23"/>
      <c r="G1796" s="23"/>
      <c r="H1796" s="23"/>
      <c r="I1796" s="23"/>
      <c r="J1796" s="23"/>
      <c r="K1796" s="23"/>
      <c r="L1796" s="23"/>
      <c r="M1796" s="23"/>
      <c r="N1796" s="23"/>
      <c r="O1796" s="23"/>
      <c r="P1796" s="23"/>
      <c r="Q1796" s="23"/>
      <c r="R1796" s="23"/>
      <c r="S1796" s="23"/>
      <c r="T1796" s="23"/>
      <c r="U1796" s="22"/>
      <c r="V1796" s="22"/>
      <c r="W1796" s="22"/>
      <c r="X1796" s="22"/>
      <c r="Y1796" s="22"/>
      <c r="Z1796" s="22"/>
      <c r="AA1796" s="22"/>
      <c r="AB1796" s="22"/>
      <c r="AC1796" s="22"/>
      <c r="AD1796" s="22"/>
      <c r="AE1796" s="22"/>
      <c r="AF1796" s="22"/>
      <c r="AG1796" s="22"/>
      <c r="AH1796" s="22"/>
      <c r="AI1796" s="22"/>
      <c r="AJ1796" s="22"/>
      <c r="AK1796" s="22"/>
      <c r="AL1796" s="22"/>
      <c r="AM1796" s="22"/>
      <c r="AN1796" s="22"/>
      <c r="AO1796" s="22"/>
      <c r="AP1796" s="22"/>
      <c r="AQ1796" s="22"/>
      <c r="AR1796" s="22"/>
      <c r="AS1796" s="22"/>
      <c r="AT1796" s="22"/>
      <c r="AU1796" s="22"/>
      <c r="AV1796" s="22"/>
      <c r="AW1796" s="22"/>
      <c r="AX1796" s="22"/>
    </row>
    <row r="1797" spans="1:50" x14ac:dyDescent="0.35">
      <c r="A1797" s="23"/>
      <c r="B1797" s="23"/>
      <c r="C1797" s="23"/>
      <c r="D1797" s="23"/>
      <c r="E1797" s="23"/>
      <c r="F1797" s="23"/>
      <c r="G1797" s="23"/>
      <c r="H1797" s="23"/>
      <c r="I1797" s="23"/>
      <c r="J1797" s="23"/>
      <c r="K1797" s="23"/>
      <c r="L1797" s="23"/>
      <c r="M1797" s="23"/>
      <c r="N1797" s="23"/>
      <c r="O1797" s="23"/>
      <c r="P1797" s="23"/>
      <c r="Q1797" s="23"/>
      <c r="R1797" s="23"/>
      <c r="S1797" s="23"/>
      <c r="T1797" s="23"/>
      <c r="U1797" s="22"/>
      <c r="V1797" s="22"/>
      <c r="W1797" s="22"/>
      <c r="X1797" s="22"/>
      <c r="Y1797" s="22"/>
      <c r="Z1797" s="22"/>
      <c r="AA1797" s="22"/>
      <c r="AB1797" s="22"/>
      <c r="AC1797" s="22"/>
      <c r="AD1797" s="22"/>
      <c r="AE1797" s="22"/>
      <c r="AF1797" s="22"/>
      <c r="AG1797" s="22"/>
      <c r="AH1797" s="22"/>
      <c r="AI1797" s="22"/>
      <c r="AJ1797" s="22"/>
      <c r="AK1797" s="22"/>
      <c r="AL1797" s="22"/>
      <c r="AM1797" s="22"/>
      <c r="AN1797" s="22"/>
      <c r="AO1797" s="22"/>
      <c r="AP1797" s="22"/>
      <c r="AQ1797" s="22"/>
      <c r="AR1797" s="22"/>
      <c r="AS1797" s="22"/>
      <c r="AT1797" s="22"/>
      <c r="AU1797" s="22"/>
      <c r="AV1797" s="22"/>
      <c r="AW1797" s="22"/>
      <c r="AX1797" s="22"/>
    </row>
    <row r="1798" spans="1:50" x14ac:dyDescent="0.35">
      <c r="A1798" s="23"/>
      <c r="B1798" s="23"/>
      <c r="C1798" s="23"/>
      <c r="D1798" s="23"/>
      <c r="E1798" s="23"/>
      <c r="F1798" s="23"/>
      <c r="G1798" s="23"/>
      <c r="H1798" s="23"/>
      <c r="I1798" s="23"/>
      <c r="J1798" s="23"/>
      <c r="K1798" s="23"/>
      <c r="L1798" s="23"/>
      <c r="M1798" s="23"/>
      <c r="N1798" s="23"/>
      <c r="O1798" s="23"/>
      <c r="P1798" s="23"/>
      <c r="Q1798" s="23"/>
      <c r="R1798" s="23"/>
      <c r="S1798" s="23"/>
      <c r="T1798" s="23"/>
      <c r="U1798" s="22"/>
      <c r="V1798" s="22"/>
      <c r="W1798" s="22"/>
      <c r="X1798" s="22"/>
      <c r="Y1798" s="22"/>
      <c r="Z1798" s="22"/>
      <c r="AA1798" s="22"/>
      <c r="AB1798" s="22"/>
      <c r="AC1798" s="22"/>
      <c r="AD1798" s="22"/>
      <c r="AE1798" s="22"/>
      <c r="AF1798" s="22"/>
      <c r="AG1798" s="22"/>
      <c r="AH1798" s="22"/>
      <c r="AI1798" s="22"/>
      <c r="AJ1798" s="22"/>
      <c r="AK1798" s="22"/>
      <c r="AL1798" s="22"/>
      <c r="AM1798" s="22"/>
      <c r="AN1798" s="22"/>
      <c r="AO1798" s="22"/>
      <c r="AP1798" s="22"/>
      <c r="AQ1798" s="22"/>
      <c r="AR1798" s="22"/>
      <c r="AS1798" s="22"/>
      <c r="AT1798" s="22"/>
      <c r="AU1798" s="22"/>
      <c r="AV1798" s="22"/>
      <c r="AW1798" s="22"/>
      <c r="AX1798" s="22"/>
    </row>
    <row r="1799" spans="1:50" x14ac:dyDescent="0.35">
      <c r="A1799" s="23"/>
      <c r="B1799" s="23"/>
      <c r="C1799" s="23"/>
      <c r="D1799" s="23"/>
      <c r="E1799" s="23"/>
      <c r="F1799" s="23"/>
      <c r="G1799" s="23"/>
      <c r="H1799" s="23"/>
      <c r="I1799" s="23"/>
      <c r="J1799" s="23"/>
      <c r="K1799" s="23"/>
      <c r="L1799" s="23"/>
      <c r="M1799" s="23"/>
      <c r="N1799" s="23"/>
      <c r="O1799" s="23"/>
      <c r="P1799" s="23"/>
      <c r="Q1799" s="23"/>
      <c r="R1799" s="23"/>
      <c r="S1799" s="23"/>
      <c r="T1799" s="23"/>
      <c r="U1799" s="22"/>
      <c r="V1799" s="22"/>
      <c r="W1799" s="22"/>
      <c r="X1799" s="22"/>
      <c r="Y1799" s="22"/>
      <c r="Z1799" s="22"/>
      <c r="AA1799" s="22"/>
      <c r="AB1799" s="22"/>
      <c r="AC1799" s="22"/>
      <c r="AD1799" s="22"/>
      <c r="AE1799" s="22"/>
      <c r="AF1799" s="22"/>
      <c r="AG1799" s="22"/>
      <c r="AH1799" s="22"/>
      <c r="AI1799" s="22"/>
      <c r="AJ1799" s="22"/>
      <c r="AK1799" s="22"/>
      <c r="AL1799" s="22"/>
      <c r="AM1799" s="22"/>
      <c r="AN1799" s="22"/>
      <c r="AO1799" s="22"/>
      <c r="AP1799" s="22"/>
      <c r="AQ1799" s="22"/>
      <c r="AR1799" s="22"/>
      <c r="AS1799" s="22"/>
      <c r="AT1799" s="22"/>
      <c r="AU1799" s="22"/>
      <c r="AV1799" s="22"/>
      <c r="AW1799" s="22"/>
      <c r="AX1799" s="22"/>
    </row>
    <row r="1800" spans="1:50" x14ac:dyDescent="0.35">
      <c r="A1800" s="23"/>
      <c r="B1800" s="23"/>
      <c r="C1800" s="23"/>
      <c r="D1800" s="23"/>
      <c r="E1800" s="23"/>
      <c r="F1800" s="23"/>
      <c r="G1800" s="23"/>
      <c r="H1800" s="23"/>
      <c r="I1800" s="23"/>
      <c r="J1800" s="23"/>
      <c r="K1800" s="23"/>
      <c r="L1800" s="23"/>
      <c r="M1800" s="23"/>
      <c r="N1800" s="23"/>
      <c r="O1800" s="23"/>
      <c r="P1800" s="23"/>
      <c r="Q1800" s="23"/>
      <c r="R1800" s="23"/>
      <c r="S1800" s="23"/>
      <c r="T1800" s="23"/>
      <c r="U1800" s="22"/>
      <c r="V1800" s="22"/>
      <c r="W1800" s="22"/>
      <c r="X1800" s="22"/>
      <c r="Y1800" s="22"/>
      <c r="Z1800" s="22"/>
      <c r="AA1800" s="22"/>
      <c r="AB1800" s="22"/>
      <c r="AC1800" s="22"/>
      <c r="AD1800" s="22"/>
      <c r="AE1800" s="22"/>
      <c r="AF1800" s="22"/>
      <c r="AG1800" s="22"/>
      <c r="AH1800" s="22"/>
      <c r="AI1800" s="22"/>
      <c r="AJ1800" s="22"/>
      <c r="AK1800" s="22"/>
      <c r="AL1800" s="22"/>
      <c r="AM1800" s="22"/>
      <c r="AN1800" s="22"/>
      <c r="AO1800" s="22"/>
      <c r="AP1800" s="22"/>
      <c r="AQ1800" s="22"/>
      <c r="AR1800" s="22"/>
      <c r="AS1800" s="22"/>
      <c r="AT1800" s="22"/>
      <c r="AU1800" s="22"/>
      <c r="AV1800" s="22"/>
      <c r="AW1800" s="22"/>
      <c r="AX1800" s="22"/>
    </row>
    <row r="1801" spans="1:50" x14ac:dyDescent="0.35">
      <c r="A1801" s="23"/>
      <c r="B1801" s="23"/>
      <c r="C1801" s="23"/>
      <c r="D1801" s="23"/>
      <c r="E1801" s="23"/>
      <c r="F1801" s="23"/>
      <c r="G1801" s="23"/>
      <c r="H1801" s="23"/>
      <c r="I1801" s="23"/>
      <c r="J1801" s="23"/>
      <c r="K1801" s="23"/>
      <c r="L1801" s="23"/>
      <c r="M1801" s="23"/>
      <c r="N1801" s="23"/>
      <c r="O1801" s="23"/>
      <c r="P1801" s="23"/>
      <c r="Q1801" s="23"/>
      <c r="R1801" s="23"/>
      <c r="S1801" s="23"/>
      <c r="T1801" s="23"/>
      <c r="U1801" s="22"/>
      <c r="V1801" s="22"/>
      <c r="W1801" s="22"/>
      <c r="X1801" s="22"/>
      <c r="Y1801" s="22"/>
      <c r="Z1801" s="22"/>
      <c r="AA1801" s="22"/>
      <c r="AB1801" s="22"/>
      <c r="AC1801" s="22"/>
      <c r="AD1801" s="22"/>
      <c r="AE1801" s="22"/>
      <c r="AF1801" s="22"/>
      <c r="AG1801" s="22"/>
      <c r="AH1801" s="22"/>
      <c r="AI1801" s="22"/>
      <c r="AJ1801" s="22"/>
      <c r="AK1801" s="22"/>
      <c r="AL1801" s="22"/>
      <c r="AM1801" s="22"/>
      <c r="AN1801" s="22"/>
      <c r="AO1801" s="22"/>
      <c r="AP1801" s="22"/>
      <c r="AQ1801" s="22"/>
      <c r="AR1801" s="22"/>
      <c r="AS1801" s="22"/>
      <c r="AT1801" s="22"/>
      <c r="AU1801" s="22"/>
      <c r="AV1801" s="22"/>
      <c r="AW1801" s="22"/>
      <c r="AX1801" s="22"/>
    </row>
    <row r="1802" spans="1:50" x14ac:dyDescent="0.35">
      <c r="A1802" s="23"/>
      <c r="B1802" s="23"/>
      <c r="C1802" s="23"/>
      <c r="D1802" s="23"/>
      <c r="E1802" s="23"/>
      <c r="F1802" s="23"/>
      <c r="G1802" s="23"/>
      <c r="H1802" s="23"/>
      <c r="I1802" s="23"/>
      <c r="J1802" s="23"/>
      <c r="K1802" s="23"/>
      <c r="L1802" s="23"/>
      <c r="M1802" s="23"/>
      <c r="N1802" s="23"/>
      <c r="O1802" s="23"/>
      <c r="P1802" s="23"/>
      <c r="Q1802" s="23"/>
      <c r="R1802" s="23"/>
      <c r="S1802" s="23"/>
      <c r="T1802" s="23"/>
      <c r="U1802" s="22"/>
      <c r="V1802" s="22"/>
      <c r="W1802" s="22"/>
      <c r="X1802" s="22"/>
      <c r="Y1802" s="22"/>
      <c r="Z1802" s="22"/>
      <c r="AA1802" s="22"/>
      <c r="AB1802" s="22"/>
      <c r="AC1802" s="22"/>
      <c r="AD1802" s="22"/>
      <c r="AE1802" s="22"/>
      <c r="AF1802" s="22"/>
      <c r="AG1802" s="22"/>
      <c r="AH1802" s="22"/>
      <c r="AI1802" s="22"/>
      <c r="AJ1802" s="22"/>
      <c r="AK1802" s="22"/>
      <c r="AL1802" s="22"/>
      <c r="AM1802" s="22"/>
      <c r="AN1802" s="22"/>
      <c r="AO1802" s="22"/>
      <c r="AP1802" s="22"/>
      <c r="AQ1802" s="22"/>
      <c r="AR1802" s="22"/>
      <c r="AS1802" s="22"/>
      <c r="AT1802" s="22"/>
      <c r="AU1802" s="22"/>
      <c r="AV1802" s="22"/>
      <c r="AW1802" s="22"/>
      <c r="AX1802" s="22"/>
    </row>
    <row r="1803" spans="1:50" x14ac:dyDescent="0.35">
      <c r="A1803" s="23"/>
      <c r="B1803" s="23"/>
      <c r="C1803" s="23"/>
      <c r="D1803" s="23"/>
      <c r="E1803" s="23"/>
      <c r="F1803" s="23"/>
      <c r="G1803" s="23"/>
      <c r="H1803" s="23"/>
      <c r="I1803" s="23"/>
      <c r="J1803" s="23"/>
      <c r="K1803" s="23"/>
      <c r="L1803" s="23"/>
      <c r="M1803" s="23"/>
      <c r="N1803" s="23"/>
      <c r="O1803" s="23"/>
      <c r="P1803" s="23"/>
      <c r="Q1803" s="23"/>
      <c r="R1803" s="23"/>
      <c r="S1803" s="23"/>
      <c r="T1803" s="23"/>
      <c r="U1803" s="22"/>
      <c r="V1803" s="22"/>
      <c r="W1803" s="22"/>
      <c r="X1803" s="22"/>
      <c r="Y1803" s="22"/>
      <c r="Z1803" s="22"/>
      <c r="AA1803" s="22"/>
      <c r="AB1803" s="22"/>
      <c r="AC1803" s="22"/>
      <c r="AD1803" s="22"/>
      <c r="AE1803" s="22"/>
      <c r="AF1803" s="22"/>
      <c r="AG1803" s="22"/>
      <c r="AH1803" s="22"/>
      <c r="AI1803" s="22"/>
      <c r="AJ1803" s="22"/>
      <c r="AK1803" s="22"/>
      <c r="AL1803" s="22"/>
      <c r="AM1803" s="22"/>
      <c r="AN1803" s="22"/>
      <c r="AO1803" s="22"/>
      <c r="AP1803" s="22"/>
      <c r="AQ1803" s="22"/>
      <c r="AR1803" s="22"/>
      <c r="AS1803" s="22"/>
      <c r="AT1803" s="22"/>
      <c r="AU1803" s="22"/>
      <c r="AV1803" s="22"/>
      <c r="AW1803" s="22"/>
      <c r="AX1803" s="22"/>
    </row>
    <row r="1804" spans="1:50" x14ac:dyDescent="0.35">
      <c r="A1804" s="23"/>
      <c r="B1804" s="23"/>
      <c r="C1804" s="23"/>
      <c r="D1804" s="23"/>
      <c r="E1804" s="23"/>
      <c r="F1804" s="23"/>
      <c r="G1804" s="23"/>
      <c r="H1804" s="23"/>
      <c r="I1804" s="23"/>
      <c r="J1804" s="23"/>
      <c r="K1804" s="23"/>
      <c r="L1804" s="23"/>
      <c r="M1804" s="23"/>
      <c r="N1804" s="23"/>
      <c r="O1804" s="23"/>
      <c r="P1804" s="23"/>
      <c r="Q1804" s="23"/>
      <c r="R1804" s="23"/>
      <c r="S1804" s="23"/>
      <c r="T1804" s="23"/>
      <c r="U1804" s="22"/>
      <c r="V1804" s="22"/>
      <c r="W1804" s="22"/>
      <c r="X1804" s="22"/>
      <c r="Y1804" s="22"/>
      <c r="Z1804" s="22"/>
      <c r="AA1804" s="22"/>
      <c r="AB1804" s="22"/>
      <c r="AC1804" s="22"/>
      <c r="AD1804" s="22"/>
      <c r="AE1804" s="22"/>
      <c r="AF1804" s="22"/>
      <c r="AG1804" s="22"/>
      <c r="AH1804" s="22"/>
      <c r="AI1804" s="22"/>
      <c r="AJ1804" s="22"/>
      <c r="AK1804" s="22"/>
      <c r="AL1804" s="22"/>
      <c r="AM1804" s="22"/>
      <c r="AN1804" s="22"/>
      <c r="AO1804" s="22"/>
      <c r="AP1804" s="22"/>
      <c r="AQ1804" s="22"/>
      <c r="AR1804" s="22"/>
      <c r="AS1804" s="22"/>
      <c r="AT1804" s="22"/>
      <c r="AU1804" s="22"/>
      <c r="AV1804" s="22"/>
      <c r="AW1804" s="22"/>
      <c r="AX1804" s="22"/>
    </row>
    <row r="1805" spans="1:50" x14ac:dyDescent="0.35">
      <c r="A1805" s="23"/>
      <c r="B1805" s="23"/>
      <c r="C1805" s="23"/>
      <c r="D1805" s="23"/>
      <c r="E1805" s="23"/>
      <c r="F1805" s="23"/>
      <c r="G1805" s="23"/>
      <c r="H1805" s="23"/>
      <c r="I1805" s="23"/>
      <c r="J1805" s="23"/>
      <c r="K1805" s="23"/>
      <c r="L1805" s="23"/>
      <c r="M1805" s="23"/>
      <c r="N1805" s="23"/>
      <c r="O1805" s="23"/>
      <c r="P1805" s="23"/>
      <c r="Q1805" s="23"/>
      <c r="R1805" s="23"/>
      <c r="S1805" s="23"/>
      <c r="T1805" s="23"/>
      <c r="U1805" s="22"/>
      <c r="V1805" s="22"/>
      <c r="W1805" s="22"/>
      <c r="X1805" s="22"/>
      <c r="Y1805" s="22"/>
      <c r="Z1805" s="22"/>
      <c r="AA1805" s="22"/>
      <c r="AB1805" s="22"/>
      <c r="AC1805" s="22"/>
      <c r="AD1805" s="22"/>
      <c r="AE1805" s="22"/>
      <c r="AF1805" s="22"/>
      <c r="AG1805" s="22"/>
      <c r="AH1805" s="22"/>
      <c r="AI1805" s="22"/>
      <c r="AJ1805" s="22"/>
      <c r="AK1805" s="22"/>
      <c r="AL1805" s="22"/>
      <c r="AM1805" s="22"/>
      <c r="AN1805" s="22"/>
      <c r="AO1805" s="22"/>
      <c r="AP1805" s="22"/>
      <c r="AQ1805" s="22"/>
      <c r="AR1805" s="22"/>
      <c r="AS1805" s="22"/>
      <c r="AT1805" s="22"/>
      <c r="AU1805" s="22"/>
      <c r="AV1805" s="22"/>
      <c r="AW1805" s="22"/>
      <c r="AX1805" s="22"/>
    </row>
    <row r="1806" spans="1:50" x14ac:dyDescent="0.35">
      <c r="A1806" s="23"/>
      <c r="B1806" s="23"/>
      <c r="C1806" s="23"/>
      <c r="D1806" s="23"/>
      <c r="E1806" s="23"/>
      <c r="F1806" s="23"/>
      <c r="G1806" s="23"/>
      <c r="H1806" s="23"/>
      <c r="I1806" s="23"/>
      <c r="J1806" s="23"/>
      <c r="K1806" s="23"/>
      <c r="L1806" s="23"/>
      <c r="M1806" s="23"/>
      <c r="N1806" s="23"/>
      <c r="O1806" s="23"/>
      <c r="P1806" s="23"/>
      <c r="Q1806" s="23"/>
      <c r="R1806" s="23"/>
      <c r="S1806" s="23"/>
      <c r="T1806" s="23"/>
      <c r="U1806" s="22"/>
      <c r="V1806" s="22"/>
      <c r="W1806" s="22"/>
      <c r="X1806" s="22"/>
      <c r="Y1806" s="22"/>
      <c r="Z1806" s="22"/>
      <c r="AA1806" s="22"/>
      <c r="AB1806" s="22"/>
      <c r="AC1806" s="22"/>
      <c r="AD1806" s="22"/>
      <c r="AE1806" s="22"/>
      <c r="AF1806" s="22"/>
      <c r="AG1806" s="22"/>
      <c r="AH1806" s="22"/>
      <c r="AI1806" s="22"/>
      <c r="AJ1806" s="22"/>
      <c r="AK1806" s="22"/>
      <c r="AL1806" s="22"/>
      <c r="AM1806" s="22"/>
      <c r="AN1806" s="22"/>
      <c r="AO1806" s="22"/>
      <c r="AP1806" s="22"/>
      <c r="AQ1806" s="22"/>
      <c r="AR1806" s="22"/>
      <c r="AS1806" s="22"/>
      <c r="AT1806" s="22"/>
      <c r="AU1806" s="22"/>
      <c r="AV1806" s="22"/>
      <c r="AW1806" s="22"/>
      <c r="AX1806" s="22"/>
    </row>
    <row r="1807" spans="1:50" x14ac:dyDescent="0.35">
      <c r="A1807" s="23"/>
      <c r="B1807" s="23"/>
      <c r="C1807" s="23"/>
      <c r="D1807" s="23"/>
      <c r="E1807" s="23"/>
      <c r="F1807" s="23"/>
      <c r="G1807" s="23"/>
      <c r="H1807" s="23"/>
      <c r="I1807" s="23"/>
      <c r="J1807" s="23"/>
      <c r="K1807" s="23"/>
      <c r="L1807" s="23"/>
      <c r="M1807" s="23"/>
      <c r="N1807" s="23"/>
      <c r="O1807" s="23"/>
      <c r="P1807" s="23"/>
      <c r="Q1807" s="23"/>
      <c r="R1807" s="23"/>
      <c r="S1807" s="23"/>
      <c r="T1807" s="23"/>
      <c r="U1807" s="22"/>
      <c r="V1807" s="22"/>
      <c r="W1807" s="22"/>
      <c r="X1807" s="22"/>
      <c r="Y1807" s="22"/>
      <c r="Z1807" s="22"/>
      <c r="AA1807" s="22"/>
      <c r="AB1807" s="22"/>
      <c r="AC1807" s="22"/>
      <c r="AD1807" s="22"/>
      <c r="AE1807" s="22"/>
      <c r="AF1807" s="22"/>
      <c r="AG1807" s="22"/>
      <c r="AH1807" s="22"/>
      <c r="AI1807" s="22"/>
      <c r="AJ1807" s="22"/>
      <c r="AK1807" s="22"/>
      <c r="AL1807" s="22"/>
      <c r="AM1807" s="22"/>
      <c r="AN1807" s="22"/>
      <c r="AO1807" s="22"/>
      <c r="AP1807" s="22"/>
      <c r="AQ1807" s="22"/>
      <c r="AR1807" s="22"/>
      <c r="AS1807" s="22"/>
      <c r="AT1807" s="22"/>
      <c r="AU1807" s="22"/>
      <c r="AV1807" s="22"/>
      <c r="AW1807" s="22"/>
      <c r="AX1807" s="22"/>
    </row>
    <row r="1808" spans="1:50" x14ac:dyDescent="0.35">
      <c r="A1808" s="23"/>
      <c r="B1808" s="23"/>
      <c r="C1808" s="23"/>
      <c r="D1808" s="23"/>
      <c r="E1808" s="23"/>
      <c r="F1808" s="23"/>
      <c r="G1808" s="23"/>
      <c r="H1808" s="23"/>
      <c r="I1808" s="23"/>
      <c r="J1808" s="23"/>
      <c r="K1808" s="23"/>
      <c r="L1808" s="23"/>
      <c r="M1808" s="23"/>
      <c r="N1808" s="23"/>
      <c r="O1808" s="23"/>
      <c r="P1808" s="23"/>
      <c r="Q1808" s="23"/>
      <c r="R1808" s="23"/>
      <c r="S1808" s="23"/>
      <c r="T1808" s="23"/>
      <c r="U1808" s="22"/>
      <c r="V1808" s="22"/>
      <c r="W1808" s="22"/>
      <c r="X1808" s="22"/>
      <c r="Y1808" s="22"/>
      <c r="Z1808" s="22"/>
      <c r="AA1808" s="22"/>
      <c r="AB1808" s="22"/>
      <c r="AC1808" s="22"/>
      <c r="AD1808" s="22"/>
      <c r="AE1808" s="22"/>
      <c r="AF1808" s="22"/>
      <c r="AG1808" s="22"/>
      <c r="AH1808" s="22"/>
      <c r="AI1808" s="22"/>
      <c r="AJ1808" s="22"/>
      <c r="AK1808" s="22"/>
      <c r="AL1808" s="22"/>
      <c r="AM1808" s="22"/>
      <c r="AN1808" s="22"/>
      <c r="AO1808" s="22"/>
      <c r="AP1808" s="22"/>
      <c r="AQ1808" s="22"/>
      <c r="AR1808" s="22"/>
      <c r="AS1808" s="22"/>
      <c r="AT1808" s="22"/>
      <c r="AU1808" s="22"/>
      <c r="AV1808" s="22"/>
      <c r="AW1808" s="22"/>
      <c r="AX1808" s="22"/>
    </row>
    <row r="1809" spans="1:50" x14ac:dyDescent="0.35">
      <c r="A1809" s="23"/>
      <c r="B1809" s="23"/>
      <c r="C1809" s="23"/>
      <c r="D1809" s="23"/>
      <c r="E1809" s="23"/>
      <c r="F1809" s="23"/>
      <c r="G1809" s="23"/>
      <c r="H1809" s="23"/>
      <c r="I1809" s="23"/>
      <c r="J1809" s="23"/>
      <c r="K1809" s="23"/>
      <c r="L1809" s="23"/>
      <c r="M1809" s="23"/>
      <c r="N1809" s="23"/>
      <c r="O1809" s="23"/>
      <c r="P1809" s="23"/>
      <c r="Q1809" s="23"/>
      <c r="R1809" s="23"/>
      <c r="S1809" s="23"/>
      <c r="T1809" s="23"/>
      <c r="U1809" s="22"/>
      <c r="V1809" s="22"/>
      <c r="W1809" s="22"/>
      <c r="X1809" s="22"/>
      <c r="Y1809" s="22"/>
      <c r="Z1809" s="22"/>
      <c r="AA1809" s="22"/>
      <c r="AB1809" s="22"/>
      <c r="AC1809" s="22"/>
      <c r="AD1809" s="22"/>
      <c r="AE1809" s="22"/>
      <c r="AF1809" s="22"/>
      <c r="AG1809" s="22"/>
      <c r="AH1809" s="22"/>
      <c r="AI1809" s="22"/>
      <c r="AJ1809" s="22"/>
      <c r="AK1809" s="22"/>
      <c r="AL1809" s="22"/>
      <c r="AM1809" s="22"/>
      <c r="AN1809" s="22"/>
      <c r="AO1809" s="22"/>
      <c r="AP1809" s="22"/>
      <c r="AQ1809" s="22"/>
      <c r="AR1809" s="22"/>
      <c r="AS1809" s="22"/>
      <c r="AT1809" s="22"/>
      <c r="AU1809" s="22"/>
      <c r="AV1809" s="22"/>
      <c r="AW1809" s="22"/>
      <c r="AX1809" s="22"/>
    </row>
    <row r="1810" spans="1:50" x14ac:dyDescent="0.35">
      <c r="A1810" s="23"/>
      <c r="B1810" s="23"/>
      <c r="C1810" s="23"/>
      <c r="D1810" s="23"/>
      <c r="E1810" s="23"/>
      <c r="F1810" s="23"/>
      <c r="G1810" s="23"/>
      <c r="H1810" s="23"/>
      <c r="I1810" s="23"/>
      <c r="J1810" s="23"/>
      <c r="K1810" s="23"/>
      <c r="L1810" s="23"/>
      <c r="M1810" s="23"/>
      <c r="N1810" s="23"/>
      <c r="O1810" s="23"/>
      <c r="P1810" s="23"/>
      <c r="Q1810" s="23"/>
      <c r="R1810" s="23"/>
      <c r="S1810" s="23"/>
      <c r="T1810" s="23"/>
      <c r="U1810" s="22"/>
      <c r="V1810" s="22"/>
      <c r="W1810" s="22"/>
      <c r="X1810" s="22"/>
      <c r="Y1810" s="22"/>
      <c r="Z1810" s="22"/>
      <c r="AA1810" s="22"/>
      <c r="AB1810" s="22"/>
      <c r="AC1810" s="22"/>
      <c r="AD1810" s="22"/>
      <c r="AE1810" s="22"/>
      <c r="AF1810" s="22"/>
      <c r="AG1810" s="22"/>
      <c r="AH1810" s="22"/>
      <c r="AI1810" s="22"/>
      <c r="AJ1810" s="22"/>
      <c r="AK1810" s="22"/>
      <c r="AL1810" s="22"/>
      <c r="AM1810" s="22"/>
      <c r="AN1810" s="22"/>
      <c r="AO1810" s="22"/>
      <c r="AP1810" s="22"/>
      <c r="AQ1810" s="22"/>
      <c r="AR1810" s="22"/>
      <c r="AS1810" s="22"/>
      <c r="AT1810" s="22"/>
      <c r="AU1810" s="22"/>
      <c r="AV1810" s="22"/>
      <c r="AW1810" s="22"/>
      <c r="AX1810" s="22"/>
    </row>
    <row r="1811" spans="1:50" x14ac:dyDescent="0.35">
      <c r="A1811" s="23"/>
      <c r="B1811" s="23"/>
      <c r="C1811" s="23"/>
      <c r="D1811" s="23"/>
      <c r="E1811" s="23"/>
      <c r="F1811" s="23"/>
      <c r="G1811" s="23"/>
      <c r="H1811" s="23"/>
      <c r="I1811" s="23"/>
      <c r="J1811" s="23"/>
      <c r="K1811" s="23"/>
      <c r="L1811" s="23"/>
      <c r="M1811" s="23"/>
      <c r="N1811" s="23"/>
      <c r="O1811" s="23"/>
      <c r="P1811" s="23"/>
      <c r="Q1811" s="23"/>
      <c r="R1811" s="23"/>
      <c r="S1811" s="23"/>
      <c r="T1811" s="23"/>
      <c r="U1811" s="22"/>
      <c r="V1811" s="22"/>
      <c r="W1811" s="22"/>
      <c r="X1811" s="22"/>
      <c r="Y1811" s="22"/>
      <c r="Z1811" s="22"/>
      <c r="AA1811" s="22"/>
      <c r="AB1811" s="22"/>
      <c r="AC1811" s="22"/>
      <c r="AD1811" s="22"/>
      <c r="AE1811" s="22"/>
      <c r="AF1811" s="22"/>
      <c r="AG1811" s="22"/>
      <c r="AH1811" s="22"/>
      <c r="AI1811" s="22"/>
      <c r="AJ1811" s="22"/>
      <c r="AK1811" s="22"/>
      <c r="AL1811" s="22"/>
      <c r="AM1811" s="22"/>
      <c r="AN1811" s="22"/>
      <c r="AO1811" s="22"/>
      <c r="AP1811" s="22"/>
      <c r="AQ1811" s="22"/>
      <c r="AR1811" s="22"/>
      <c r="AS1811" s="22"/>
      <c r="AT1811" s="22"/>
      <c r="AU1811" s="22"/>
      <c r="AV1811" s="22"/>
      <c r="AW1811" s="22"/>
      <c r="AX1811" s="22"/>
    </row>
    <row r="1812" spans="1:50" x14ac:dyDescent="0.35">
      <c r="A1812" s="23"/>
      <c r="B1812" s="23"/>
      <c r="C1812" s="23"/>
      <c r="D1812" s="23"/>
      <c r="E1812" s="23"/>
      <c r="F1812" s="23"/>
      <c r="G1812" s="23"/>
      <c r="H1812" s="23"/>
      <c r="I1812" s="23"/>
      <c r="J1812" s="23"/>
      <c r="K1812" s="23"/>
      <c r="L1812" s="23"/>
      <c r="M1812" s="23"/>
      <c r="N1812" s="23"/>
      <c r="O1812" s="23"/>
      <c r="P1812" s="23"/>
      <c r="Q1812" s="23"/>
      <c r="R1812" s="23"/>
      <c r="S1812" s="23"/>
      <c r="T1812" s="23"/>
      <c r="U1812" s="22"/>
      <c r="V1812" s="22"/>
      <c r="W1812" s="22"/>
      <c r="X1812" s="22"/>
      <c r="Y1812" s="22"/>
      <c r="Z1812" s="22"/>
      <c r="AA1812" s="22"/>
      <c r="AB1812" s="22"/>
      <c r="AC1812" s="22"/>
      <c r="AD1812" s="22"/>
      <c r="AE1812" s="22"/>
      <c r="AF1812" s="22"/>
      <c r="AG1812" s="22"/>
      <c r="AH1812" s="22"/>
      <c r="AI1812" s="22"/>
      <c r="AJ1812" s="22"/>
      <c r="AK1812" s="22"/>
      <c r="AL1812" s="22"/>
      <c r="AM1812" s="22"/>
      <c r="AN1812" s="22"/>
      <c r="AO1812" s="22"/>
      <c r="AP1812" s="22"/>
      <c r="AQ1812" s="22"/>
      <c r="AR1812" s="22"/>
      <c r="AS1812" s="22"/>
      <c r="AT1812" s="22"/>
      <c r="AU1812" s="22"/>
      <c r="AV1812" s="22"/>
      <c r="AW1812" s="22"/>
      <c r="AX1812" s="22"/>
    </row>
    <row r="1813" spans="1:50" x14ac:dyDescent="0.35">
      <c r="A1813" s="23"/>
      <c r="B1813" s="23"/>
      <c r="C1813" s="23"/>
      <c r="D1813" s="23"/>
      <c r="E1813" s="23"/>
      <c r="F1813" s="23"/>
      <c r="G1813" s="23"/>
      <c r="H1813" s="23"/>
      <c r="I1813" s="23"/>
      <c r="J1813" s="23"/>
      <c r="K1813" s="23"/>
      <c r="L1813" s="23"/>
      <c r="M1813" s="23"/>
      <c r="N1813" s="23"/>
      <c r="O1813" s="23"/>
      <c r="P1813" s="23"/>
      <c r="Q1813" s="23"/>
      <c r="R1813" s="23"/>
      <c r="S1813" s="23"/>
      <c r="T1813" s="23"/>
      <c r="U1813" s="22"/>
      <c r="V1813" s="22"/>
      <c r="W1813" s="22"/>
      <c r="X1813" s="22"/>
      <c r="Y1813" s="22"/>
      <c r="Z1813" s="22"/>
      <c r="AA1813" s="22"/>
      <c r="AB1813" s="22"/>
      <c r="AC1813" s="22"/>
      <c r="AD1813" s="22"/>
      <c r="AE1813" s="22"/>
      <c r="AF1813" s="22"/>
      <c r="AG1813" s="22"/>
      <c r="AH1813" s="22"/>
      <c r="AI1813" s="22"/>
      <c r="AJ1813" s="22"/>
      <c r="AK1813" s="22"/>
      <c r="AL1813" s="22"/>
      <c r="AM1813" s="22"/>
      <c r="AN1813" s="22"/>
      <c r="AO1813" s="22"/>
      <c r="AP1813" s="22"/>
      <c r="AQ1813" s="22"/>
      <c r="AR1813" s="22"/>
      <c r="AS1813" s="22"/>
      <c r="AT1813" s="22"/>
      <c r="AU1813" s="22"/>
      <c r="AV1813" s="22"/>
      <c r="AW1813" s="22"/>
      <c r="AX1813" s="22"/>
    </row>
    <row r="1814" spans="1:50" x14ac:dyDescent="0.35">
      <c r="A1814" s="23"/>
      <c r="B1814" s="23"/>
      <c r="C1814" s="23"/>
      <c r="D1814" s="23"/>
      <c r="E1814" s="23"/>
      <c r="F1814" s="23"/>
      <c r="G1814" s="23"/>
      <c r="H1814" s="23"/>
      <c r="I1814" s="23"/>
      <c r="J1814" s="23"/>
      <c r="K1814" s="23"/>
      <c r="L1814" s="23"/>
      <c r="M1814" s="23"/>
      <c r="N1814" s="23"/>
      <c r="O1814" s="23"/>
      <c r="P1814" s="23"/>
      <c r="Q1814" s="23"/>
      <c r="R1814" s="23"/>
      <c r="S1814" s="23"/>
      <c r="T1814" s="23"/>
      <c r="U1814" s="22"/>
      <c r="V1814" s="22"/>
      <c r="W1814" s="22"/>
      <c r="X1814" s="22"/>
      <c r="Y1814" s="22"/>
      <c r="Z1814" s="22"/>
      <c r="AA1814" s="22"/>
      <c r="AB1814" s="22"/>
      <c r="AC1814" s="22"/>
      <c r="AD1814" s="22"/>
      <c r="AE1814" s="22"/>
      <c r="AF1814" s="22"/>
      <c r="AG1814" s="22"/>
      <c r="AH1814" s="22"/>
      <c r="AI1814" s="22"/>
      <c r="AJ1814" s="22"/>
      <c r="AK1814" s="22"/>
      <c r="AL1814" s="22"/>
      <c r="AM1814" s="22"/>
      <c r="AN1814" s="22"/>
      <c r="AO1814" s="22"/>
      <c r="AP1814" s="22"/>
      <c r="AQ1814" s="22"/>
      <c r="AR1814" s="22"/>
      <c r="AS1814" s="22"/>
      <c r="AT1814" s="22"/>
      <c r="AU1814" s="22"/>
      <c r="AV1814" s="22"/>
      <c r="AW1814" s="22"/>
      <c r="AX1814" s="22"/>
    </row>
    <row r="1815" spans="1:50" x14ac:dyDescent="0.35">
      <c r="A1815" s="23"/>
      <c r="B1815" s="23"/>
      <c r="C1815" s="23"/>
      <c r="D1815" s="23"/>
      <c r="E1815" s="23"/>
      <c r="F1815" s="23"/>
      <c r="G1815" s="23"/>
      <c r="H1815" s="23"/>
      <c r="I1815" s="23"/>
      <c r="J1815" s="23"/>
      <c r="K1815" s="23"/>
      <c r="L1815" s="23"/>
      <c r="M1815" s="23"/>
      <c r="N1815" s="23"/>
      <c r="O1815" s="23"/>
      <c r="P1815" s="23"/>
      <c r="Q1815" s="23"/>
      <c r="R1815" s="23"/>
      <c r="S1815" s="23"/>
      <c r="T1815" s="23"/>
      <c r="U1815" s="22"/>
      <c r="V1815" s="22"/>
      <c r="W1815" s="22"/>
      <c r="X1815" s="22"/>
      <c r="Y1815" s="22"/>
      <c r="Z1815" s="22"/>
      <c r="AA1815" s="22"/>
      <c r="AB1815" s="22"/>
      <c r="AC1815" s="22"/>
      <c r="AD1815" s="22"/>
      <c r="AE1815" s="22"/>
      <c r="AF1815" s="22"/>
      <c r="AG1815" s="22"/>
      <c r="AH1815" s="22"/>
      <c r="AI1815" s="22"/>
      <c r="AJ1815" s="22"/>
      <c r="AK1815" s="22"/>
      <c r="AL1815" s="22"/>
      <c r="AM1815" s="22"/>
      <c r="AN1815" s="22"/>
      <c r="AO1815" s="22"/>
      <c r="AP1815" s="22"/>
      <c r="AQ1815" s="22"/>
      <c r="AR1815" s="22"/>
      <c r="AS1815" s="22"/>
      <c r="AT1815" s="22"/>
      <c r="AU1815" s="22"/>
      <c r="AV1815" s="22"/>
      <c r="AW1815" s="22"/>
      <c r="AX1815" s="22"/>
    </row>
    <row r="1816" spans="1:50" x14ac:dyDescent="0.35">
      <c r="A1816" s="23"/>
      <c r="B1816" s="23"/>
      <c r="C1816" s="23"/>
      <c r="D1816" s="23"/>
      <c r="E1816" s="23"/>
      <c r="F1816" s="23"/>
      <c r="G1816" s="23"/>
      <c r="H1816" s="23"/>
      <c r="I1816" s="23"/>
      <c r="J1816" s="23"/>
      <c r="K1816" s="23"/>
      <c r="L1816" s="23"/>
      <c r="M1816" s="23"/>
      <c r="N1816" s="23"/>
      <c r="O1816" s="23"/>
      <c r="P1816" s="23"/>
      <c r="Q1816" s="23"/>
      <c r="R1816" s="23"/>
      <c r="S1816" s="23"/>
      <c r="T1816" s="23"/>
      <c r="U1816" s="22"/>
      <c r="V1816" s="22"/>
      <c r="W1816" s="22"/>
      <c r="X1816" s="22"/>
      <c r="Y1816" s="22"/>
      <c r="Z1816" s="22"/>
      <c r="AA1816" s="22"/>
      <c r="AB1816" s="22"/>
      <c r="AC1816" s="22"/>
      <c r="AD1816" s="22"/>
      <c r="AE1816" s="22"/>
      <c r="AF1816" s="22"/>
      <c r="AG1816" s="22"/>
      <c r="AH1816" s="22"/>
      <c r="AI1816" s="22"/>
      <c r="AJ1816" s="22"/>
      <c r="AK1816" s="22"/>
      <c r="AL1816" s="22"/>
      <c r="AM1816" s="22"/>
      <c r="AN1816" s="22"/>
      <c r="AO1816" s="22"/>
      <c r="AP1816" s="22"/>
      <c r="AQ1816" s="22"/>
      <c r="AR1816" s="22"/>
      <c r="AS1816" s="22"/>
      <c r="AT1816" s="22"/>
      <c r="AU1816" s="22"/>
      <c r="AV1816" s="22"/>
      <c r="AW1816" s="22"/>
      <c r="AX1816" s="22"/>
    </row>
    <row r="1817" spans="1:50" x14ac:dyDescent="0.35">
      <c r="A1817" s="23"/>
      <c r="B1817" s="23"/>
      <c r="C1817" s="23"/>
      <c r="D1817" s="23"/>
      <c r="E1817" s="23"/>
      <c r="F1817" s="23"/>
      <c r="G1817" s="23"/>
      <c r="H1817" s="23"/>
      <c r="I1817" s="23"/>
      <c r="J1817" s="23"/>
      <c r="K1817" s="23"/>
      <c r="L1817" s="23"/>
      <c r="M1817" s="23"/>
      <c r="N1817" s="23"/>
      <c r="O1817" s="23"/>
      <c r="P1817" s="23"/>
      <c r="Q1817" s="23"/>
      <c r="R1817" s="23"/>
      <c r="S1817" s="23"/>
      <c r="T1817" s="23"/>
      <c r="U1817" s="22"/>
      <c r="V1817" s="22"/>
      <c r="W1817" s="22"/>
      <c r="X1817" s="22"/>
      <c r="Y1817" s="22"/>
      <c r="Z1817" s="22"/>
      <c r="AA1817" s="22"/>
      <c r="AB1817" s="22"/>
      <c r="AC1817" s="22"/>
      <c r="AD1817" s="22"/>
      <c r="AE1817" s="22"/>
      <c r="AF1817" s="22"/>
      <c r="AG1817" s="22"/>
      <c r="AH1817" s="22"/>
      <c r="AI1817" s="22"/>
      <c r="AJ1817" s="22"/>
      <c r="AK1817" s="22"/>
      <c r="AL1817" s="22"/>
      <c r="AM1817" s="22"/>
      <c r="AN1817" s="22"/>
      <c r="AO1817" s="22"/>
      <c r="AP1817" s="22"/>
      <c r="AQ1817" s="22"/>
      <c r="AR1817" s="22"/>
      <c r="AS1817" s="22"/>
      <c r="AT1817" s="22"/>
      <c r="AU1817" s="22"/>
      <c r="AV1817" s="22"/>
      <c r="AW1817" s="22"/>
      <c r="AX1817" s="22"/>
    </row>
    <row r="1818" spans="1:50" x14ac:dyDescent="0.35">
      <c r="A1818" s="23"/>
      <c r="B1818" s="23"/>
      <c r="C1818" s="23"/>
      <c r="D1818" s="23"/>
      <c r="E1818" s="23"/>
      <c r="F1818" s="23"/>
      <c r="G1818" s="23"/>
      <c r="H1818" s="23"/>
      <c r="I1818" s="23"/>
      <c r="J1818" s="23"/>
      <c r="K1818" s="23"/>
      <c r="L1818" s="23"/>
      <c r="M1818" s="23"/>
      <c r="N1818" s="23"/>
      <c r="O1818" s="23"/>
      <c r="P1818" s="23"/>
      <c r="Q1818" s="23"/>
      <c r="R1818" s="23"/>
      <c r="S1818" s="23"/>
      <c r="T1818" s="23"/>
      <c r="U1818" s="22"/>
      <c r="V1818" s="22"/>
      <c r="W1818" s="22"/>
      <c r="X1818" s="22"/>
      <c r="Y1818" s="22"/>
      <c r="Z1818" s="22"/>
      <c r="AA1818" s="22"/>
      <c r="AB1818" s="22"/>
      <c r="AC1818" s="22"/>
      <c r="AD1818" s="22"/>
      <c r="AE1818" s="22"/>
      <c r="AF1818" s="22"/>
      <c r="AG1818" s="22"/>
      <c r="AH1818" s="22"/>
      <c r="AI1818" s="22"/>
      <c r="AJ1818" s="22"/>
      <c r="AK1818" s="22"/>
      <c r="AL1818" s="22"/>
      <c r="AM1818" s="22"/>
      <c r="AN1818" s="22"/>
      <c r="AO1818" s="22"/>
      <c r="AP1818" s="22"/>
      <c r="AQ1818" s="22"/>
      <c r="AR1818" s="22"/>
      <c r="AS1818" s="22"/>
      <c r="AT1818" s="22"/>
      <c r="AU1818" s="22"/>
      <c r="AV1818" s="22"/>
      <c r="AW1818" s="22"/>
      <c r="AX1818" s="22"/>
    </row>
    <row r="1819" spans="1:50" x14ac:dyDescent="0.35">
      <c r="A1819" s="23"/>
      <c r="B1819" s="23"/>
      <c r="C1819" s="23"/>
      <c r="D1819" s="23"/>
      <c r="E1819" s="23"/>
      <c r="F1819" s="23"/>
      <c r="G1819" s="23"/>
      <c r="H1819" s="23"/>
      <c r="I1819" s="23"/>
      <c r="J1819" s="23"/>
      <c r="K1819" s="23"/>
      <c r="L1819" s="23"/>
      <c r="M1819" s="23"/>
      <c r="N1819" s="23"/>
      <c r="O1819" s="23"/>
      <c r="P1819" s="23"/>
      <c r="Q1819" s="23"/>
      <c r="R1819" s="23"/>
      <c r="S1819" s="23"/>
      <c r="T1819" s="23"/>
      <c r="U1819" s="22"/>
      <c r="V1819" s="22"/>
      <c r="W1819" s="22"/>
      <c r="X1819" s="22"/>
      <c r="Y1819" s="22"/>
      <c r="Z1819" s="22"/>
      <c r="AA1819" s="22"/>
      <c r="AB1819" s="22"/>
      <c r="AC1819" s="22"/>
      <c r="AD1819" s="22"/>
      <c r="AE1819" s="22"/>
      <c r="AF1819" s="22"/>
      <c r="AG1819" s="22"/>
      <c r="AH1819" s="22"/>
      <c r="AI1819" s="22"/>
      <c r="AJ1819" s="22"/>
      <c r="AK1819" s="22"/>
      <c r="AL1819" s="22"/>
      <c r="AM1819" s="22"/>
      <c r="AN1819" s="22"/>
      <c r="AO1819" s="22"/>
      <c r="AP1819" s="22"/>
      <c r="AQ1819" s="22"/>
      <c r="AR1819" s="22"/>
      <c r="AS1819" s="22"/>
      <c r="AT1819" s="22"/>
      <c r="AU1819" s="22"/>
      <c r="AV1819" s="22"/>
      <c r="AW1819" s="22"/>
      <c r="AX1819" s="22"/>
    </row>
    <row r="1820" spans="1:50" x14ac:dyDescent="0.35">
      <c r="A1820" s="23"/>
      <c r="B1820" s="23"/>
      <c r="C1820" s="23"/>
      <c r="D1820" s="23"/>
      <c r="E1820" s="23"/>
      <c r="F1820" s="23"/>
      <c r="G1820" s="23"/>
      <c r="H1820" s="23"/>
      <c r="I1820" s="23"/>
      <c r="J1820" s="23"/>
      <c r="K1820" s="23"/>
      <c r="L1820" s="23"/>
      <c r="M1820" s="23"/>
      <c r="N1820" s="23"/>
      <c r="O1820" s="23"/>
      <c r="P1820" s="23"/>
      <c r="Q1820" s="23"/>
      <c r="R1820" s="23"/>
      <c r="S1820" s="23"/>
      <c r="T1820" s="23"/>
      <c r="U1820" s="22"/>
      <c r="V1820" s="22"/>
      <c r="W1820" s="22"/>
      <c r="X1820" s="22"/>
      <c r="Y1820" s="22"/>
      <c r="Z1820" s="22"/>
      <c r="AA1820" s="22"/>
      <c r="AB1820" s="22"/>
      <c r="AC1820" s="22"/>
      <c r="AD1820" s="22"/>
      <c r="AE1820" s="22"/>
      <c r="AF1820" s="22"/>
      <c r="AG1820" s="22"/>
      <c r="AH1820" s="22"/>
      <c r="AI1820" s="22"/>
      <c r="AJ1820" s="22"/>
      <c r="AK1820" s="22"/>
      <c r="AL1820" s="22"/>
      <c r="AM1820" s="22"/>
      <c r="AN1820" s="22"/>
      <c r="AO1820" s="22"/>
      <c r="AP1820" s="22"/>
      <c r="AQ1820" s="22"/>
      <c r="AR1820" s="22"/>
      <c r="AS1820" s="22"/>
      <c r="AT1820" s="22"/>
      <c r="AU1820" s="22"/>
      <c r="AV1820" s="22"/>
      <c r="AW1820" s="22"/>
      <c r="AX1820" s="22"/>
    </row>
    <row r="1821" spans="1:50" x14ac:dyDescent="0.35">
      <c r="A1821" s="23"/>
      <c r="B1821" s="23"/>
      <c r="C1821" s="23"/>
      <c r="D1821" s="23"/>
      <c r="E1821" s="23"/>
      <c r="F1821" s="23"/>
      <c r="G1821" s="23"/>
      <c r="H1821" s="23"/>
      <c r="I1821" s="23"/>
      <c r="J1821" s="23"/>
      <c r="K1821" s="23"/>
      <c r="L1821" s="23"/>
      <c r="M1821" s="23"/>
      <c r="N1821" s="23"/>
      <c r="O1821" s="23"/>
      <c r="P1821" s="23"/>
      <c r="Q1821" s="23"/>
      <c r="R1821" s="23"/>
      <c r="S1821" s="23"/>
      <c r="T1821" s="23"/>
      <c r="U1821" s="22"/>
      <c r="V1821" s="22"/>
      <c r="W1821" s="22"/>
      <c r="X1821" s="22"/>
      <c r="Y1821" s="22"/>
      <c r="Z1821" s="22"/>
      <c r="AA1821" s="22"/>
      <c r="AB1821" s="22"/>
      <c r="AC1821" s="22"/>
      <c r="AD1821" s="22"/>
      <c r="AE1821" s="22"/>
      <c r="AF1821" s="22"/>
      <c r="AG1821" s="22"/>
      <c r="AH1821" s="22"/>
      <c r="AI1821" s="22"/>
      <c r="AJ1821" s="22"/>
      <c r="AK1821" s="22"/>
      <c r="AL1821" s="22"/>
      <c r="AM1821" s="22"/>
      <c r="AN1821" s="22"/>
      <c r="AO1821" s="22"/>
      <c r="AP1821" s="22"/>
      <c r="AQ1821" s="22"/>
      <c r="AR1821" s="22"/>
      <c r="AS1821" s="22"/>
      <c r="AT1821" s="22"/>
      <c r="AU1821" s="22"/>
      <c r="AV1821" s="22"/>
      <c r="AW1821" s="22"/>
      <c r="AX1821" s="22"/>
    </row>
    <row r="1822" spans="1:50" x14ac:dyDescent="0.35">
      <c r="A1822" s="23"/>
      <c r="B1822" s="23"/>
      <c r="C1822" s="23"/>
      <c r="D1822" s="23"/>
      <c r="E1822" s="23"/>
      <c r="F1822" s="23"/>
      <c r="G1822" s="23"/>
      <c r="H1822" s="23"/>
      <c r="I1822" s="23"/>
      <c r="J1822" s="23"/>
      <c r="K1822" s="23"/>
      <c r="L1822" s="23"/>
      <c r="M1822" s="23"/>
      <c r="N1822" s="23"/>
      <c r="O1822" s="23"/>
      <c r="P1822" s="23"/>
      <c r="Q1822" s="23"/>
      <c r="R1822" s="23"/>
      <c r="S1822" s="23"/>
      <c r="T1822" s="23"/>
      <c r="U1822" s="22"/>
      <c r="V1822" s="22"/>
      <c r="W1822" s="22"/>
      <c r="X1822" s="22"/>
      <c r="Y1822" s="22"/>
      <c r="Z1822" s="22"/>
      <c r="AA1822" s="22"/>
      <c r="AB1822" s="22"/>
      <c r="AC1822" s="22"/>
      <c r="AD1822" s="22"/>
      <c r="AE1822" s="22"/>
      <c r="AF1822" s="22"/>
      <c r="AG1822" s="22"/>
      <c r="AH1822" s="22"/>
      <c r="AI1822" s="22"/>
      <c r="AJ1822" s="22"/>
      <c r="AK1822" s="22"/>
      <c r="AL1822" s="22"/>
      <c r="AM1822" s="22"/>
      <c r="AN1822" s="22"/>
      <c r="AO1822" s="22"/>
      <c r="AP1822" s="22"/>
      <c r="AQ1822" s="22"/>
      <c r="AR1822" s="22"/>
      <c r="AS1822" s="22"/>
      <c r="AT1822" s="22"/>
      <c r="AU1822" s="22"/>
      <c r="AV1822" s="22"/>
      <c r="AW1822" s="22"/>
      <c r="AX1822" s="22"/>
    </row>
    <row r="1823" spans="1:50" x14ac:dyDescent="0.35">
      <c r="A1823" s="23"/>
      <c r="B1823" s="23"/>
      <c r="C1823" s="23"/>
      <c r="D1823" s="23"/>
      <c r="E1823" s="23"/>
      <c r="F1823" s="23"/>
      <c r="G1823" s="23"/>
      <c r="H1823" s="23"/>
      <c r="I1823" s="23"/>
      <c r="J1823" s="23"/>
      <c r="K1823" s="23"/>
      <c r="L1823" s="23"/>
      <c r="M1823" s="23"/>
      <c r="N1823" s="23"/>
      <c r="O1823" s="23"/>
      <c r="P1823" s="23"/>
      <c r="Q1823" s="23"/>
      <c r="R1823" s="23"/>
      <c r="S1823" s="23"/>
      <c r="T1823" s="23"/>
      <c r="U1823" s="22"/>
      <c r="V1823" s="22"/>
      <c r="W1823" s="22"/>
      <c r="X1823" s="22"/>
      <c r="Y1823" s="22"/>
      <c r="Z1823" s="22"/>
      <c r="AA1823" s="22"/>
      <c r="AB1823" s="22"/>
      <c r="AC1823" s="22"/>
      <c r="AD1823" s="22"/>
      <c r="AE1823" s="22"/>
      <c r="AF1823" s="22"/>
      <c r="AG1823" s="22"/>
      <c r="AH1823" s="22"/>
      <c r="AI1823" s="22"/>
      <c r="AJ1823" s="22"/>
      <c r="AK1823" s="22"/>
      <c r="AL1823" s="22"/>
      <c r="AM1823" s="22"/>
      <c r="AN1823" s="22"/>
      <c r="AO1823" s="22"/>
      <c r="AP1823" s="22"/>
      <c r="AQ1823" s="22"/>
      <c r="AR1823" s="22"/>
      <c r="AS1823" s="22"/>
      <c r="AT1823" s="22"/>
      <c r="AU1823" s="22"/>
      <c r="AV1823" s="22"/>
      <c r="AW1823" s="22"/>
      <c r="AX1823" s="22"/>
    </row>
    <row r="1824" spans="1:50" x14ac:dyDescent="0.35">
      <c r="A1824" s="23"/>
      <c r="B1824" s="23"/>
      <c r="C1824" s="23"/>
      <c r="D1824" s="23"/>
      <c r="E1824" s="23"/>
      <c r="F1824" s="23"/>
      <c r="G1824" s="23"/>
      <c r="H1824" s="23"/>
      <c r="I1824" s="23"/>
      <c r="J1824" s="23"/>
      <c r="K1824" s="23"/>
      <c r="L1824" s="23"/>
      <c r="M1824" s="23"/>
      <c r="N1824" s="23"/>
      <c r="O1824" s="23"/>
      <c r="P1824" s="23"/>
      <c r="Q1824" s="23"/>
      <c r="R1824" s="23"/>
      <c r="S1824" s="23"/>
      <c r="T1824" s="23"/>
      <c r="U1824" s="22"/>
      <c r="V1824" s="22"/>
      <c r="W1824" s="22"/>
      <c r="X1824" s="22"/>
      <c r="Y1824" s="22"/>
      <c r="Z1824" s="22"/>
      <c r="AA1824" s="22"/>
      <c r="AB1824" s="22"/>
      <c r="AC1824" s="22"/>
      <c r="AD1824" s="22"/>
      <c r="AE1824" s="22"/>
      <c r="AF1824" s="22"/>
      <c r="AG1824" s="22"/>
      <c r="AH1824" s="22"/>
      <c r="AI1824" s="22"/>
      <c r="AJ1824" s="22"/>
      <c r="AK1824" s="22"/>
      <c r="AL1824" s="22"/>
      <c r="AM1824" s="22"/>
      <c r="AN1824" s="22"/>
      <c r="AO1824" s="22"/>
      <c r="AP1824" s="22"/>
      <c r="AQ1824" s="22"/>
      <c r="AR1824" s="22"/>
      <c r="AS1824" s="22"/>
      <c r="AT1824" s="22"/>
      <c r="AU1824" s="22"/>
      <c r="AV1824" s="22"/>
      <c r="AW1824" s="22"/>
      <c r="AX1824" s="22"/>
    </row>
    <row r="1825" spans="1:50" x14ac:dyDescent="0.35">
      <c r="A1825" s="23"/>
      <c r="B1825" s="23"/>
      <c r="C1825" s="23"/>
      <c r="D1825" s="23"/>
      <c r="E1825" s="23"/>
      <c r="F1825" s="23"/>
      <c r="G1825" s="23"/>
      <c r="H1825" s="23"/>
      <c r="I1825" s="23"/>
      <c r="J1825" s="23"/>
      <c r="K1825" s="23"/>
      <c r="L1825" s="23"/>
      <c r="M1825" s="23"/>
      <c r="N1825" s="23"/>
      <c r="O1825" s="23"/>
      <c r="P1825" s="23"/>
      <c r="Q1825" s="23"/>
      <c r="R1825" s="23"/>
      <c r="S1825" s="23"/>
      <c r="T1825" s="23"/>
      <c r="U1825" s="22"/>
      <c r="V1825" s="22"/>
      <c r="W1825" s="22"/>
      <c r="X1825" s="22"/>
      <c r="Y1825" s="22"/>
      <c r="Z1825" s="22"/>
      <c r="AA1825" s="22"/>
      <c r="AB1825" s="22"/>
      <c r="AC1825" s="22"/>
      <c r="AD1825" s="22"/>
      <c r="AE1825" s="22"/>
      <c r="AF1825" s="22"/>
      <c r="AG1825" s="22"/>
      <c r="AH1825" s="22"/>
      <c r="AI1825" s="22"/>
      <c r="AJ1825" s="22"/>
      <c r="AK1825" s="22"/>
      <c r="AL1825" s="22"/>
      <c r="AM1825" s="22"/>
      <c r="AN1825" s="22"/>
      <c r="AO1825" s="22"/>
      <c r="AP1825" s="22"/>
      <c r="AQ1825" s="22"/>
      <c r="AR1825" s="22"/>
      <c r="AS1825" s="22"/>
      <c r="AT1825" s="22"/>
      <c r="AU1825" s="22"/>
      <c r="AV1825" s="22"/>
      <c r="AW1825" s="22"/>
      <c r="AX1825" s="22"/>
    </row>
    <row r="1826" spans="1:50" x14ac:dyDescent="0.35">
      <c r="A1826" s="23"/>
      <c r="B1826" s="23"/>
      <c r="C1826" s="23"/>
      <c r="D1826" s="23"/>
      <c r="E1826" s="23"/>
      <c r="F1826" s="23"/>
      <c r="G1826" s="23"/>
      <c r="H1826" s="23"/>
      <c r="I1826" s="23"/>
      <c r="J1826" s="23"/>
      <c r="K1826" s="23"/>
      <c r="L1826" s="23"/>
      <c r="M1826" s="23"/>
      <c r="N1826" s="23"/>
      <c r="O1826" s="23"/>
      <c r="P1826" s="23"/>
      <c r="Q1826" s="23"/>
      <c r="R1826" s="23"/>
      <c r="S1826" s="23"/>
      <c r="T1826" s="23"/>
      <c r="U1826" s="22"/>
      <c r="V1826" s="22"/>
      <c r="W1826" s="22"/>
      <c r="X1826" s="22"/>
      <c r="Y1826" s="22"/>
      <c r="Z1826" s="22"/>
      <c r="AA1826" s="22"/>
      <c r="AB1826" s="22"/>
      <c r="AC1826" s="22"/>
      <c r="AD1826" s="22"/>
      <c r="AE1826" s="22"/>
      <c r="AF1826" s="22"/>
      <c r="AG1826" s="22"/>
      <c r="AH1826" s="22"/>
      <c r="AI1826" s="22"/>
      <c r="AJ1826" s="22"/>
      <c r="AK1826" s="22"/>
      <c r="AL1826" s="22"/>
      <c r="AM1826" s="22"/>
      <c r="AN1826" s="22"/>
      <c r="AO1826" s="22"/>
      <c r="AP1826" s="22"/>
      <c r="AQ1826" s="22"/>
      <c r="AR1826" s="22"/>
      <c r="AS1826" s="22"/>
      <c r="AT1826" s="22"/>
      <c r="AU1826" s="22"/>
      <c r="AV1826" s="22"/>
      <c r="AW1826" s="22"/>
      <c r="AX1826" s="22"/>
    </row>
    <row r="1827" spans="1:50" x14ac:dyDescent="0.35">
      <c r="A1827" s="23"/>
      <c r="B1827" s="23"/>
      <c r="C1827" s="23"/>
      <c r="D1827" s="23"/>
      <c r="E1827" s="23"/>
      <c r="F1827" s="23"/>
      <c r="G1827" s="23"/>
      <c r="H1827" s="23"/>
      <c r="I1827" s="23"/>
      <c r="J1827" s="23"/>
      <c r="K1827" s="23"/>
      <c r="L1827" s="23"/>
      <c r="M1827" s="23"/>
      <c r="N1827" s="23"/>
      <c r="O1827" s="23"/>
      <c r="P1827" s="23"/>
      <c r="Q1827" s="23"/>
      <c r="R1827" s="23"/>
      <c r="S1827" s="23"/>
      <c r="T1827" s="23"/>
      <c r="U1827" s="22"/>
      <c r="V1827" s="22"/>
      <c r="W1827" s="22"/>
      <c r="X1827" s="22"/>
      <c r="Y1827" s="22"/>
      <c r="Z1827" s="22"/>
      <c r="AA1827" s="22"/>
      <c r="AB1827" s="22"/>
      <c r="AC1827" s="22"/>
      <c r="AD1827" s="22"/>
      <c r="AE1827" s="22"/>
      <c r="AF1827" s="22"/>
      <c r="AG1827" s="22"/>
      <c r="AH1827" s="22"/>
      <c r="AI1827" s="22"/>
      <c r="AJ1827" s="22"/>
      <c r="AK1827" s="22"/>
      <c r="AL1827" s="22"/>
      <c r="AM1827" s="22"/>
      <c r="AN1827" s="22"/>
      <c r="AO1827" s="22"/>
      <c r="AP1827" s="22"/>
      <c r="AQ1827" s="22"/>
      <c r="AR1827" s="22"/>
      <c r="AS1827" s="22"/>
      <c r="AT1827" s="22"/>
      <c r="AU1827" s="22"/>
      <c r="AV1827" s="22"/>
      <c r="AW1827" s="22"/>
      <c r="AX1827" s="22"/>
    </row>
    <row r="1828" spans="1:50" x14ac:dyDescent="0.35">
      <c r="A1828" s="23"/>
      <c r="B1828" s="23"/>
      <c r="C1828" s="23"/>
      <c r="D1828" s="23"/>
      <c r="E1828" s="23"/>
      <c r="F1828" s="23"/>
      <c r="G1828" s="23"/>
      <c r="H1828" s="23"/>
      <c r="I1828" s="23"/>
      <c r="J1828" s="23"/>
      <c r="K1828" s="23"/>
      <c r="L1828" s="23"/>
      <c r="M1828" s="23"/>
      <c r="N1828" s="23"/>
      <c r="O1828" s="23"/>
      <c r="P1828" s="23"/>
      <c r="Q1828" s="23"/>
      <c r="R1828" s="23"/>
      <c r="S1828" s="23"/>
      <c r="T1828" s="23"/>
      <c r="U1828" s="22"/>
      <c r="V1828" s="22"/>
      <c r="W1828" s="22"/>
      <c r="X1828" s="22"/>
      <c r="Y1828" s="22"/>
      <c r="Z1828" s="22"/>
      <c r="AA1828" s="22"/>
      <c r="AB1828" s="22"/>
      <c r="AC1828" s="22"/>
      <c r="AD1828" s="22"/>
      <c r="AE1828" s="22"/>
      <c r="AF1828" s="22"/>
      <c r="AG1828" s="22"/>
      <c r="AH1828" s="22"/>
      <c r="AI1828" s="22"/>
      <c r="AJ1828" s="22"/>
      <c r="AK1828" s="22"/>
      <c r="AL1828" s="22"/>
      <c r="AM1828" s="22"/>
      <c r="AN1828" s="22"/>
      <c r="AO1828" s="22"/>
      <c r="AP1828" s="22"/>
      <c r="AQ1828" s="22"/>
      <c r="AR1828" s="22"/>
      <c r="AS1828" s="22"/>
      <c r="AT1828" s="22"/>
      <c r="AU1828" s="22"/>
      <c r="AV1828" s="22"/>
      <c r="AW1828" s="22"/>
      <c r="AX1828" s="22"/>
    </row>
    <row r="1829" spans="1:50" x14ac:dyDescent="0.35">
      <c r="A1829" s="23"/>
      <c r="B1829" s="23"/>
      <c r="C1829" s="23"/>
      <c r="D1829" s="23"/>
      <c r="E1829" s="23"/>
      <c r="F1829" s="23"/>
      <c r="G1829" s="23"/>
      <c r="H1829" s="23"/>
      <c r="I1829" s="23"/>
      <c r="J1829" s="23"/>
      <c r="K1829" s="23"/>
      <c r="L1829" s="23"/>
      <c r="M1829" s="23"/>
      <c r="N1829" s="23"/>
      <c r="O1829" s="23"/>
      <c r="P1829" s="23"/>
      <c r="Q1829" s="23"/>
      <c r="R1829" s="23"/>
      <c r="S1829" s="23"/>
      <c r="T1829" s="23"/>
      <c r="U1829" s="22"/>
      <c r="V1829" s="22"/>
      <c r="W1829" s="22"/>
      <c r="X1829" s="22"/>
      <c r="Y1829" s="22"/>
      <c r="Z1829" s="22"/>
      <c r="AA1829" s="22"/>
      <c r="AB1829" s="22"/>
      <c r="AC1829" s="22"/>
      <c r="AD1829" s="22"/>
      <c r="AE1829" s="22"/>
      <c r="AF1829" s="22"/>
      <c r="AG1829" s="22"/>
      <c r="AH1829" s="22"/>
      <c r="AI1829" s="22"/>
      <c r="AJ1829" s="22"/>
      <c r="AK1829" s="22"/>
      <c r="AL1829" s="22"/>
      <c r="AM1829" s="22"/>
      <c r="AN1829" s="22"/>
      <c r="AO1829" s="22"/>
      <c r="AP1829" s="22"/>
      <c r="AQ1829" s="22"/>
      <c r="AR1829" s="22"/>
      <c r="AS1829" s="22"/>
      <c r="AT1829" s="22"/>
      <c r="AU1829" s="22"/>
      <c r="AV1829" s="22"/>
      <c r="AW1829" s="22"/>
      <c r="AX1829" s="22"/>
    </row>
    <row r="1830" spans="1:50" x14ac:dyDescent="0.35">
      <c r="A1830" s="23"/>
      <c r="B1830" s="23"/>
      <c r="C1830" s="23"/>
      <c r="D1830" s="23"/>
      <c r="E1830" s="23"/>
      <c r="F1830" s="23"/>
      <c r="G1830" s="23"/>
      <c r="H1830" s="23"/>
      <c r="I1830" s="23"/>
      <c r="J1830" s="23"/>
      <c r="K1830" s="23"/>
      <c r="L1830" s="23"/>
      <c r="M1830" s="23"/>
      <c r="N1830" s="23"/>
      <c r="O1830" s="23"/>
      <c r="P1830" s="23"/>
      <c r="Q1830" s="23"/>
      <c r="R1830" s="23"/>
      <c r="S1830" s="23"/>
      <c r="T1830" s="23"/>
      <c r="U1830" s="22"/>
      <c r="V1830" s="22"/>
      <c r="W1830" s="22"/>
      <c r="X1830" s="22"/>
      <c r="Y1830" s="22"/>
      <c r="Z1830" s="22"/>
      <c r="AA1830" s="22"/>
      <c r="AB1830" s="22"/>
      <c r="AC1830" s="22"/>
      <c r="AD1830" s="22"/>
      <c r="AE1830" s="22"/>
      <c r="AF1830" s="22"/>
      <c r="AG1830" s="22"/>
      <c r="AH1830" s="22"/>
      <c r="AI1830" s="22"/>
      <c r="AJ1830" s="22"/>
      <c r="AK1830" s="22"/>
      <c r="AL1830" s="22"/>
      <c r="AM1830" s="22"/>
      <c r="AN1830" s="22"/>
      <c r="AO1830" s="22"/>
      <c r="AP1830" s="22"/>
      <c r="AQ1830" s="22"/>
      <c r="AR1830" s="22"/>
      <c r="AS1830" s="22"/>
      <c r="AT1830" s="22"/>
      <c r="AU1830" s="22"/>
      <c r="AV1830" s="22"/>
      <c r="AW1830" s="22"/>
      <c r="AX1830" s="22"/>
    </row>
    <row r="1831" spans="1:50" x14ac:dyDescent="0.35">
      <c r="A1831" s="23"/>
      <c r="B1831" s="23"/>
      <c r="C1831" s="23"/>
      <c r="D1831" s="23"/>
      <c r="E1831" s="23"/>
      <c r="F1831" s="23"/>
      <c r="G1831" s="23"/>
      <c r="H1831" s="23"/>
      <c r="I1831" s="23"/>
      <c r="J1831" s="23"/>
      <c r="K1831" s="23"/>
      <c r="L1831" s="23"/>
      <c r="M1831" s="23"/>
      <c r="N1831" s="23"/>
      <c r="O1831" s="23"/>
      <c r="P1831" s="23"/>
      <c r="Q1831" s="23"/>
      <c r="R1831" s="23"/>
      <c r="S1831" s="23"/>
      <c r="T1831" s="23"/>
      <c r="U1831" s="22"/>
      <c r="V1831" s="22"/>
      <c r="W1831" s="22"/>
      <c r="X1831" s="22"/>
      <c r="Y1831" s="22"/>
      <c r="Z1831" s="22"/>
      <c r="AA1831" s="22"/>
      <c r="AB1831" s="22"/>
      <c r="AC1831" s="22"/>
      <c r="AD1831" s="22"/>
      <c r="AE1831" s="22"/>
      <c r="AF1831" s="22"/>
      <c r="AG1831" s="22"/>
      <c r="AH1831" s="22"/>
      <c r="AI1831" s="22"/>
      <c r="AJ1831" s="22"/>
      <c r="AK1831" s="22"/>
      <c r="AL1831" s="22"/>
      <c r="AM1831" s="22"/>
      <c r="AN1831" s="22"/>
      <c r="AO1831" s="22"/>
      <c r="AP1831" s="22"/>
      <c r="AQ1831" s="22"/>
      <c r="AR1831" s="22"/>
      <c r="AS1831" s="22"/>
      <c r="AT1831" s="22"/>
      <c r="AU1831" s="22"/>
      <c r="AV1831" s="22"/>
      <c r="AW1831" s="22"/>
      <c r="AX1831" s="22"/>
    </row>
    <row r="1832" spans="1:50" x14ac:dyDescent="0.35">
      <c r="A1832" s="23"/>
      <c r="B1832" s="23"/>
      <c r="C1832" s="23"/>
      <c r="D1832" s="23"/>
      <c r="E1832" s="23"/>
      <c r="F1832" s="23"/>
      <c r="G1832" s="23"/>
      <c r="H1832" s="23"/>
      <c r="I1832" s="23"/>
      <c r="J1832" s="23"/>
      <c r="K1832" s="23"/>
      <c r="L1832" s="23"/>
      <c r="M1832" s="23"/>
      <c r="N1832" s="23"/>
      <c r="O1832" s="23"/>
      <c r="P1832" s="23"/>
      <c r="Q1832" s="23"/>
      <c r="R1832" s="23"/>
      <c r="S1832" s="23"/>
      <c r="T1832" s="23"/>
      <c r="U1832" s="22"/>
      <c r="V1832" s="22"/>
      <c r="W1832" s="22"/>
      <c r="X1832" s="22"/>
      <c r="Y1832" s="22"/>
      <c r="Z1832" s="22"/>
      <c r="AA1832" s="22"/>
      <c r="AB1832" s="22"/>
      <c r="AC1832" s="22"/>
      <c r="AD1832" s="22"/>
      <c r="AE1832" s="22"/>
      <c r="AF1832" s="22"/>
      <c r="AG1832" s="22"/>
      <c r="AH1832" s="22"/>
      <c r="AI1832" s="22"/>
      <c r="AJ1832" s="22"/>
      <c r="AK1832" s="22"/>
      <c r="AL1832" s="22"/>
      <c r="AM1832" s="22"/>
      <c r="AN1832" s="22"/>
      <c r="AO1832" s="22"/>
      <c r="AP1832" s="22"/>
      <c r="AQ1832" s="22"/>
      <c r="AR1832" s="22"/>
      <c r="AS1832" s="22"/>
      <c r="AT1832" s="22"/>
      <c r="AU1832" s="22"/>
      <c r="AV1832" s="22"/>
      <c r="AW1832" s="22"/>
      <c r="AX1832" s="22"/>
    </row>
    <row r="1833" spans="1:50" x14ac:dyDescent="0.35">
      <c r="A1833" s="23"/>
      <c r="B1833" s="23"/>
      <c r="C1833" s="23"/>
      <c r="D1833" s="23"/>
      <c r="E1833" s="23"/>
      <c r="F1833" s="23"/>
      <c r="G1833" s="23"/>
      <c r="H1833" s="23"/>
      <c r="I1833" s="23"/>
      <c r="J1833" s="23"/>
      <c r="K1833" s="23"/>
      <c r="L1833" s="23"/>
      <c r="M1833" s="23"/>
      <c r="N1833" s="23"/>
      <c r="O1833" s="23"/>
      <c r="P1833" s="23"/>
      <c r="Q1833" s="23"/>
      <c r="R1833" s="23"/>
      <c r="S1833" s="23"/>
      <c r="T1833" s="23"/>
      <c r="U1833" s="22"/>
      <c r="V1833" s="22"/>
      <c r="W1833" s="22"/>
      <c r="X1833" s="22"/>
      <c r="Y1833" s="22"/>
      <c r="Z1833" s="22"/>
      <c r="AA1833" s="22"/>
      <c r="AB1833" s="22"/>
      <c r="AC1833" s="22"/>
      <c r="AD1833" s="22"/>
      <c r="AE1833" s="22"/>
      <c r="AF1833" s="22"/>
      <c r="AG1833" s="22"/>
      <c r="AH1833" s="22"/>
      <c r="AI1833" s="22"/>
      <c r="AJ1833" s="22"/>
      <c r="AK1833" s="22"/>
      <c r="AL1833" s="22"/>
      <c r="AM1833" s="22"/>
      <c r="AN1833" s="22"/>
      <c r="AO1833" s="22"/>
      <c r="AP1833" s="22"/>
      <c r="AQ1833" s="22"/>
      <c r="AR1833" s="22"/>
      <c r="AS1833" s="22"/>
      <c r="AT1833" s="22"/>
      <c r="AU1833" s="22"/>
      <c r="AV1833" s="22"/>
      <c r="AW1833" s="22"/>
      <c r="AX1833" s="22"/>
    </row>
    <row r="1834" spans="1:50" x14ac:dyDescent="0.35">
      <c r="A1834" s="23"/>
      <c r="B1834" s="23"/>
      <c r="C1834" s="23"/>
      <c r="D1834" s="23"/>
      <c r="E1834" s="23"/>
      <c r="F1834" s="23"/>
      <c r="G1834" s="23"/>
      <c r="H1834" s="23"/>
      <c r="I1834" s="23"/>
      <c r="J1834" s="23"/>
      <c r="K1834" s="23"/>
      <c r="L1834" s="23"/>
      <c r="M1834" s="23"/>
      <c r="N1834" s="23"/>
      <c r="O1834" s="23"/>
      <c r="P1834" s="23"/>
      <c r="Q1834" s="23"/>
      <c r="R1834" s="23"/>
      <c r="S1834" s="23"/>
      <c r="T1834" s="23"/>
      <c r="U1834" s="22"/>
      <c r="V1834" s="22"/>
      <c r="W1834" s="22"/>
      <c r="X1834" s="22"/>
      <c r="Y1834" s="22"/>
      <c r="Z1834" s="22"/>
      <c r="AA1834" s="22"/>
      <c r="AB1834" s="22"/>
      <c r="AC1834" s="22"/>
      <c r="AD1834" s="22"/>
      <c r="AE1834" s="22"/>
      <c r="AF1834" s="22"/>
      <c r="AG1834" s="22"/>
      <c r="AH1834" s="22"/>
      <c r="AI1834" s="22"/>
      <c r="AJ1834" s="22"/>
      <c r="AK1834" s="22"/>
      <c r="AL1834" s="22"/>
      <c r="AM1834" s="22"/>
      <c r="AN1834" s="22"/>
      <c r="AO1834" s="22"/>
      <c r="AP1834" s="22"/>
      <c r="AQ1834" s="22"/>
      <c r="AR1834" s="22"/>
      <c r="AS1834" s="22"/>
      <c r="AT1834" s="22"/>
      <c r="AU1834" s="22"/>
      <c r="AV1834" s="22"/>
      <c r="AW1834" s="22"/>
      <c r="AX1834" s="22"/>
    </row>
    <row r="1835" spans="1:50" x14ac:dyDescent="0.35">
      <c r="A1835" s="23"/>
      <c r="B1835" s="23"/>
      <c r="C1835" s="23"/>
      <c r="D1835" s="23"/>
      <c r="E1835" s="23"/>
      <c r="F1835" s="23"/>
      <c r="G1835" s="23"/>
      <c r="H1835" s="23"/>
      <c r="I1835" s="23"/>
      <c r="J1835" s="23"/>
      <c r="K1835" s="23"/>
      <c r="L1835" s="23"/>
      <c r="M1835" s="23"/>
      <c r="N1835" s="23"/>
      <c r="O1835" s="23"/>
      <c r="P1835" s="23"/>
      <c r="Q1835" s="23"/>
      <c r="R1835" s="23"/>
      <c r="S1835" s="23"/>
      <c r="T1835" s="23"/>
      <c r="U1835" s="22"/>
      <c r="V1835" s="22"/>
      <c r="W1835" s="22"/>
      <c r="X1835" s="22"/>
      <c r="Y1835" s="22"/>
      <c r="Z1835" s="22"/>
      <c r="AA1835" s="22"/>
      <c r="AB1835" s="22"/>
      <c r="AC1835" s="22"/>
      <c r="AD1835" s="22"/>
      <c r="AE1835" s="22"/>
      <c r="AF1835" s="22"/>
      <c r="AG1835" s="22"/>
      <c r="AH1835" s="22"/>
      <c r="AI1835" s="22"/>
      <c r="AJ1835" s="22"/>
      <c r="AK1835" s="22"/>
      <c r="AL1835" s="22"/>
      <c r="AM1835" s="22"/>
      <c r="AN1835" s="22"/>
      <c r="AO1835" s="22"/>
      <c r="AP1835" s="22"/>
      <c r="AQ1835" s="22"/>
      <c r="AR1835" s="22"/>
      <c r="AS1835" s="22"/>
      <c r="AT1835" s="22"/>
      <c r="AU1835" s="22"/>
      <c r="AV1835" s="22"/>
      <c r="AW1835" s="22"/>
      <c r="AX1835" s="22"/>
    </row>
    <row r="1836" spans="1:50" x14ac:dyDescent="0.35">
      <c r="A1836" s="23"/>
      <c r="B1836" s="23"/>
      <c r="C1836" s="23"/>
      <c r="D1836" s="23"/>
      <c r="E1836" s="23"/>
      <c r="F1836" s="23"/>
      <c r="G1836" s="23"/>
      <c r="H1836" s="23"/>
      <c r="I1836" s="23"/>
      <c r="J1836" s="23"/>
      <c r="K1836" s="23"/>
      <c r="L1836" s="23"/>
      <c r="M1836" s="23"/>
      <c r="N1836" s="23"/>
      <c r="O1836" s="23"/>
      <c r="P1836" s="23"/>
      <c r="Q1836" s="23"/>
      <c r="R1836" s="23"/>
      <c r="S1836" s="23"/>
      <c r="T1836" s="23"/>
      <c r="U1836" s="22"/>
      <c r="V1836" s="22"/>
      <c r="W1836" s="22"/>
      <c r="X1836" s="22"/>
      <c r="Y1836" s="22"/>
      <c r="Z1836" s="22"/>
      <c r="AA1836" s="22"/>
      <c r="AB1836" s="22"/>
      <c r="AC1836" s="22"/>
      <c r="AD1836" s="22"/>
      <c r="AE1836" s="22"/>
      <c r="AF1836" s="22"/>
      <c r="AG1836" s="22"/>
      <c r="AH1836" s="22"/>
      <c r="AI1836" s="22"/>
      <c r="AJ1836" s="22"/>
      <c r="AK1836" s="22"/>
      <c r="AL1836" s="22"/>
      <c r="AM1836" s="22"/>
      <c r="AN1836" s="22"/>
      <c r="AO1836" s="22"/>
      <c r="AP1836" s="22"/>
      <c r="AQ1836" s="22"/>
      <c r="AR1836" s="22"/>
      <c r="AS1836" s="22"/>
      <c r="AT1836" s="22"/>
      <c r="AU1836" s="22"/>
      <c r="AV1836" s="22"/>
      <c r="AW1836" s="22"/>
      <c r="AX1836" s="22"/>
    </row>
    <row r="1837" spans="1:50" x14ac:dyDescent="0.35">
      <c r="A1837" s="23"/>
      <c r="B1837" s="23"/>
      <c r="C1837" s="23"/>
      <c r="D1837" s="23"/>
      <c r="E1837" s="23"/>
      <c r="F1837" s="23"/>
      <c r="G1837" s="23"/>
      <c r="H1837" s="23"/>
      <c r="I1837" s="23"/>
      <c r="J1837" s="23"/>
      <c r="K1837" s="23"/>
      <c r="L1837" s="23"/>
      <c r="M1837" s="23"/>
      <c r="N1837" s="23"/>
      <c r="O1837" s="23"/>
      <c r="P1837" s="23"/>
      <c r="Q1837" s="23"/>
      <c r="R1837" s="23"/>
      <c r="S1837" s="23"/>
      <c r="T1837" s="23"/>
      <c r="U1837" s="22"/>
      <c r="V1837" s="22"/>
      <c r="W1837" s="22"/>
      <c r="X1837" s="22"/>
      <c r="Y1837" s="22"/>
      <c r="Z1837" s="22"/>
      <c r="AA1837" s="22"/>
      <c r="AB1837" s="22"/>
      <c r="AC1837" s="22"/>
      <c r="AD1837" s="22"/>
      <c r="AE1837" s="22"/>
      <c r="AF1837" s="22"/>
      <c r="AG1837" s="22"/>
      <c r="AH1837" s="22"/>
      <c r="AI1837" s="22"/>
      <c r="AJ1837" s="22"/>
      <c r="AK1837" s="22"/>
      <c r="AL1837" s="22"/>
      <c r="AM1837" s="22"/>
      <c r="AN1837" s="22"/>
      <c r="AO1837" s="22"/>
      <c r="AP1837" s="22"/>
      <c r="AQ1837" s="22"/>
      <c r="AR1837" s="22"/>
      <c r="AS1837" s="22"/>
      <c r="AT1837" s="22"/>
      <c r="AU1837" s="22"/>
      <c r="AV1837" s="22"/>
      <c r="AW1837" s="22"/>
      <c r="AX1837" s="22"/>
    </row>
    <row r="1838" spans="1:50" x14ac:dyDescent="0.35">
      <c r="A1838" s="23"/>
      <c r="B1838" s="23"/>
      <c r="C1838" s="23"/>
      <c r="D1838" s="23"/>
      <c r="E1838" s="23"/>
      <c r="F1838" s="23"/>
      <c r="G1838" s="23"/>
      <c r="H1838" s="23"/>
      <c r="I1838" s="23"/>
      <c r="J1838" s="23"/>
      <c r="K1838" s="23"/>
      <c r="L1838" s="23"/>
      <c r="M1838" s="23"/>
      <c r="N1838" s="23"/>
      <c r="O1838" s="23"/>
      <c r="P1838" s="23"/>
      <c r="Q1838" s="23"/>
      <c r="R1838" s="23"/>
      <c r="S1838" s="23"/>
      <c r="T1838" s="23"/>
      <c r="U1838" s="22"/>
      <c r="V1838" s="22"/>
      <c r="W1838" s="22"/>
      <c r="X1838" s="22"/>
      <c r="Y1838" s="22"/>
      <c r="Z1838" s="22"/>
      <c r="AA1838" s="22"/>
      <c r="AB1838" s="22"/>
      <c r="AC1838" s="22"/>
      <c r="AD1838" s="22"/>
      <c r="AE1838" s="22"/>
      <c r="AF1838" s="22"/>
      <c r="AG1838" s="22"/>
      <c r="AH1838" s="22"/>
      <c r="AI1838" s="22"/>
      <c r="AJ1838" s="22"/>
      <c r="AK1838" s="22"/>
      <c r="AL1838" s="22"/>
      <c r="AM1838" s="22"/>
      <c r="AN1838" s="22"/>
      <c r="AO1838" s="22"/>
      <c r="AP1838" s="22"/>
      <c r="AQ1838" s="22"/>
      <c r="AR1838" s="22"/>
      <c r="AS1838" s="22"/>
      <c r="AT1838" s="22"/>
      <c r="AU1838" s="22"/>
      <c r="AV1838" s="22"/>
      <c r="AW1838" s="22"/>
      <c r="AX1838" s="22"/>
    </row>
    <row r="1839" spans="1:50" x14ac:dyDescent="0.35">
      <c r="A1839" s="23"/>
      <c r="B1839" s="23"/>
      <c r="C1839" s="23"/>
      <c r="D1839" s="23"/>
      <c r="E1839" s="23"/>
      <c r="F1839" s="23"/>
      <c r="G1839" s="23"/>
      <c r="H1839" s="23"/>
      <c r="I1839" s="23"/>
      <c r="J1839" s="23"/>
      <c r="K1839" s="23"/>
      <c r="L1839" s="23"/>
      <c r="M1839" s="23"/>
      <c r="N1839" s="23"/>
      <c r="O1839" s="23"/>
      <c r="P1839" s="23"/>
      <c r="Q1839" s="23"/>
      <c r="R1839" s="23"/>
      <c r="S1839" s="23"/>
      <c r="T1839" s="23"/>
      <c r="U1839" s="22"/>
      <c r="V1839" s="22"/>
      <c r="W1839" s="22"/>
      <c r="X1839" s="22"/>
      <c r="Y1839" s="22"/>
      <c r="Z1839" s="22"/>
      <c r="AA1839" s="22"/>
      <c r="AB1839" s="22"/>
      <c r="AC1839" s="22"/>
      <c r="AD1839" s="22"/>
      <c r="AE1839" s="22"/>
      <c r="AF1839" s="22"/>
      <c r="AG1839" s="22"/>
      <c r="AH1839" s="22"/>
      <c r="AI1839" s="22"/>
      <c r="AJ1839" s="22"/>
      <c r="AK1839" s="22"/>
      <c r="AL1839" s="22"/>
      <c r="AM1839" s="22"/>
      <c r="AN1839" s="22"/>
      <c r="AO1839" s="22"/>
      <c r="AP1839" s="22"/>
      <c r="AQ1839" s="22"/>
      <c r="AR1839" s="22"/>
      <c r="AS1839" s="22"/>
      <c r="AT1839" s="22"/>
      <c r="AU1839" s="22"/>
      <c r="AV1839" s="22"/>
      <c r="AW1839" s="22"/>
      <c r="AX1839" s="22"/>
    </row>
    <row r="1840" spans="1:50" x14ac:dyDescent="0.35">
      <c r="A1840" s="23"/>
      <c r="B1840" s="23"/>
      <c r="C1840" s="23"/>
      <c r="D1840" s="23"/>
      <c r="E1840" s="23"/>
      <c r="F1840" s="23"/>
      <c r="G1840" s="23"/>
      <c r="H1840" s="23"/>
      <c r="I1840" s="23"/>
      <c r="J1840" s="23"/>
      <c r="K1840" s="23"/>
      <c r="L1840" s="23"/>
      <c r="M1840" s="23"/>
      <c r="N1840" s="23"/>
      <c r="O1840" s="23"/>
      <c r="P1840" s="23"/>
      <c r="Q1840" s="23"/>
      <c r="R1840" s="23"/>
      <c r="S1840" s="23"/>
      <c r="T1840" s="23"/>
      <c r="U1840" s="22"/>
      <c r="V1840" s="22"/>
      <c r="W1840" s="22"/>
      <c r="X1840" s="22"/>
      <c r="Y1840" s="22"/>
      <c r="Z1840" s="22"/>
      <c r="AA1840" s="22"/>
      <c r="AB1840" s="22"/>
      <c r="AC1840" s="22"/>
      <c r="AD1840" s="22"/>
      <c r="AE1840" s="22"/>
      <c r="AF1840" s="22"/>
      <c r="AG1840" s="22"/>
      <c r="AH1840" s="22"/>
      <c r="AI1840" s="22"/>
      <c r="AJ1840" s="22"/>
      <c r="AK1840" s="22"/>
      <c r="AL1840" s="22"/>
      <c r="AM1840" s="22"/>
      <c r="AN1840" s="22"/>
      <c r="AO1840" s="22"/>
      <c r="AP1840" s="22"/>
      <c r="AQ1840" s="22"/>
      <c r="AR1840" s="22"/>
      <c r="AS1840" s="22"/>
      <c r="AT1840" s="22"/>
      <c r="AU1840" s="22"/>
      <c r="AV1840" s="22"/>
      <c r="AW1840" s="22"/>
      <c r="AX1840" s="22"/>
    </row>
    <row r="1841" spans="1:50" x14ac:dyDescent="0.35">
      <c r="A1841" s="23"/>
      <c r="B1841" s="23"/>
      <c r="C1841" s="23"/>
      <c r="D1841" s="23"/>
      <c r="E1841" s="23"/>
      <c r="F1841" s="23"/>
      <c r="G1841" s="23"/>
      <c r="H1841" s="23"/>
      <c r="I1841" s="23"/>
      <c r="J1841" s="23"/>
      <c r="K1841" s="23"/>
      <c r="L1841" s="23"/>
      <c r="M1841" s="23"/>
      <c r="N1841" s="23"/>
      <c r="O1841" s="23"/>
      <c r="P1841" s="23"/>
      <c r="Q1841" s="23"/>
      <c r="R1841" s="23"/>
      <c r="S1841" s="23"/>
      <c r="T1841" s="23"/>
      <c r="U1841" s="22"/>
      <c r="V1841" s="22"/>
      <c r="W1841" s="22"/>
      <c r="X1841" s="22"/>
      <c r="Y1841" s="22"/>
      <c r="Z1841" s="22"/>
      <c r="AA1841" s="22"/>
      <c r="AB1841" s="22"/>
      <c r="AC1841" s="22"/>
      <c r="AD1841" s="22"/>
      <c r="AE1841" s="22"/>
      <c r="AF1841" s="22"/>
      <c r="AG1841" s="22"/>
      <c r="AH1841" s="22"/>
      <c r="AI1841" s="22"/>
      <c r="AJ1841" s="22"/>
      <c r="AK1841" s="22"/>
      <c r="AL1841" s="22"/>
      <c r="AM1841" s="22"/>
      <c r="AN1841" s="22"/>
      <c r="AO1841" s="22"/>
      <c r="AP1841" s="22"/>
      <c r="AQ1841" s="22"/>
      <c r="AR1841" s="22"/>
      <c r="AS1841" s="22"/>
      <c r="AT1841" s="22"/>
      <c r="AU1841" s="22"/>
      <c r="AV1841" s="22"/>
      <c r="AW1841" s="22"/>
      <c r="AX1841" s="22"/>
    </row>
    <row r="1842" spans="1:50" x14ac:dyDescent="0.35">
      <c r="A1842" s="23"/>
      <c r="B1842" s="23"/>
      <c r="C1842" s="23"/>
      <c r="D1842" s="23"/>
      <c r="E1842" s="23"/>
      <c r="F1842" s="23"/>
      <c r="G1842" s="23"/>
      <c r="H1842" s="23"/>
      <c r="I1842" s="23"/>
      <c r="J1842" s="23"/>
      <c r="K1842" s="23"/>
      <c r="L1842" s="23"/>
      <c r="M1842" s="23"/>
      <c r="N1842" s="23"/>
      <c r="O1842" s="23"/>
      <c r="P1842" s="23"/>
      <c r="Q1842" s="23"/>
      <c r="R1842" s="23"/>
      <c r="S1842" s="23"/>
      <c r="T1842" s="23"/>
      <c r="U1842" s="22"/>
      <c r="V1842" s="22"/>
      <c r="W1842" s="22"/>
      <c r="X1842" s="22"/>
      <c r="Y1842" s="22"/>
      <c r="Z1842" s="22"/>
      <c r="AA1842" s="22"/>
      <c r="AB1842" s="22"/>
      <c r="AC1842" s="22"/>
      <c r="AD1842" s="22"/>
      <c r="AE1842" s="22"/>
      <c r="AF1842" s="22"/>
      <c r="AG1842" s="22"/>
      <c r="AH1842" s="22"/>
      <c r="AI1842" s="22"/>
      <c r="AJ1842" s="22"/>
      <c r="AK1842" s="22"/>
      <c r="AL1842" s="22"/>
      <c r="AM1842" s="22"/>
      <c r="AN1842" s="22"/>
      <c r="AO1842" s="22"/>
      <c r="AP1842" s="22"/>
      <c r="AQ1842" s="22"/>
      <c r="AR1842" s="22"/>
      <c r="AS1842" s="22"/>
      <c r="AT1842" s="22"/>
      <c r="AU1842" s="22"/>
      <c r="AV1842" s="22"/>
      <c r="AW1842" s="22"/>
      <c r="AX1842" s="22"/>
    </row>
    <row r="1843" spans="1:50" x14ac:dyDescent="0.35">
      <c r="A1843" s="23"/>
      <c r="B1843" s="23"/>
      <c r="C1843" s="23"/>
      <c r="D1843" s="23"/>
      <c r="E1843" s="23"/>
      <c r="F1843" s="23"/>
      <c r="G1843" s="23"/>
      <c r="H1843" s="23"/>
      <c r="I1843" s="23"/>
      <c r="J1843" s="23"/>
      <c r="K1843" s="23"/>
      <c r="L1843" s="23"/>
      <c r="M1843" s="23"/>
      <c r="N1843" s="23"/>
      <c r="O1843" s="23"/>
      <c r="P1843" s="23"/>
      <c r="Q1843" s="23"/>
      <c r="R1843" s="23"/>
      <c r="S1843" s="23"/>
      <c r="T1843" s="23"/>
      <c r="U1843" s="22"/>
      <c r="V1843" s="22"/>
      <c r="W1843" s="22"/>
      <c r="X1843" s="22"/>
      <c r="Y1843" s="22"/>
      <c r="Z1843" s="22"/>
      <c r="AA1843" s="22"/>
      <c r="AB1843" s="22"/>
      <c r="AC1843" s="22"/>
      <c r="AD1843" s="22"/>
      <c r="AE1843" s="22"/>
      <c r="AF1843" s="22"/>
      <c r="AG1843" s="22"/>
      <c r="AH1843" s="22"/>
      <c r="AI1843" s="22"/>
      <c r="AJ1843" s="22"/>
      <c r="AK1843" s="22"/>
      <c r="AL1843" s="22"/>
      <c r="AM1843" s="22"/>
      <c r="AN1843" s="22"/>
      <c r="AO1843" s="22"/>
      <c r="AP1843" s="22"/>
      <c r="AQ1843" s="22"/>
      <c r="AR1843" s="22"/>
      <c r="AS1843" s="22"/>
      <c r="AT1843" s="22"/>
      <c r="AU1843" s="22"/>
      <c r="AV1843" s="22"/>
      <c r="AW1843" s="22"/>
      <c r="AX1843" s="22"/>
    </row>
    <row r="1844" spans="1:50" x14ac:dyDescent="0.35">
      <c r="A1844" s="23"/>
      <c r="B1844" s="23"/>
      <c r="C1844" s="23"/>
      <c r="D1844" s="23"/>
      <c r="E1844" s="23"/>
      <c r="F1844" s="23"/>
      <c r="G1844" s="23"/>
      <c r="H1844" s="23"/>
      <c r="I1844" s="23"/>
      <c r="J1844" s="23"/>
      <c r="K1844" s="23"/>
      <c r="L1844" s="23"/>
      <c r="M1844" s="23"/>
      <c r="N1844" s="23"/>
      <c r="O1844" s="23"/>
      <c r="P1844" s="23"/>
      <c r="Q1844" s="23"/>
      <c r="R1844" s="23"/>
      <c r="S1844" s="23"/>
      <c r="T1844" s="23"/>
      <c r="U1844" s="22"/>
      <c r="V1844" s="22"/>
      <c r="W1844" s="22"/>
      <c r="X1844" s="22"/>
      <c r="Y1844" s="22"/>
      <c r="Z1844" s="22"/>
      <c r="AA1844" s="22"/>
      <c r="AB1844" s="22"/>
      <c r="AC1844" s="22"/>
      <c r="AD1844" s="22"/>
      <c r="AE1844" s="22"/>
      <c r="AF1844" s="22"/>
      <c r="AG1844" s="22"/>
      <c r="AH1844" s="22"/>
      <c r="AI1844" s="22"/>
      <c r="AJ1844" s="22"/>
      <c r="AK1844" s="22"/>
      <c r="AL1844" s="22"/>
      <c r="AM1844" s="22"/>
      <c r="AN1844" s="22"/>
      <c r="AO1844" s="22"/>
      <c r="AP1844" s="22"/>
      <c r="AQ1844" s="22"/>
      <c r="AR1844" s="22"/>
      <c r="AS1844" s="22"/>
      <c r="AT1844" s="22"/>
      <c r="AU1844" s="22"/>
      <c r="AV1844" s="22"/>
      <c r="AW1844" s="22"/>
      <c r="AX1844" s="22"/>
    </row>
    <row r="1845" spans="1:50" x14ac:dyDescent="0.35">
      <c r="A1845" s="23"/>
      <c r="B1845" s="23"/>
      <c r="C1845" s="23"/>
      <c r="D1845" s="23"/>
      <c r="E1845" s="23"/>
      <c r="F1845" s="23"/>
      <c r="G1845" s="23"/>
      <c r="H1845" s="23"/>
      <c r="I1845" s="23"/>
      <c r="J1845" s="23"/>
      <c r="K1845" s="23"/>
      <c r="L1845" s="23"/>
      <c r="M1845" s="23"/>
      <c r="N1845" s="23"/>
      <c r="O1845" s="23"/>
      <c r="P1845" s="23"/>
      <c r="Q1845" s="23"/>
      <c r="R1845" s="23"/>
      <c r="S1845" s="23"/>
      <c r="T1845" s="23"/>
      <c r="U1845" s="22"/>
      <c r="V1845" s="22"/>
      <c r="W1845" s="22"/>
      <c r="X1845" s="22"/>
      <c r="Y1845" s="22"/>
      <c r="Z1845" s="22"/>
      <c r="AA1845" s="22"/>
      <c r="AB1845" s="22"/>
      <c r="AC1845" s="22"/>
      <c r="AD1845" s="22"/>
      <c r="AE1845" s="22"/>
      <c r="AF1845" s="22"/>
      <c r="AG1845" s="22"/>
      <c r="AH1845" s="22"/>
      <c r="AI1845" s="22"/>
      <c r="AJ1845" s="22"/>
      <c r="AK1845" s="22"/>
      <c r="AL1845" s="22"/>
      <c r="AM1845" s="22"/>
      <c r="AN1845" s="22"/>
      <c r="AO1845" s="22"/>
      <c r="AP1845" s="22"/>
      <c r="AQ1845" s="22"/>
      <c r="AR1845" s="22"/>
      <c r="AS1845" s="22"/>
      <c r="AT1845" s="22"/>
      <c r="AU1845" s="22"/>
      <c r="AV1845" s="22"/>
      <c r="AW1845" s="22"/>
      <c r="AX1845" s="22"/>
    </row>
    <row r="1846" spans="1:50" x14ac:dyDescent="0.35">
      <c r="A1846" s="23"/>
      <c r="B1846" s="23"/>
      <c r="C1846" s="23"/>
      <c r="D1846" s="23"/>
      <c r="E1846" s="23"/>
      <c r="F1846" s="23"/>
      <c r="G1846" s="23"/>
      <c r="H1846" s="23"/>
      <c r="I1846" s="23"/>
      <c r="J1846" s="23"/>
      <c r="K1846" s="23"/>
      <c r="L1846" s="23"/>
      <c r="M1846" s="23"/>
      <c r="N1846" s="23"/>
      <c r="O1846" s="23"/>
      <c r="P1846" s="23"/>
      <c r="Q1846" s="23"/>
      <c r="R1846" s="23"/>
      <c r="S1846" s="23"/>
      <c r="T1846" s="23"/>
      <c r="U1846" s="22"/>
      <c r="V1846" s="22"/>
      <c r="W1846" s="22"/>
      <c r="X1846" s="22"/>
      <c r="Y1846" s="22"/>
      <c r="Z1846" s="22"/>
      <c r="AA1846" s="22"/>
      <c r="AB1846" s="22"/>
      <c r="AC1846" s="22"/>
      <c r="AD1846" s="22"/>
      <c r="AE1846" s="22"/>
      <c r="AF1846" s="22"/>
      <c r="AG1846" s="22"/>
      <c r="AH1846" s="22"/>
      <c r="AI1846" s="22"/>
      <c r="AJ1846" s="22"/>
      <c r="AK1846" s="22"/>
      <c r="AL1846" s="22"/>
      <c r="AM1846" s="22"/>
      <c r="AN1846" s="22"/>
      <c r="AO1846" s="22"/>
      <c r="AP1846" s="22"/>
      <c r="AQ1846" s="22"/>
      <c r="AR1846" s="22"/>
      <c r="AS1846" s="22"/>
      <c r="AT1846" s="22"/>
      <c r="AU1846" s="22"/>
      <c r="AV1846" s="22"/>
      <c r="AW1846" s="22"/>
      <c r="AX1846" s="22"/>
    </row>
    <row r="1847" spans="1:50" x14ac:dyDescent="0.35">
      <c r="A1847" s="23"/>
      <c r="B1847" s="23"/>
      <c r="C1847" s="23"/>
      <c r="D1847" s="23"/>
      <c r="E1847" s="23"/>
      <c r="F1847" s="23"/>
      <c r="G1847" s="23"/>
      <c r="H1847" s="23"/>
      <c r="I1847" s="23"/>
      <c r="J1847" s="23"/>
      <c r="K1847" s="23"/>
      <c r="L1847" s="23"/>
      <c r="M1847" s="23"/>
      <c r="N1847" s="23"/>
      <c r="O1847" s="23"/>
      <c r="P1847" s="23"/>
      <c r="Q1847" s="23"/>
      <c r="R1847" s="23"/>
      <c r="S1847" s="23"/>
      <c r="T1847" s="23"/>
      <c r="U1847" s="22"/>
      <c r="V1847" s="22"/>
      <c r="W1847" s="22"/>
      <c r="X1847" s="22"/>
      <c r="Y1847" s="22"/>
      <c r="Z1847" s="22"/>
      <c r="AA1847" s="22"/>
      <c r="AB1847" s="22"/>
      <c r="AC1847" s="22"/>
      <c r="AD1847" s="22"/>
      <c r="AE1847" s="22"/>
      <c r="AF1847" s="22"/>
      <c r="AG1847" s="22"/>
      <c r="AH1847" s="22"/>
      <c r="AI1847" s="22"/>
      <c r="AJ1847" s="22"/>
      <c r="AK1847" s="22"/>
      <c r="AL1847" s="22"/>
      <c r="AM1847" s="22"/>
      <c r="AN1847" s="22"/>
      <c r="AO1847" s="22"/>
      <c r="AP1847" s="22"/>
      <c r="AQ1847" s="22"/>
      <c r="AR1847" s="22"/>
      <c r="AS1847" s="22"/>
      <c r="AT1847" s="22"/>
      <c r="AU1847" s="22"/>
      <c r="AV1847" s="22"/>
      <c r="AW1847" s="22"/>
      <c r="AX1847" s="22"/>
    </row>
    <row r="1848" spans="1:50" x14ac:dyDescent="0.35">
      <c r="A1848" s="23"/>
      <c r="B1848" s="23"/>
      <c r="C1848" s="23"/>
      <c r="D1848" s="23"/>
      <c r="E1848" s="23"/>
      <c r="F1848" s="23"/>
      <c r="G1848" s="23"/>
      <c r="H1848" s="23"/>
      <c r="I1848" s="23"/>
      <c r="J1848" s="23"/>
      <c r="K1848" s="23"/>
      <c r="L1848" s="23"/>
      <c r="M1848" s="23"/>
      <c r="N1848" s="23"/>
      <c r="O1848" s="23"/>
      <c r="P1848" s="23"/>
      <c r="Q1848" s="23"/>
      <c r="R1848" s="23"/>
      <c r="S1848" s="23"/>
      <c r="T1848" s="23"/>
      <c r="U1848" s="22"/>
      <c r="V1848" s="22"/>
      <c r="W1848" s="22"/>
      <c r="X1848" s="22"/>
      <c r="Y1848" s="22"/>
      <c r="Z1848" s="22"/>
      <c r="AA1848" s="22"/>
      <c r="AB1848" s="22"/>
      <c r="AC1848" s="22"/>
      <c r="AD1848" s="22"/>
      <c r="AE1848" s="22"/>
      <c r="AF1848" s="22"/>
      <c r="AG1848" s="22"/>
      <c r="AH1848" s="22"/>
      <c r="AI1848" s="22"/>
      <c r="AJ1848" s="22"/>
      <c r="AK1848" s="22"/>
      <c r="AL1848" s="22"/>
      <c r="AM1848" s="22"/>
      <c r="AN1848" s="22"/>
      <c r="AO1848" s="22"/>
      <c r="AP1848" s="22"/>
      <c r="AQ1848" s="22"/>
      <c r="AR1848" s="22"/>
      <c r="AS1848" s="22"/>
      <c r="AT1848" s="22"/>
      <c r="AU1848" s="22"/>
      <c r="AV1848" s="22"/>
      <c r="AW1848" s="22"/>
      <c r="AX1848" s="22"/>
    </row>
    <row r="1849" spans="1:50" x14ac:dyDescent="0.35">
      <c r="A1849" s="23"/>
      <c r="B1849" s="23"/>
      <c r="C1849" s="23"/>
      <c r="D1849" s="23"/>
      <c r="E1849" s="23"/>
      <c r="F1849" s="23"/>
      <c r="G1849" s="23"/>
      <c r="H1849" s="23"/>
      <c r="I1849" s="23"/>
      <c r="J1849" s="23"/>
      <c r="K1849" s="23"/>
      <c r="L1849" s="23"/>
      <c r="M1849" s="23"/>
      <c r="N1849" s="23"/>
      <c r="O1849" s="23"/>
      <c r="P1849" s="23"/>
      <c r="Q1849" s="23"/>
      <c r="R1849" s="23"/>
      <c r="S1849" s="23"/>
      <c r="T1849" s="23"/>
      <c r="U1849" s="22"/>
      <c r="V1849" s="22"/>
      <c r="W1849" s="22"/>
      <c r="X1849" s="22"/>
      <c r="Y1849" s="22"/>
      <c r="Z1849" s="22"/>
      <c r="AA1849" s="22"/>
      <c r="AB1849" s="22"/>
      <c r="AC1849" s="22"/>
      <c r="AD1849" s="22"/>
      <c r="AE1849" s="22"/>
      <c r="AF1849" s="22"/>
      <c r="AG1849" s="22"/>
      <c r="AH1849" s="22"/>
      <c r="AI1849" s="22"/>
      <c r="AJ1849" s="22"/>
      <c r="AK1849" s="22"/>
      <c r="AL1849" s="22"/>
      <c r="AM1849" s="22"/>
      <c r="AN1849" s="22"/>
      <c r="AO1849" s="22"/>
      <c r="AP1849" s="22"/>
      <c r="AQ1849" s="22"/>
      <c r="AR1849" s="22"/>
      <c r="AS1849" s="22"/>
      <c r="AT1849" s="22"/>
      <c r="AU1849" s="22"/>
      <c r="AV1849" s="22"/>
      <c r="AW1849" s="22"/>
      <c r="AX1849" s="22"/>
    </row>
    <row r="1850" spans="1:50" x14ac:dyDescent="0.35">
      <c r="A1850" s="23"/>
      <c r="B1850" s="23"/>
      <c r="C1850" s="23"/>
      <c r="D1850" s="23"/>
      <c r="E1850" s="23"/>
      <c r="F1850" s="23"/>
      <c r="G1850" s="23"/>
      <c r="H1850" s="23"/>
      <c r="I1850" s="23"/>
      <c r="J1850" s="23"/>
      <c r="K1850" s="23"/>
      <c r="L1850" s="23"/>
      <c r="M1850" s="23"/>
      <c r="N1850" s="23"/>
      <c r="O1850" s="23"/>
      <c r="P1850" s="23"/>
      <c r="Q1850" s="23"/>
      <c r="R1850" s="23"/>
      <c r="S1850" s="23"/>
      <c r="T1850" s="23"/>
      <c r="U1850" s="22"/>
      <c r="V1850" s="22"/>
      <c r="W1850" s="22"/>
      <c r="X1850" s="22"/>
      <c r="Y1850" s="22"/>
      <c r="Z1850" s="22"/>
      <c r="AA1850" s="22"/>
      <c r="AB1850" s="22"/>
      <c r="AC1850" s="22"/>
      <c r="AD1850" s="22"/>
      <c r="AE1850" s="22"/>
      <c r="AF1850" s="22"/>
      <c r="AG1850" s="22"/>
      <c r="AH1850" s="22"/>
      <c r="AI1850" s="22"/>
      <c r="AJ1850" s="22"/>
      <c r="AK1850" s="22"/>
      <c r="AL1850" s="22"/>
      <c r="AM1850" s="22"/>
      <c r="AN1850" s="22"/>
      <c r="AO1850" s="22"/>
      <c r="AP1850" s="22"/>
      <c r="AQ1850" s="22"/>
      <c r="AR1850" s="22"/>
      <c r="AS1850" s="22"/>
      <c r="AT1850" s="22"/>
      <c r="AU1850" s="22"/>
      <c r="AV1850" s="22"/>
      <c r="AW1850" s="22"/>
      <c r="AX1850" s="22"/>
    </row>
    <row r="1851" spans="1:50" x14ac:dyDescent="0.35">
      <c r="A1851" s="23"/>
      <c r="B1851" s="23"/>
      <c r="C1851" s="23"/>
      <c r="D1851" s="23"/>
      <c r="E1851" s="23"/>
      <c r="F1851" s="23"/>
      <c r="G1851" s="23"/>
      <c r="H1851" s="23"/>
      <c r="I1851" s="23"/>
      <c r="J1851" s="23"/>
      <c r="K1851" s="23"/>
      <c r="L1851" s="23"/>
      <c r="M1851" s="23"/>
      <c r="N1851" s="23"/>
      <c r="O1851" s="23"/>
      <c r="P1851" s="23"/>
      <c r="Q1851" s="23"/>
      <c r="R1851" s="23"/>
      <c r="S1851" s="23"/>
      <c r="T1851" s="23"/>
      <c r="U1851" s="22"/>
      <c r="V1851" s="22"/>
      <c r="W1851" s="22"/>
      <c r="X1851" s="22"/>
      <c r="Y1851" s="22"/>
      <c r="Z1851" s="22"/>
      <c r="AA1851" s="22"/>
      <c r="AB1851" s="22"/>
      <c r="AC1851" s="22"/>
      <c r="AD1851" s="22"/>
      <c r="AE1851" s="22"/>
      <c r="AF1851" s="22"/>
      <c r="AG1851" s="22"/>
      <c r="AH1851" s="22"/>
      <c r="AI1851" s="22"/>
      <c r="AJ1851" s="22"/>
      <c r="AK1851" s="22"/>
      <c r="AL1851" s="22"/>
      <c r="AM1851" s="22"/>
      <c r="AN1851" s="22"/>
      <c r="AO1851" s="22"/>
      <c r="AP1851" s="22"/>
      <c r="AQ1851" s="22"/>
      <c r="AR1851" s="22"/>
      <c r="AS1851" s="22"/>
      <c r="AT1851" s="22"/>
      <c r="AU1851" s="22"/>
      <c r="AV1851" s="22"/>
      <c r="AW1851" s="22"/>
      <c r="AX1851" s="22"/>
    </row>
    <row r="1852" spans="1:50" x14ac:dyDescent="0.35">
      <c r="A1852" s="23"/>
      <c r="B1852" s="23"/>
      <c r="C1852" s="23"/>
      <c r="D1852" s="23"/>
      <c r="E1852" s="23"/>
      <c r="F1852" s="23"/>
      <c r="G1852" s="23"/>
      <c r="H1852" s="23"/>
      <c r="I1852" s="23"/>
      <c r="J1852" s="23"/>
      <c r="K1852" s="23"/>
      <c r="L1852" s="23"/>
      <c r="M1852" s="23"/>
      <c r="N1852" s="23"/>
      <c r="O1852" s="23"/>
      <c r="P1852" s="23"/>
      <c r="Q1852" s="23"/>
      <c r="R1852" s="23"/>
      <c r="S1852" s="23"/>
      <c r="T1852" s="23"/>
      <c r="U1852" s="22"/>
      <c r="V1852" s="22"/>
      <c r="W1852" s="22"/>
      <c r="X1852" s="22"/>
      <c r="Y1852" s="22"/>
      <c r="Z1852" s="22"/>
      <c r="AA1852" s="22"/>
      <c r="AB1852" s="22"/>
      <c r="AC1852" s="22"/>
      <c r="AD1852" s="22"/>
      <c r="AE1852" s="22"/>
      <c r="AF1852" s="22"/>
      <c r="AG1852" s="22"/>
      <c r="AH1852" s="22"/>
      <c r="AI1852" s="22"/>
      <c r="AJ1852" s="22"/>
      <c r="AK1852" s="22"/>
      <c r="AL1852" s="22"/>
      <c r="AM1852" s="22"/>
      <c r="AN1852" s="22"/>
      <c r="AO1852" s="22"/>
      <c r="AP1852" s="22"/>
      <c r="AQ1852" s="22"/>
      <c r="AR1852" s="22"/>
      <c r="AS1852" s="22"/>
      <c r="AT1852" s="22"/>
      <c r="AU1852" s="22"/>
      <c r="AV1852" s="22"/>
      <c r="AW1852" s="22"/>
      <c r="AX1852" s="22"/>
    </row>
    <row r="1853" spans="1:50" x14ac:dyDescent="0.35">
      <c r="A1853" s="23"/>
      <c r="B1853" s="23"/>
      <c r="C1853" s="23"/>
      <c r="D1853" s="23"/>
      <c r="E1853" s="23"/>
      <c r="F1853" s="23"/>
      <c r="G1853" s="23"/>
      <c r="H1853" s="23"/>
      <c r="I1853" s="23"/>
      <c r="J1853" s="23"/>
      <c r="K1853" s="23"/>
      <c r="L1853" s="23"/>
      <c r="M1853" s="23"/>
      <c r="N1853" s="23"/>
      <c r="O1853" s="23"/>
      <c r="P1853" s="23"/>
      <c r="Q1853" s="23"/>
      <c r="R1853" s="23"/>
      <c r="S1853" s="23"/>
      <c r="T1853" s="23"/>
      <c r="U1853" s="22"/>
      <c r="V1853" s="22"/>
      <c r="W1853" s="22"/>
      <c r="X1853" s="22"/>
      <c r="Y1853" s="22"/>
      <c r="Z1853" s="22"/>
      <c r="AA1853" s="22"/>
      <c r="AB1853" s="22"/>
      <c r="AC1853" s="22"/>
      <c r="AD1853" s="22"/>
      <c r="AE1853" s="22"/>
      <c r="AF1853" s="22"/>
      <c r="AG1853" s="22"/>
      <c r="AH1853" s="22"/>
      <c r="AI1853" s="22"/>
      <c r="AJ1853" s="22"/>
      <c r="AK1853" s="22"/>
      <c r="AL1853" s="22"/>
      <c r="AM1853" s="22"/>
      <c r="AN1853" s="22"/>
      <c r="AO1853" s="22"/>
      <c r="AP1853" s="22"/>
      <c r="AQ1853" s="22"/>
      <c r="AR1853" s="22"/>
      <c r="AS1853" s="22"/>
      <c r="AT1853" s="22"/>
      <c r="AU1853" s="22"/>
      <c r="AV1853" s="22"/>
      <c r="AW1853" s="22"/>
      <c r="AX1853" s="22"/>
    </row>
    <row r="1854" spans="1:50" x14ac:dyDescent="0.35">
      <c r="A1854" s="23"/>
      <c r="B1854" s="23"/>
      <c r="C1854" s="23"/>
      <c r="D1854" s="23"/>
      <c r="E1854" s="23"/>
      <c r="F1854" s="23"/>
      <c r="G1854" s="23"/>
      <c r="H1854" s="23"/>
      <c r="I1854" s="23"/>
      <c r="J1854" s="23"/>
      <c r="K1854" s="23"/>
      <c r="L1854" s="23"/>
      <c r="M1854" s="23"/>
      <c r="N1854" s="23"/>
      <c r="O1854" s="23"/>
      <c r="P1854" s="23"/>
      <c r="Q1854" s="23"/>
      <c r="R1854" s="23"/>
      <c r="S1854" s="23"/>
      <c r="T1854" s="23"/>
      <c r="U1854" s="22"/>
      <c r="V1854" s="22"/>
      <c r="W1854" s="22"/>
      <c r="X1854" s="22"/>
      <c r="Y1854" s="22"/>
      <c r="Z1854" s="22"/>
      <c r="AA1854" s="22"/>
      <c r="AB1854" s="22"/>
      <c r="AC1854" s="22"/>
      <c r="AD1854" s="22"/>
      <c r="AE1854" s="22"/>
      <c r="AF1854" s="22"/>
      <c r="AG1854" s="22"/>
      <c r="AH1854" s="22"/>
      <c r="AI1854" s="22"/>
      <c r="AJ1854" s="22"/>
      <c r="AK1854" s="22"/>
      <c r="AL1854" s="22"/>
      <c r="AM1854" s="22"/>
      <c r="AN1854" s="22"/>
      <c r="AO1854" s="22"/>
      <c r="AP1854" s="22"/>
      <c r="AQ1854" s="22"/>
      <c r="AR1854" s="22"/>
      <c r="AS1854" s="22"/>
      <c r="AT1854" s="22"/>
      <c r="AU1854" s="22"/>
      <c r="AV1854" s="22"/>
      <c r="AW1854" s="22"/>
      <c r="AX1854" s="22"/>
    </row>
    <row r="1855" spans="1:50" x14ac:dyDescent="0.35">
      <c r="A1855" s="23"/>
      <c r="B1855" s="23"/>
      <c r="C1855" s="23"/>
      <c r="D1855" s="23"/>
      <c r="E1855" s="23"/>
      <c r="F1855" s="23"/>
      <c r="G1855" s="23"/>
      <c r="H1855" s="23"/>
      <c r="I1855" s="23"/>
      <c r="J1855" s="23"/>
      <c r="K1855" s="23"/>
      <c r="L1855" s="23"/>
      <c r="M1855" s="23"/>
      <c r="N1855" s="23"/>
      <c r="O1855" s="23"/>
      <c r="P1855" s="23"/>
      <c r="Q1855" s="23"/>
      <c r="R1855" s="23"/>
      <c r="S1855" s="23"/>
      <c r="T1855" s="23"/>
      <c r="U1855" s="22"/>
      <c r="V1855" s="22"/>
      <c r="W1855" s="22"/>
      <c r="X1855" s="22"/>
      <c r="Y1855" s="22"/>
      <c r="Z1855" s="22"/>
      <c r="AA1855" s="22"/>
      <c r="AB1855" s="22"/>
      <c r="AC1855" s="22"/>
      <c r="AD1855" s="22"/>
      <c r="AE1855" s="22"/>
      <c r="AF1855" s="22"/>
      <c r="AG1855" s="22"/>
      <c r="AH1855" s="22"/>
      <c r="AI1855" s="22"/>
      <c r="AJ1855" s="22"/>
      <c r="AK1855" s="22"/>
      <c r="AL1855" s="22"/>
      <c r="AM1855" s="22"/>
      <c r="AN1855" s="22"/>
      <c r="AO1855" s="22"/>
      <c r="AP1855" s="22"/>
      <c r="AQ1855" s="22"/>
      <c r="AR1855" s="22"/>
      <c r="AS1855" s="22"/>
      <c r="AT1855" s="22"/>
      <c r="AU1855" s="22"/>
      <c r="AV1855" s="22"/>
      <c r="AW1855" s="22"/>
      <c r="AX1855" s="22"/>
    </row>
    <row r="1856" spans="1:50" x14ac:dyDescent="0.35">
      <c r="A1856" s="23"/>
      <c r="B1856" s="23"/>
      <c r="C1856" s="23"/>
      <c r="D1856" s="23"/>
      <c r="E1856" s="23"/>
      <c r="F1856" s="23"/>
      <c r="G1856" s="23"/>
      <c r="H1856" s="23"/>
      <c r="I1856" s="23"/>
      <c r="J1856" s="23"/>
      <c r="K1856" s="23"/>
      <c r="L1856" s="23"/>
      <c r="M1856" s="23"/>
      <c r="N1856" s="23"/>
      <c r="O1856" s="23"/>
      <c r="P1856" s="23"/>
      <c r="Q1856" s="23"/>
      <c r="R1856" s="23"/>
      <c r="S1856" s="23"/>
      <c r="T1856" s="23"/>
      <c r="U1856" s="22"/>
      <c r="V1856" s="22"/>
      <c r="W1856" s="22"/>
      <c r="X1856" s="22"/>
      <c r="Y1856" s="22"/>
      <c r="Z1856" s="22"/>
      <c r="AA1856" s="22"/>
      <c r="AB1856" s="22"/>
      <c r="AC1856" s="22"/>
      <c r="AD1856" s="22"/>
      <c r="AE1856" s="22"/>
      <c r="AF1856" s="22"/>
      <c r="AG1856" s="22"/>
      <c r="AH1856" s="22"/>
      <c r="AI1856" s="22"/>
      <c r="AJ1856" s="22"/>
      <c r="AK1856" s="22"/>
      <c r="AL1856" s="22"/>
      <c r="AM1856" s="22"/>
      <c r="AN1856" s="22"/>
      <c r="AO1856" s="22"/>
      <c r="AP1856" s="22"/>
      <c r="AQ1856" s="22"/>
      <c r="AR1856" s="22"/>
      <c r="AS1856" s="22"/>
      <c r="AT1856" s="22"/>
      <c r="AU1856" s="22"/>
      <c r="AV1856" s="22"/>
      <c r="AW1856" s="22"/>
      <c r="AX1856" s="22"/>
    </row>
    <row r="1857" spans="1:50" x14ac:dyDescent="0.35">
      <c r="A1857" s="23"/>
      <c r="B1857" s="23"/>
      <c r="C1857" s="23"/>
      <c r="D1857" s="23"/>
      <c r="E1857" s="23"/>
      <c r="F1857" s="23"/>
      <c r="G1857" s="23"/>
      <c r="H1857" s="23"/>
      <c r="I1857" s="23"/>
      <c r="J1857" s="23"/>
      <c r="K1857" s="23"/>
      <c r="L1857" s="23"/>
      <c r="M1857" s="23"/>
      <c r="N1857" s="23"/>
      <c r="O1857" s="23"/>
      <c r="P1857" s="23"/>
      <c r="Q1857" s="23"/>
      <c r="R1857" s="23"/>
      <c r="S1857" s="23"/>
      <c r="T1857" s="23"/>
      <c r="U1857" s="22"/>
      <c r="V1857" s="22"/>
      <c r="W1857" s="22"/>
      <c r="X1857" s="22"/>
      <c r="Y1857" s="22"/>
      <c r="Z1857" s="22"/>
      <c r="AA1857" s="22"/>
      <c r="AB1857" s="22"/>
      <c r="AC1857" s="22"/>
      <c r="AD1857" s="22"/>
      <c r="AE1857" s="22"/>
      <c r="AF1857" s="22"/>
      <c r="AG1857" s="22"/>
      <c r="AH1857" s="22"/>
      <c r="AI1857" s="22"/>
      <c r="AJ1857" s="22"/>
      <c r="AK1857" s="22"/>
      <c r="AL1857" s="22"/>
      <c r="AM1857" s="22"/>
      <c r="AN1857" s="22"/>
      <c r="AO1857" s="22"/>
      <c r="AP1857" s="22"/>
      <c r="AQ1857" s="22"/>
      <c r="AR1857" s="22"/>
      <c r="AS1857" s="22"/>
      <c r="AT1857" s="22"/>
      <c r="AU1857" s="22"/>
      <c r="AV1857" s="22"/>
      <c r="AW1857" s="22"/>
      <c r="AX1857" s="22"/>
    </row>
    <row r="1858" spans="1:50" x14ac:dyDescent="0.35">
      <c r="A1858" s="23"/>
      <c r="B1858" s="23"/>
      <c r="C1858" s="23"/>
      <c r="D1858" s="23"/>
      <c r="E1858" s="23"/>
      <c r="F1858" s="23"/>
      <c r="G1858" s="23"/>
      <c r="H1858" s="23"/>
      <c r="I1858" s="23"/>
      <c r="J1858" s="23"/>
      <c r="K1858" s="23"/>
      <c r="L1858" s="23"/>
      <c r="M1858" s="23"/>
      <c r="N1858" s="23"/>
      <c r="O1858" s="23"/>
      <c r="P1858" s="23"/>
      <c r="Q1858" s="23"/>
      <c r="R1858" s="23"/>
      <c r="S1858" s="23"/>
      <c r="T1858" s="23"/>
      <c r="U1858" s="22"/>
      <c r="V1858" s="22"/>
      <c r="W1858" s="22"/>
      <c r="X1858" s="22"/>
      <c r="Y1858" s="22"/>
      <c r="Z1858" s="22"/>
      <c r="AA1858" s="22"/>
      <c r="AB1858" s="22"/>
      <c r="AC1858" s="22"/>
      <c r="AD1858" s="22"/>
      <c r="AE1858" s="22"/>
      <c r="AF1858" s="22"/>
      <c r="AG1858" s="22"/>
      <c r="AH1858" s="22"/>
      <c r="AI1858" s="22"/>
      <c r="AJ1858" s="22"/>
      <c r="AK1858" s="22"/>
      <c r="AL1858" s="22"/>
      <c r="AM1858" s="22"/>
      <c r="AN1858" s="22"/>
      <c r="AO1858" s="22"/>
      <c r="AP1858" s="22"/>
      <c r="AQ1858" s="22"/>
      <c r="AR1858" s="22"/>
      <c r="AS1858" s="22"/>
      <c r="AT1858" s="22"/>
      <c r="AU1858" s="22"/>
      <c r="AV1858" s="22"/>
      <c r="AW1858" s="22"/>
      <c r="AX1858" s="22"/>
    </row>
    <row r="1859" spans="1:50" x14ac:dyDescent="0.35">
      <c r="A1859" s="23"/>
      <c r="B1859" s="23"/>
      <c r="C1859" s="23"/>
      <c r="D1859" s="23"/>
      <c r="E1859" s="23"/>
      <c r="F1859" s="23"/>
      <c r="G1859" s="23"/>
      <c r="H1859" s="23"/>
      <c r="I1859" s="23"/>
      <c r="J1859" s="23"/>
      <c r="K1859" s="23"/>
      <c r="L1859" s="23"/>
      <c r="M1859" s="23"/>
      <c r="N1859" s="23"/>
      <c r="O1859" s="23"/>
      <c r="P1859" s="23"/>
      <c r="Q1859" s="23"/>
      <c r="R1859" s="23"/>
      <c r="S1859" s="23"/>
      <c r="T1859" s="23"/>
      <c r="U1859" s="22"/>
      <c r="V1859" s="22"/>
      <c r="W1859" s="22"/>
      <c r="X1859" s="22"/>
      <c r="Y1859" s="22"/>
      <c r="Z1859" s="22"/>
      <c r="AA1859" s="22"/>
      <c r="AB1859" s="22"/>
      <c r="AC1859" s="22"/>
      <c r="AD1859" s="22"/>
      <c r="AE1859" s="22"/>
      <c r="AF1859" s="22"/>
      <c r="AG1859" s="22"/>
      <c r="AH1859" s="22"/>
      <c r="AI1859" s="22"/>
      <c r="AJ1859" s="22"/>
      <c r="AK1859" s="22"/>
      <c r="AL1859" s="22"/>
      <c r="AM1859" s="22"/>
      <c r="AN1859" s="22"/>
      <c r="AO1859" s="22"/>
      <c r="AP1859" s="22"/>
      <c r="AQ1859" s="22"/>
      <c r="AR1859" s="22"/>
      <c r="AS1859" s="22"/>
      <c r="AT1859" s="22"/>
      <c r="AU1859" s="22"/>
      <c r="AV1859" s="22"/>
      <c r="AW1859" s="22"/>
      <c r="AX1859" s="22"/>
    </row>
    <row r="1860" spans="1:50" x14ac:dyDescent="0.35">
      <c r="A1860" s="23"/>
      <c r="B1860" s="23"/>
      <c r="C1860" s="23"/>
      <c r="D1860" s="23"/>
      <c r="E1860" s="23"/>
      <c r="F1860" s="23"/>
      <c r="G1860" s="23"/>
      <c r="H1860" s="23"/>
      <c r="I1860" s="23"/>
      <c r="J1860" s="23"/>
      <c r="K1860" s="23"/>
      <c r="L1860" s="23"/>
      <c r="M1860" s="23"/>
      <c r="N1860" s="23"/>
      <c r="O1860" s="23"/>
      <c r="P1860" s="23"/>
      <c r="Q1860" s="23"/>
      <c r="R1860" s="23"/>
      <c r="S1860" s="23"/>
      <c r="T1860" s="23"/>
      <c r="U1860" s="22"/>
      <c r="V1860" s="22"/>
      <c r="W1860" s="22"/>
      <c r="X1860" s="22"/>
      <c r="Y1860" s="22"/>
      <c r="Z1860" s="22"/>
      <c r="AA1860" s="22"/>
      <c r="AB1860" s="22"/>
      <c r="AC1860" s="22"/>
      <c r="AD1860" s="22"/>
      <c r="AE1860" s="22"/>
      <c r="AF1860" s="22"/>
      <c r="AG1860" s="22"/>
      <c r="AH1860" s="22"/>
      <c r="AI1860" s="22"/>
      <c r="AJ1860" s="22"/>
      <c r="AK1860" s="22"/>
      <c r="AL1860" s="22"/>
      <c r="AM1860" s="22"/>
      <c r="AN1860" s="22"/>
      <c r="AO1860" s="22"/>
      <c r="AP1860" s="22"/>
      <c r="AQ1860" s="22"/>
      <c r="AR1860" s="22"/>
      <c r="AS1860" s="22"/>
      <c r="AT1860" s="22"/>
      <c r="AU1860" s="22"/>
      <c r="AV1860" s="22"/>
      <c r="AW1860" s="22"/>
      <c r="AX1860" s="22"/>
    </row>
    <row r="1861" spans="1:50" x14ac:dyDescent="0.35">
      <c r="A1861" s="23"/>
      <c r="B1861" s="23"/>
      <c r="C1861" s="23"/>
      <c r="D1861" s="23"/>
      <c r="E1861" s="23"/>
      <c r="F1861" s="23"/>
      <c r="G1861" s="23"/>
      <c r="H1861" s="23"/>
      <c r="I1861" s="23"/>
      <c r="J1861" s="23"/>
      <c r="K1861" s="23"/>
      <c r="L1861" s="23"/>
      <c r="M1861" s="23"/>
      <c r="N1861" s="23"/>
      <c r="O1861" s="23"/>
      <c r="P1861" s="23"/>
      <c r="Q1861" s="23"/>
      <c r="R1861" s="23"/>
      <c r="S1861" s="23"/>
      <c r="T1861" s="23"/>
      <c r="U1861" s="22"/>
      <c r="V1861" s="22"/>
      <c r="W1861" s="22"/>
      <c r="X1861" s="22"/>
      <c r="Y1861" s="22"/>
      <c r="Z1861" s="22"/>
      <c r="AA1861" s="22"/>
      <c r="AB1861" s="22"/>
      <c r="AC1861" s="22"/>
      <c r="AD1861" s="22"/>
      <c r="AE1861" s="22"/>
      <c r="AF1861" s="22"/>
      <c r="AG1861" s="22"/>
      <c r="AH1861" s="22"/>
      <c r="AI1861" s="22"/>
      <c r="AJ1861" s="22"/>
      <c r="AK1861" s="22"/>
      <c r="AL1861" s="22"/>
      <c r="AM1861" s="22"/>
      <c r="AN1861" s="22"/>
      <c r="AO1861" s="22"/>
      <c r="AP1861" s="22"/>
      <c r="AQ1861" s="22"/>
      <c r="AR1861" s="22"/>
      <c r="AS1861" s="22"/>
      <c r="AT1861" s="22"/>
      <c r="AU1861" s="22"/>
      <c r="AV1861" s="22"/>
      <c r="AW1861" s="22"/>
      <c r="AX1861" s="22"/>
    </row>
    <row r="1862" spans="1:50" x14ac:dyDescent="0.35">
      <c r="A1862" s="23"/>
      <c r="B1862" s="23"/>
      <c r="C1862" s="23"/>
      <c r="D1862" s="23"/>
      <c r="E1862" s="23"/>
      <c r="F1862" s="23"/>
      <c r="G1862" s="23"/>
      <c r="H1862" s="23"/>
      <c r="I1862" s="23"/>
      <c r="J1862" s="23"/>
      <c r="K1862" s="23"/>
      <c r="L1862" s="23"/>
      <c r="M1862" s="23"/>
      <c r="N1862" s="23"/>
      <c r="O1862" s="23"/>
      <c r="P1862" s="23"/>
      <c r="Q1862" s="23"/>
      <c r="R1862" s="23"/>
      <c r="S1862" s="23"/>
      <c r="T1862" s="23"/>
      <c r="U1862" s="22"/>
      <c r="V1862" s="22"/>
      <c r="W1862" s="22"/>
      <c r="X1862" s="22"/>
      <c r="Y1862" s="22"/>
      <c r="Z1862" s="22"/>
      <c r="AA1862" s="22"/>
      <c r="AB1862" s="22"/>
      <c r="AC1862" s="22"/>
      <c r="AD1862" s="22"/>
      <c r="AE1862" s="22"/>
      <c r="AF1862" s="22"/>
      <c r="AG1862" s="22"/>
      <c r="AH1862" s="22"/>
      <c r="AI1862" s="22"/>
      <c r="AJ1862" s="22"/>
      <c r="AK1862" s="22"/>
      <c r="AL1862" s="22"/>
      <c r="AM1862" s="22"/>
      <c r="AN1862" s="22"/>
      <c r="AO1862" s="22"/>
      <c r="AP1862" s="22"/>
      <c r="AQ1862" s="22"/>
      <c r="AR1862" s="22"/>
      <c r="AS1862" s="22"/>
      <c r="AT1862" s="22"/>
      <c r="AU1862" s="22"/>
      <c r="AV1862" s="22"/>
      <c r="AW1862" s="22"/>
      <c r="AX1862" s="22"/>
    </row>
    <row r="1863" spans="1:50" x14ac:dyDescent="0.35">
      <c r="A1863" s="23"/>
      <c r="B1863" s="23"/>
      <c r="C1863" s="23"/>
      <c r="D1863" s="23"/>
      <c r="E1863" s="23"/>
      <c r="F1863" s="23"/>
      <c r="G1863" s="23"/>
      <c r="H1863" s="23"/>
      <c r="I1863" s="23"/>
      <c r="J1863" s="23"/>
      <c r="K1863" s="23"/>
      <c r="L1863" s="23"/>
      <c r="M1863" s="23"/>
      <c r="N1863" s="23"/>
      <c r="O1863" s="23"/>
      <c r="P1863" s="23"/>
      <c r="Q1863" s="23"/>
      <c r="R1863" s="23"/>
      <c r="S1863" s="23"/>
      <c r="T1863" s="23"/>
      <c r="U1863" s="22"/>
      <c r="V1863" s="22"/>
      <c r="W1863" s="22"/>
      <c r="X1863" s="22"/>
      <c r="Y1863" s="22"/>
      <c r="Z1863" s="22"/>
      <c r="AA1863" s="22"/>
      <c r="AB1863" s="22"/>
      <c r="AC1863" s="22"/>
      <c r="AD1863" s="22"/>
      <c r="AE1863" s="22"/>
      <c r="AF1863" s="22"/>
      <c r="AG1863" s="22"/>
      <c r="AH1863" s="22"/>
      <c r="AI1863" s="22"/>
      <c r="AJ1863" s="22"/>
      <c r="AK1863" s="22"/>
      <c r="AL1863" s="22"/>
      <c r="AM1863" s="22"/>
      <c r="AN1863" s="22"/>
      <c r="AO1863" s="22"/>
      <c r="AP1863" s="22"/>
      <c r="AQ1863" s="22"/>
      <c r="AR1863" s="22"/>
      <c r="AS1863" s="22"/>
      <c r="AT1863" s="22"/>
      <c r="AU1863" s="22"/>
      <c r="AV1863" s="22"/>
      <c r="AW1863" s="22"/>
      <c r="AX1863" s="22"/>
    </row>
    <row r="1864" spans="1:50" x14ac:dyDescent="0.35">
      <c r="A1864" s="23"/>
      <c r="B1864" s="23"/>
      <c r="C1864" s="23"/>
      <c r="D1864" s="23"/>
      <c r="E1864" s="23"/>
      <c r="F1864" s="23"/>
      <c r="G1864" s="23"/>
      <c r="H1864" s="23"/>
      <c r="I1864" s="23"/>
      <c r="J1864" s="23"/>
      <c r="K1864" s="23"/>
      <c r="L1864" s="23"/>
      <c r="M1864" s="23"/>
      <c r="N1864" s="23"/>
      <c r="O1864" s="23"/>
      <c r="P1864" s="23"/>
      <c r="Q1864" s="23"/>
      <c r="R1864" s="23"/>
      <c r="S1864" s="23"/>
      <c r="T1864" s="23"/>
      <c r="U1864" s="22"/>
      <c r="V1864" s="22"/>
      <c r="W1864" s="22"/>
      <c r="X1864" s="22"/>
      <c r="Y1864" s="22"/>
      <c r="Z1864" s="22"/>
      <c r="AA1864" s="22"/>
      <c r="AB1864" s="22"/>
      <c r="AC1864" s="22"/>
      <c r="AD1864" s="22"/>
      <c r="AE1864" s="22"/>
      <c r="AF1864" s="22"/>
      <c r="AG1864" s="22"/>
      <c r="AH1864" s="22"/>
      <c r="AI1864" s="22"/>
      <c r="AJ1864" s="22"/>
      <c r="AK1864" s="22"/>
      <c r="AL1864" s="22"/>
      <c r="AM1864" s="22"/>
      <c r="AN1864" s="22"/>
      <c r="AO1864" s="22"/>
      <c r="AP1864" s="22"/>
      <c r="AQ1864" s="22"/>
      <c r="AR1864" s="22"/>
      <c r="AS1864" s="22"/>
      <c r="AT1864" s="22"/>
      <c r="AU1864" s="22"/>
      <c r="AV1864" s="22"/>
      <c r="AW1864" s="22"/>
      <c r="AX1864" s="22"/>
    </row>
    <row r="1865" spans="1:50" x14ac:dyDescent="0.35">
      <c r="A1865" s="23"/>
      <c r="B1865" s="23"/>
      <c r="C1865" s="23"/>
      <c r="D1865" s="23"/>
      <c r="E1865" s="23"/>
      <c r="F1865" s="23"/>
      <c r="G1865" s="23"/>
      <c r="H1865" s="23"/>
      <c r="I1865" s="23"/>
      <c r="J1865" s="23"/>
      <c r="K1865" s="23"/>
      <c r="L1865" s="23"/>
      <c r="M1865" s="23"/>
      <c r="N1865" s="23"/>
      <c r="O1865" s="23"/>
      <c r="P1865" s="23"/>
      <c r="Q1865" s="23"/>
      <c r="R1865" s="23"/>
      <c r="S1865" s="23"/>
      <c r="T1865" s="23"/>
      <c r="U1865" s="22"/>
      <c r="V1865" s="22"/>
      <c r="W1865" s="22"/>
      <c r="X1865" s="22"/>
      <c r="Y1865" s="22"/>
      <c r="Z1865" s="22"/>
      <c r="AA1865" s="22"/>
      <c r="AB1865" s="22"/>
      <c r="AC1865" s="22"/>
      <c r="AD1865" s="22"/>
      <c r="AE1865" s="22"/>
      <c r="AF1865" s="22"/>
      <c r="AG1865" s="22"/>
      <c r="AH1865" s="22"/>
      <c r="AI1865" s="22"/>
      <c r="AJ1865" s="22"/>
      <c r="AK1865" s="22"/>
      <c r="AL1865" s="22"/>
      <c r="AM1865" s="22"/>
      <c r="AN1865" s="22"/>
      <c r="AO1865" s="22"/>
      <c r="AP1865" s="22"/>
      <c r="AQ1865" s="22"/>
      <c r="AR1865" s="22"/>
      <c r="AS1865" s="22"/>
      <c r="AT1865" s="22"/>
      <c r="AU1865" s="22"/>
      <c r="AV1865" s="22"/>
      <c r="AW1865" s="22"/>
      <c r="AX1865" s="22"/>
    </row>
    <row r="1866" spans="1:50" x14ac:dyDescent="0.35">
      <c r="A1866" s="23"/>
      <c r="B1866" s="23"/>
      <c r="C1866" s="23"/>
      <c r="D1866" s="23"/>
      <c r="E1866" s="23"/>
      <c r="F1866" s="23"/>
      <c r="G1866" s="23"/>
      <c r="H1866" s="23"/>
      <c r="I1866" s="23"/>
      <c r="J1866" s="23"/>
      <c r="K1866" s="23"/>
      <c r="L1866" s="23"/>
      <c r="M1866" s="23"/>
      <c r="N1866" s="23"/>
      <c r="O1866" s="23"/>
      <c r="P1866" s="23"/>
      <c r="Q1866" s="23"/>
      <c r="R1866" s="23"/>
      <c r="S1866" s="23"/>
      <c r="T1866" s="23"/>
      <c r="U1866" s="22"/>
      <c r="V1866" s="22"/>
      <c r="W1866" s="22"/>
      <c r="X1866" s="22"/>
      <c r="Y1866" s="22"/>
      <c r="Z1866" s="22"/>
      <c r="AA1866" s="22"/>
      <c r="AB1866" s="22"/>
      <c r="AC1866" s="22"/>
      <c r="AD1866" s="22"/>
      <c r="AE1866" s="22"/>
      <c r="AF1866" s="22"/>
      <c r="AG1866" s="22"/>
      <c r="AH1866" s="22"/>
      <c r="AI1866" s="22"/>
      <c r="AJ1866" s="22"/>
      <c r="AK1866" s="22"/>
      <c r="AL1866" s="22"/>
      <c r="AM1866" s="22"/>
      <c r="AN1866" s="22"/>
      <c r="AO1866" s="22"/>
      <c r="AP1866" s="22"/>
      <c r="AQ1866" s="22"/>
      <c r="AR1866" s="22"/>
      <c r="AS1866" s="22"/>
      <c r="AT1866" s="22"/>
      <c r="AU1866" s="22"/>
      <c r="AV1866" s="22"/>
      <c r="AW1866" s="22"/>
      <c r="AX1866" s="22"/>
    </row>
    <row r="1867" spans="1:50" x14ac:dyDescent="0.35">
      <c r="A1867" s="23"/>
      <c r="B1867" s="23"/>
      <c r="C1867" s="23"/>
      <c r="D1867" s="23"/>
      <c r="E1867" s="23"/>
      <c r="F1867" s="23"/>
      <c r="G1867" s="23"/>
      <c r="H1867" s="23"/>
      <c r="I1867" s="23"/>
      <c r="J1867" s="23"/>
      <c r="K1867" s="23"/>
      <c r="L1867" s="23"/>
      <c r="M1867" s="23"/>
      <c r="N1867" s="23"/>
      <c r="O1867" s="23"/>
      <c r="P1867" s="23"/>
      <c r="Q1867" s="23"/>
      <c r="R1867" s="23"/>
      <c r="S1867" s="23"/>
      <c r="T1867" s="23"/>
      <c r="U1867" s="22"/>
      <c r="V1867" s="22"/>
      <c r="W1867" s="22"/>
      <c r="X1867" s="22"/>
      <c r="Y1867" s="22"/>
      <c r="Z1867" s="22"/>
      <c r="AA1867" s="22"/>
      <c r="AB1867" s="22"/>
      <c r="AC1867" s="22"/>
      <c r="AD1867" s="22"/>
      <c r="AE1867" s="22"/>
      <c r="AF1867" s="22"/>
      <c r="AG1867" s="22"/>
      <c r="AH1867" s="22"/>
      <c r="AI1867" s="22"/>
      <c r="AJ1867" s="22"/>
      <c r="AK1867" s="22"/>
      <c r="AL1867" s="22"/>
      <c r="AM1867" s="22"/>
      <c r="AN1867" s="22"/>
      <c r="AO1867" s="22"/>
      <c r="AP1867" s="22"/>
      <c r="AQ1867" s="22"/>
      <c r="AR1867" s="22"/>
      <c r="AS1867" s="22"/>
      <c r="AT1867" s="22"/>
      <c r="AU1867" s="22"/>
      <c r="AV1867" s="22"/>
      <c r="AW1867" s="22"/>
      <c r="AX1867" s="22"/>
    </row>
    <row r="1868" spans="1:50" x14ac:dyDescent="0.35">
      <c r="A1868" s="23"/>
      <c r="B1868" s="23"/>
      <c r="C1868" s="23"/>
      <c r="D1868" s="23"/>
      <c r="E1868" s="23"/>
      <c r="F1868" s="23"/>
      <c r="G1868" s="23"/>
      <c r="H1868" s="23"/>
      <c r="I1868" s="23"/>
      <c r="J1868" s="23"/>
      <c r="K1868" s="23"/>
      <c r="L1868" s="23"/>
      <c r="M1868" s="23"/>
      <c r="N1868" s="23"/>
      <c r="O1868" s="23"/>
      <c r="P1868" s="23"/>
      <c r="Q1868" s="23"/>
      <c r="R1868" s="23"/>
      <c r="S1868" s="23"/>
      <c r="T1868" s="23"/>
      <c r="U1868" s="22"/>
      <c r="V1868" s="22"/>
      <c r="W1868" s="22"/>
      <c r="X1868" s="22"/>
      <c r="Y1868" s="22"/>
      <c r="Z1868" s="22"/>
      <c r="AA1868" s="22"/>
      <c r="AB1868" s="22"/>
      <c r="AC1868" s="22"/>
      <c r="AD1868" s="22"/>
      <c r="AE1868" s="22"/>
      <c r="AF1868" s="22"/>
      <c r="AG1868" s="22"/>
      <c r="AH1868" s="22"/>
      <c r="AI1868" s="22"/>
      <c r="AJ1868" s="22"/>
      <c r="AK1868" s="22"/>
      <c r="AL1868" s="22"/>
      <c r="AM1868" s="22"/>
      <c r="AN1868" s="22"/>
      <c r="AO1868" s="22"/>
      <c r="AP1868" s="22"/>
      <c r="AQ1868" s="22"/>
      <c r="AR1868" s="22"/>
      <c r="AS1868" s="22"/>
      <c r="AT1868" s="22"/>
      <c r="AU1868" s="22"/>
      <c r="AV1868" s="22"/>
      <c r="AW1868" s="22"/>
      <c r="AX1868" s="22"/>
    </row>
    <row r="1869" spans="1:50" x14ac:dyDescent="0.35">
      <c r="A1869" s="23"/>
      <c r="B1869" s="23"/>
      <c r="C1869" s="23"/>
      <c r="D1869" s="23"/>
      <c r="E1869" s="23"/>
      <c r="F1869" s="23"/>
      <c r="G1869" s="23"/>
      <c r="H1869" s="23"/>
      <c r="I1869" s="23"/>
      <c r="J1869" s="23"/>
      <c r="K1869" s="23"/>
      <c r="L1869" s="23"/>
      <c r="M1869" s="23"/>
      <c r="N1869" s="23"/>
      <c r="O1869" s="23"/>
      <c r="P1869" s="23"/>
      <c r="Q1869" s="23"/>
      <c r="R1869" s="23"/>
      <c r="S1869" s="23"/>
      <c r="T1869" s="23"/>
      <c r="U1869" s="22"/>
      <c r="V1869" s="22"/>
      <c r="W1869" s="22"/>
      <c r="X1869" s="22"/>
      <c r="Y1869" s="22"/>
      <c r="Z1869" s="22"/>
      <c r="AA1869" s="22"/>
      <c r="AB1869" s="22"/>
      <c r="AC1869" s="22"/>
      <c r="AD1869" s="22"/>
      <c r="AE1869" s="22"/>
      <c r="AF1869" s="22"/>
      <c r="AG1869" s="22"/>
      <c r="AH1869" s="22"/>
      <c r="AI1869" s="22"/>
      <c r="AJ1869" s="22"/>
      <c r="AK1869" s="22"/>
      <c r="AL1869" s="22"/>
      <c r="AM1869" s="22"/>
      <c r="AN1869" s="22"/>
      <c r="AO1869" s="22"/>
      <c r="AP1869" s="22"/>
      <c r="AQ1869" s="22"/>
      <c r="AR1869" s="22"/>
      <c r="AS1869" s="22"/>
      <c r="AT1869" s="22"/>
      <c r="AU1869" s="22"/>
      <c r="AV1869" s="22"/>
      <c r="AW1869" s="22"/>
      <c r="AX1869" s="22"/>
    </row>
    <row r="1870" spans="1:50" x14ac:dyDescent="0.35">
      <c r="A1870" s="23"/>
      <c r="B1870" s="23"/>
      <c r="C1870" s="23"/>
      <c r="D1870" s="23"/>
      <c r="E1870" s="23"/>
      <c r="F1870" s="23"/>
      <c r="G1870" s="23"/>
      <c r="H1870" s="23"/>
      <c r="I1870" s="23"/>
      <c r="J1870" s="23"/>
      <c r="K1870" s="23"/>
      <c r="L1870" s="23"/>
      <c r="M1870" s="23"/>
      <c r="N1870" s="23"/>
      <c r="O1870" s="23"/>
      <c r="P1870" s="23"/>
      <c r="Q1870" s="23"/>
      <c r="R1870" s="23"/>
      <c r="S1870" s="23"/>
      <c r="T1870" s="23"/>
      <c r="U1870" s="22"/>
      <c r="V1870" s="22"/>
      <c r="W1870" s="22"/>
      <c r="X1870" s="22"/>
      <c r="Y1870" s="22"/>
      <c r="Z1870" s="22"/>
      <c r="AA1870" s="22"/>
      <c r="AB1870" s="22"/>
      <c r="AC1870" s="22"/>
      <c r="AD1870" s="22"/>
      <c r="AE1870" s="22"/>
      <c r="AF1870" s="22"/>
      <c r="AG1870" s="22"/>
      <c r="AH1870" s="22"/>
      <c r="AI1870" s="22"/>
      <c r="AJ1870" s="22"/>
      <c r="AK1870" s="22"/>
      <c r="AL1870" s="22"/>
      <c r="AM1870" s="22"/>
      <c r="AN1870" s="22"/>
      <c r="AO1870" s="22"/>
      <c r="AP1870" s="22"/>
      <c r="AQ1870" s="22"/>
      <c r="AR1870" s="22"/>
      <c r="AS1870" s="22"/>
      <c r="AT1870" s="22"/>
      <c r="AU1870" s="22"/>
      <c r="AV1870" s="22"/>
      <c r="AW1870" s="22"/>
      <c r="AX1870" s="22"/>
    </row>
    <row r="1871" spans="1:50" x14ac:dyDescent="0.35">
      <c r="A1871" s="23"/>
      <c r="B1871" s="23"/>
      <c r="C1871" s="23"/>
      <c r="D1871" s="23"/>
      <c r="E1871" s="23"/>
      <c r="F1871" s="23"/>
      <c r="G1871" s="23"/>
      <c r="H1871" s="23"/>
      <c r="I1871" s="23"/>
      <c r="J1871" s="23"/>
      <c r="K1871" s="23"/>
      <c r="L1871" s="23"/>
      <c r="M1871" s="23"/>
      <c r="N1871" s="23"/>
      <c r="O1871" s="23"/>
      <c r="P1871" s="23"/>
      <c r="Q1871" s="23"/>
      <c r="R1871" s="23"/>
      <c r="S1871" s="23"/>
      <c r="T1871" s="23"/>
      <c r="U1871" s="22"/>
      <c r="V1871" s="22"/>
      <c r="W1871" s="22"/>
      <c r="X1871" s="22"/>
      <c r="Y1871" s="22"/>
      <c r="Z1871" s="22"/>
      <c r="AA1871" s="22"/>
      <c r="AB1871" s="22"/>
      <c r="AC1871" s="22"/>
      <c r="AD1871" s="22"/>
      <c r="AE1871" s="22"/>
      <c r="AF1871" s="22"/>
      <c r="AG1871" s="22"/>
      <c r="AH1871" s="22"/>
      <c r="AI1871" s="22"/>
      <c r="AJ1871" s="22"/>
      <c r="AK1871" s="22"/>
      <c r="AL1871" s="22"/>
      <c r="AM1871" s="22"/>
      <c r="AN1871" s="22"/>
      <c r="AO1871" s="22"/>
      <c r="AP1871" s="22"/>
      <c r="AQ1871" s="22"/>
      <c r="AR1871" s="22"/>
      <c r="AS1871" s="22"/>
      <c r="AT1871" s="22"/>
      <c r="AU1871" s="22"/>
      <c r="AV1871" s="22"/>
      <c r="AW1871" s="22"/>
      <c r="AX1871" s="22"/>
    </row>
    <row r="1872" spans="1:50" x14ac:dyDescent="0.35">
      <c r="A1872" s="23"/>
      <c r="B1872" s="23"/>
      <c r="C1872" s="23"/>
      <c r="D1872" s="23"/>
      <c r="E1872" s="23"/>
      <c r="F1872" s="23"/>
      <c r="G1872" s="23"/>
      <c r="H1872" s="23"/>
      <c r="I1872" s="23"/>
      <c r="J1872" s="23"/>
      <c r="K1872" s="23"/>
      <c r="L1872" s="23"/>
      <c r="M1872" s="23"/>
      <c r="N1872" s="23"/>
      <c r="O1872" s="23"/>
      <c r="P1872" s="23"/>
      <c r="Q1872" s="23"/>
      <c r="R1872" s="23"/>
      <c r="S1872" s="23"/>
      <c r="T1872" s="23"/>
      <c r="U1872" s="22"/>
      <c r="V1872" s="22"/>
      <c r="W1872" s="22"/>
      <c r="X1872" s="22"/>
      <c r="Y1872" s="22"/>
      <c r="Z1872" s="22"/>
      <c r="AA1872" s="22"/>
      <c r="AB1872" s="22"/>
      <c r="AC1872" s="22"/>
      <c r="AD1872" s="22"/>
      <c r="AE1872" s="22"/>
      <c r="AF1872" s="22"/>
      <c r="AG1872" s="22"/>
      <c r="AH1872" s="22"/>
      <c r="AI1872" s="22"/>
      <c r="AJ1872" s="22"/>
      <c r="AK1872" s="22"/>
      <c r="AL1872" s="22"/>
      <c r="AM1872" s="22"/>
      <c r="AN1872" s="22"/>
      <c r="AO1872" s="22"/>
      <c r="AP1872" s="22"/>
      <c r="AQ1872" s="22"/>
      <c r="AR1872" s="22"/>
      <c r="AS1872" s="22"/>
      <c r="AT1872" s="22"/>
      <c r="AU1872" s="22"/>
      <c r="AV1872" s="22"/>
      <c r="AW1872" s="22"/>
      <c r="AX1872" s="22"/>
    </row>
    <row r="1873" spans="1:50" x14ac:dyDescent="0.35">
      <c r="A1873" s="23"/>
      <c r="B1873" s="23"/>
      <c r="C1873" s="23"/>
      <c r="D1873" s="23"/>
      <c r="E1873" s="23"/>
      <c r="F1873" s="23"/>
      <c r="G1873" s="23"/>
      <c r="H1873" s="23"/>
      <c r="I1873" s="23"/>
      <c r="J1873" s="23"/>
      <c r="K1873" s="23"/>
      <c r="L1873" s="23"/>
      <c r="M1873" s="23"/>
      <c r="N1873" s="23"/>
      <c r="O1873" s="23"/>
      <c r="P1873" s="23"/>
      <c r="Q1873" s="23"/>
      <c r="R1873" s="23"/>
      <c r="S1873" s="23"/>
      <c r="T1873" s="23"/>
      <c r="U1873" s="22"/>
      <c r="V1873" s="22"/>
      <c r="W1873" s="22"/>
      <c r="X1873" s="22"/>
      <c r="Y1873" s="22"/>
      <c r="Z1873" s="22"/>
      <c r="AA1873" s="22"/>
      <c r="AB1873" s="22"/>
      <c r="AC1873" s="22"/>
      <c r="AD1873" s="22"/>
      <c r="AE1873" s="22"/>
      <c r="AF1873" s="22"/>
      <c r="AG1873" s="22"/>
      <c r="AH1873" s="22"/>
      <c r="AI1873" s="22"/>
      <c r="AJ1873" s="22"/>
      <c r="AK1873" s="22"/>
      <c r="AL1873" s="22"/>
      <c r="AM1873" s="22"/>
      <c r="AN1873" s="22"/>
      <c r="AO1873" s="22"/>
      <c r="AP1873" s="22"/>
      <c r="AQ1873" s="22"/>
      <c r="AR1873" s="22"/>
      <c r="AS1873" s="22"/>
      <c r="AT1873" s="22"/>
      <c r="AU1873" s="22"/>
      <c r="AV1873" s="22"/>
      <c r="AW1873" s="22"/>
      <c r="AX1873" s="22"/>
    </row>
    <row r="1874" spans="1:50" x14ac:dyDescent="0.35">
      <c r="A1874" s="23"/>
      <c r="B1874" s="23"/>
      <c r="C1874" s="23"/>
      <c r="D1874" s="23"/>
      <c r="E1874" s="23"/>
      <c r="F1874" s="23"/>
      <c r="G1874" s="23"/>
      <c r="H1874" s="23"/>
      <c r="I1874" s="23"/>
      <c r="J1874" s="23"/>
      <c r="K1874" s="23"/>
      <c r="L1874" s="23"/>
      <c r="M1874" s="23"/>
      <c r="N1874" s="23"/>
      <c r="O1874" s="23"/>
      <c r="P1874" s="23"/>
      <c r="Q1874" s="23"/>
      <c r="R1874" s="23"/>
      <c r="S1874" s="23"/>
      <c r="T1874" s="23"/>
      <c r="U1874" s="22"/>
      <c r="V1874" s="22"/>
      <c r="W1874" s="22"/>
      <c r="X1874" s="22"/>
      <c r="Y1874" s="22"/>
      <c r="Z1874" s="22"/>
      <c r="AA1874" s="22"/>
      <c r="AB1874" s="22"/>
      <c r="AC1874" s="22"/>
      <c r="AD1874" s="22"/>
      <c r="AE1874" s="22"/>
      <c r="AF1874" s="22"/>
      <c r="AG1874" s="22"/>
      <c r="AH1874" s="22"/>
      <c r="AI1874" s="22"/>
      <c r="AJ1874" s="22"/>
      <c r="AK1874" s="22"/>
      <c r="AL1874" s="22"/>
      <c r="AM1874" s="22"/>
      <c r="AN1874" s="22"/>
      <c r="AO1874" s="22"/>
      <c r="AP1874" s="22"/>
      <c r="AQ1874" s="22"/>
      <c r="AR1874" s="22"/>
      <c r="AS1874" s="22"/>
      <c r="AT1874" s="22"/>
      <c r="AU1874" s="22"/>
      <c r="AV1874" s="22"/>
      <c r="AW1874" s="22"/>
      <c r="AX1874" s="22"/>
    </row>
    <row r="1875" spans="1:50" x14ac:dyDescent="0.35">
      <c r="A1875" s="23"/>
      <c r="B1875" s="23"/>
      <c r="C1875" s="23"/>
      <c r="D1875" s="23"/>
      <c r="E1875" s="23"/>
      <c r="F1875" s="23"/>
      <c r="G1875" s="23"/>
      <c r="H1875" s="23"/>
      <c r="I1875" s="23"/>
      <c r="J1875" s="23"/>
      <c r="K1875" s="23"/>
      <c r="L1875" s="23"/>
      <c r="M1875" s="23"/>
      <c r="N1875" s="23"/>
      <c r="O1875" s="23"/>
      <c r="P1875" s="23"/>
      <c r="Q1875" s="23"/>
      <c r="R1875" s="23"/>
      <c r="S1875" s="23"/>
      <c r="T1875" s="23"/>
      <c r="U1875" s="22"/>
      <c r="V1875" s="22"/>
      <c r="W1875" s="22"/>
      <c r="X1875" s="22"/>
      <c r="Y1875" s="22"/>
      <c r="Z1875" s="22"/>
      <c r="AA1875" s="22"/>
      <c r="AB1875" s="22"/>
      <c r="AC1875" s="22"/>
      <c r="AD1875" s="22"/>
      <c r="AE1875" s="22"/>
      <c r="AF1875" s="22"/>
      <c r="AG1875" s="22"/>
      <c r="AH1875" s="22"/>
      <c r="AI1875" s="22"/>
      <c r="AJ1875" s="22"/>
      <c r="AK1875" s="22"/>
      <c r="AL1875" s="22"/>
      <c r="AM1875" s="22"/>
      <c r="AN1875" s="22"/>
      <c r="AO1875" s="22"/>
      <c r="AP1875" s="22"/>
      <c r="AQ1875" s="22"/>
      <c r="AR1875" s="22"/>
      <c r="AS1875" s="22"/>
      <c r="AT1875" s="22"/>
      <c r="AU1875" s="22"/>
      <c r="AV1875" s="22"/>
      <c r="AW1875" s="22"/>
      <c r="AX1875" s="22"/>
    </row>
    <row r="1876" spans="1:50" x14ac:dyDescent="0.35">
      <c r="A1876" s="23"/>
      <c r="B1876" s="23"/>
      <c r="C1876" s="23"/>
      <c r="D1876" s="23"/>
      <c r="E1876" s="23"/>
      <c r="F1876" s="23"/>
      <c r="G1876" s="23"/>
      <c r="H1876" s="23"/>
      <c r="I1876" s="23"/>
      <c r="J1876" s="23"/>
      <c r="K1876" s="23"/>
      <c r="L1876" s="23"/>
      <c r="M1876" s="23"/>
      <c r="N1876" s="23"/>
      <c r="O1876" s="23"/>
      <c r="P1876" s="23"/>
      <c r="Q1876" s="23"/>
      <c r="R1876" s="23"/>
      <c r="S1876" s="23"/>
      <c r="T1876" s="23"/>
      <c r="U1876" s="22"/>
      <c r="V1876" s="22"/>
      <c r="W1876" s="22"/>
      <c r="X1876" s="22"/>
      <c r="Y1876" s="22"/>
      <c r="Z1876" s="22"/>
      <c r="AA1876" s="22"/>
      <c r="AB1876" s="22"/>
      <c r="AC1876" s="22"/>
      <c r="AD1876" s="22"/>
      <c r="AE1876" s="22"/>
      <c r="AF1876" s="22"/>
      <c r="AG1876" s="22"/>
      <c r="AH1876" s="22"/>
      <c r="AI1876" s="22"/>
      <c r="AJ1876" s="22"/>
      <c r="AK1876" s="22"/>
      <c r="AL1876" s="22"/>
      <c r="AM1876" s="22"/>
      <c r="AN1876" s="22"/>
      <c r="AO1876" s="22"/>
      <c r="AP1876" s="22"/>
      <c r="AQ1876" s="22"/>
      <c r="AR1876" s="22"/>
      <c r="AS1876" s="22"/>
      <c r="AT1876" s="22"/>
      <c r="AU1876" s="22"/>
      <c r="AV1876" s="22"/>
      <c r="AW1876" s="22"/>
      <c r="AX1876" s="22"/>
    </row>
    <row r="1877" spans="1:50" x14ac:dyDescent="0.35">
      <c r="A1877" s="23"/>
      <c r="B1877" s="23"/>
      <c r="C1877" s="23"/>
      <c r="D1877" s="23"/>
      <c r="E1877" s="23"/>
      <c r="F1877" s="23"/>
      <c r="G1877" s="23"/>
      <c r="H1877" s="23"/>
      <c r="I1877" s="23"/>
      <c r="J1877" s="23"/>
      <c r="K1877" s="23"/>
      <c r="L1877" s="23"/>
      <c r="M1877" s="23"/>
      <c r="N1877" s="23"/>
      <c r="O1877" s="23"/>
      <c r="P1877" s="23"/>
      <c r="Q1877" s="23"/>
      <c r="R1877" s="23"/>
      <c r="S1877" s="23"/>
      <c r="T1877" s="23"/>
      <c r="U1877" s="22"/>
      <c r="V1877" s="22"/>
      <c r="W1877" s="22"/>
      <c r="X1877" s="22"/>
      <c r="Y1877" s="22"/>
      <c r="Z1877" s="22"/>
      <c r="AA1877" s="22"/>
      <c r="AB1877" s="22"/>
      <c r="AC1877" s="22"/>
      <c r="AD1877" s="22"/>
      <c r="AE1877" s="22"/>
      <c r="AF1877" s="22"/>
      <c r="AG1877" s="22"/>
      <c r="AH1877" s="22"/>
      <c r="AI1877" s="22"/>
      <c r="AJ1877" s="22"/>
      <c r="AK1877" s="22"/>
      <c r="AL1877" s="22"/>
      <c r="AM1877" s="22"/>
      <c r="AN1877" s="22"/>
      <c r="AO1877" s="22"/>
      <c r="AP1877" s="22"/>
      <c r="AQ1877" s="22"/>
      <c r="AR1877" s="22"/>
      <c r="AS1877" s="22"/>
      <c r="AT1877" s="22"/>
      <c r="AU1877" s="22"/>
      <c r="AV1877" s="22"/>
      <c r="AW1877" s="22"/>
      <c r="AX1877" s="22"/>
    </row>
    <row r="1878" spans="1:50" x14ac:dyDescent="0.35">
      <c r="A1878" s="23"/>
      <c r="B1878" s="23"/>
      <c r="C1878" s="23"/>
      <c r="D1878" s="23"/>
      <c r="E1878" s="23"/>
      <c r="F1878" s="23"/>
      <c r="G1878" s="23"/>
      <c r="H1878" s="23"/>
      <c r="I1878" s="23"/>
      <c r="J1878" s="23"/>
      <c r="K1878" s="23"/>
      <c r="L1878" s="23"/>
      <c r="M1878" s="23"/>
      <c r="N1878" s="23"/>
      <c r="O1878" s="23"/>
      <c r="P1878" s="23"/>
      <c r="Q1878" s="23"/>
      <c r="R1878" s="23"/>
      <c r="S1878" s="23"/>
      <c r="T1878" s="23"/>
      <c r="U1878" s="22"/>
      <c r="V1878" s="22"/>
      <c r="W1878" s="22"/>
      <c r="X1878" s="22"/>
      <c r="Y1878" s="22"/>
      <c r="Z1878" s="22"/>
      <c r="AA1878" s="22"/>
      <c r="AB1878" s="22"/>
      <c r="AC1878" s="22"/>
      <c r="AD1878" s="22"/>
      <c r="AE1878" s="22"/>
      <c r="AF1878" s="22"/>
      <c r="AG1878" s="22"/>
      <c r="AH1878" s="22"/>
      <c r="AI1878" s="22"/>
      <c r="AJ1878" s="22"/>
      <c r="AK1878" s="22"/>
      <c r="AL1878" s="22"/>
      <c r="AM1878" s="22"/>
      <c r="AN1878" s="22"/>
      <c r="AO1878" s="22"/>
      <c r="AP1878" s="22"/>
      <c r="AQ1878" s="22"/>
      <c r="AR1878" s="22"/>
      <c r="AS1878" s="22"/>
      <c r="AT1878" s="22"/>
      <c r="AU1878" s="22"/>
      <c r="AV1878" s="22"/>
      <c r="AW1878" s="22"/>
      <c r="AX1878" s="22"/>
    </row>
    <row r="1879" spans="1:50" x14ac:dyDescent="0.35">
      <c r="A1879" s="23"/>
      <c r="B1879" s="23"/>
      <c r="C1879" s="23"/>
      <c r="D1879" s="23"/>
      <c r="E1879" s="23"/>
      <c r="F1879" s="23"/>
      <c r="G1879" s="23"/>
      <c r="H1879" s="23"/>
      <c r="I1879" s="23"/>
      <c r="J1879" s="23"/>
      <c r="K1879" s="23"/>
      <c r="L1879" s="23"/>
      <c r="M1879" s="23"/>
      <c r="N1879" s="23"/>
      <c r="O1879" s="23"/>
      <c r="P1879" s="23"/>
      <c r="Q1879" s="23"/>
      <c r="R1879" s="23"/>
      <c r="S1879" s="23"/>
      <c r="T1879" s="23"/>
      <c r="U1879" s="22"/>
      <c r="V1879" s="22"/>
      <c r="W1879" s="22"/>
      <c r="X1879" s="22"/>
      <c r="Y1879" s="22"/>
      <c r="Z1879" s="22"/>
      <c r="AA1879" s="22"/>
      <c r="AB1879" s="22"/>
      <c r="AC1879" s="22"/>
      <c r="AD1879" s="22"/>
      <c r="AE1879" s="22"/>
      <c r="AF1879" s="22"/>
      <c r="AG1879" s="22"/>
      <c r="AH1879" s="22"/>
      <c r="AI1879" s="22"/>
      <c r="AJ1879" s="22"/>
      <c r="AK1879" s="22"/>
      <c r="AL1879" s="22"/>
      <c r="AM1879" s="22"/>
      <c r="AN1879" s="22"/>
      <c r="AO1879" s="22"/>
      <c r="AP1879" s="22"/>
      <c r="AQ1879" s="22"/>
      <c r="AR1879" s="22"/>
      <c r="AS1879" s="22"/>
      <c r="AT1879" s="22"/>
      <c r="AU1879" s="22"/>
      <c r="AV1879" s="22"/>
      <c r="AW1879" s="22"/>
      <c r="AX1879" s="22"/>
    </row>
    <row r="1880" spans="1:50" x14ac:dyDescent="0.35">
      <c r="A1880" s="23"/>
      <c r="B1880" s="23"/>
      <c r="C1880" s="23"/>
      <c r="D1880" s="23"/>
      <c r="E1880" s="23"/>
      <c r="F1880" s="23"/>
      <c r="G1880" s="23"/>
      <c r="H1880" s="23"/>
      <c r="I1880" s="23"/>
      <c r="J1880" s="23"/>
      <c r="K1880" s="23"/>
      <c r="L1880" s="23"/>
      <c r="M1880" s="23"/>
      <c r="N1880" s="23"/>
      <c r="O1880" s="23"/>
      <c r="P1880" s="23"/>
      <c r="Q1880" s="23"/>
      <c r="R1880" s="23"/>
      <c r="S1880" s="23"/>
      <c r="T1880" s="23"/>
      <c r="U1880" s="22"/>
      <c r="V1880" s="22"/>
      <c r="W1880" s="22"/>
      <c r="X1880" s="22"/>
      <c r="Y1880" s="22"/>
      <c r="Z1880" s="22"/>
      <c r="AA1880" s="22"/>
      <c r="AB1880" s="22"/>
      <c r="AC1880" s="22"/>
      <c r="AD1880" s="22"/>
      <c r="AE1880" s="22"/>
      <c r="AF1880" s="22"/>
      <c r="AG1880" s="22"/>
      <c r="AH1880" s="22"/>
      <c r="AI1880" s="22"/>
      <c r="AJ1880" s="22"/>
      <c r="AK1880" s="22"/>
      <c r="AL1880" s="22"/>
      <c r="AM1880" s="22"/>
      <c r="AN1880" s="22"/>
      <c r="AO1880" s="22"/>
      <c r="AP1880" s="22"/>
      <c r="AQ1880" s="22"/>
      <c r="AR1880" s="22"/>
      <c r="AS1880" s="22"/>
      <c r="AT1880" s="22"/>
      <c r="AU1880" s="22"/>
      <c r="AV1880" s="22"/>
      <c r="AW1880" s="22"/>
      <c r="AX1880" s="22"/>
    </row>
    <row r="1881" spans="1:50" x14ac:dyDescent="0.35">
      <c r="A1881" s="23"/>
      <c r="B1881" s="23"/>
      <c r="C1881" s="23"/>
      <c r="D1881" s="23"/>
      <c r="E1881" s="23"/>
      <c r="F1881" s="23"/>
      <c r="G1881" s="23"/>
      <c r="H1881" s="23"/>
      <c r="I1881" s="23"/>
      <c r="J1881" s="23"/>
      <c r="K1881" s="23"/>
      <c r="L1881" s="23"/>
      <c r="M1881" s="23"/>
      <c r="N1881" s="23"/>
      <c r="O1881" s="23"/>
      <c r="P1881" s="23"/>
      <c r="Q1881" s="23"/>
      <c r="R1881" s="23"/>
      <c r="S1881" s="23"/>
      <c r="T1881" s="23"/>
      <c r="U1881" s="22"/>
      <c r="V1881" s="22"/>
      <c r="W1881" s="22"/>
      <c r="X1881" s="22"/>
      <c r="Y1881" s="22"/>
      <c r="Z1881" s="22"/>
      <c r="AA1881" s="22"/>
      <c r="AB1881" s="22"/>
      <c r="AC1881" s="22"/>
      <c r="AD1881" s="22"/>
      <c r="AE1881" s="22"/>
      <c r="AF1881" s="22"/>
      <c r="AG1881" s="22"/>
      <c r="AH1881" s="22"/>
      <c r="AI1881" s="22"/>
      <c r="AJ1881" s="22"/>
      <c r="AK1881" s="22"/>
      <c r="AL1881" s="22"/>
      <c r="AM1881" s="22"/>
      <c r="AN1881" s="22"/>
      <c r="AO1881" s="22"/>
      <c r="AP1881" s="22"/>
      <c r="AQ1881" s="22"/>
      <c r="AR1881" s="22"/>
      <c r="AS1881" s="22"/>
      <c r="AT1881" s="22"/>
      <c r="AU1881" s="22"/>
      <c r="AV1881" s="22"/>
      <c r="AW1881" s="22"/>
      <c r="AX1881" s="22"/>
    </row>
    <row r="1882" spans="1:50" x14ac:dyDescent="0.35">
      <c r="A1882" s="23"/>
      <c r="B1882" s="23"/>
      <c r="C1882" s="23"/>
      <c r="D1882" s="23"/>
      <c r="E1882" s="23"/>
      <c r="F1882" s="23"/>
      <c r="G1882" s="23"/>
      <c r="H1882" s="23"/>
      <c r="I1882" s="23"/>
      <c r="J1882" s="23"/>
      <c r="K1882" s="23"/>
      <c r="L1882" s="23"/>
      <c r="M1882" s="23"/>
      <c r="N1882" s="23"/>
      <c r="O1882" s="23"/>
      <c r="P1882" s="23"/>
      <c r="Q1882" s="23"/>
      <c r="R1882" s="23"/>
      <c r="S1882" s="23"/>
      <c r="T1882" s="23"/>
      <c r="U1882" s="22"/>
      <c r="V1882" s="22"/>
      <c r="W1882" s="22"/>
      <c r="X1882" s="22"/>
      <c r="Y1882" s="22"/>
      <c r="Z1882" s="22"/>
      <c r="AA1882" s="22"/>
      <c r="AB1882" s="22"/>
      <c r="AC1882" s="22"/>
      <c r="AD1882" s="22"/>
      <c r="AE1882" s="22"/>
      <c r="AF1882" s="22"/>
      <c r="AG1882" s="22"/>
      <c r="AH1882" s="22"/>
      <c r="AI1882" s="22"/>
      <c r="AJ1882" s="22"/>
      <c r="AK1882" s="22"/>
      <c r="AL1882" s="22"/>
      <c r="AM1882" s="22"/>
      <c r="AN1882" s="22"/>
      <c r="AO1882" s="22"/>
      <c r="AP1882" s="22"/>
      <c r="AQ1882" s="22"/>
      <c r="AR1882" s="22"/>
      <c r="AS1882" s="22"/>
      <c r="AT1882" s="22"/>
      <c r="AU1882" s="22"/>
      <c r="AV1882" s="22"/>
      <c r="AW1882" s="22"/>
      <c r="AX1882" s="22"/>
    </row>
    <row r="1883" spans="1:50" x14ac:dyDescent="0.35">
      <c r="A1883" s="23"/>
      <c r="B1883" s="23"/>
      <c r="C1883" s="23"/>
      <c r="D1883" s="23"/>
      <c r="E1883" s="23"/>
      <c r="F1883" s="23"/>
      <c r="G1883" s="23"/>
      <c r="H1883" s="23"/>
      <c r="I1883" s="23"/>
      <c r="J1883" s="23"/>
      <c r="K1883" s="23"/>
      <c r="L1883" s="23"/>
      <c r="M1883" s="23"/>
      <c r="N1883" s="23"/>
      <c r="O1883" s="23"/>
      <c r="P1883" s="23"/>
      <c r="Q1883" s="23"/>
      <c r="R1883" s="23"/>
      <c r="S1883" s="23"/>
      <c r="T1883" s="23"/>
      <c r="U1883" s="22"/>
      <c r="V1883" s="22"/>
      <c r="W1883" s="22"/>
      <c r="X1883" s="22"/>
      <c r="Y1883" s="22"/>
      <c r="Z1883" s="22"/>
      <c r="AA1883" s="22"/>
      <c r="AB1883" s="22"/>
      <c r="AC1883" s="22"/>
      <c r="AD1883" s="22"/>
      <c r="AE1883" s="22"/>
      <c r="AF1883" s="22"/>
      <c r="AG1883" s="22"/>
      <c r="AH1883" s="22"/>
      <c r="AI1883" s="22"/>
      <c r="AJ1883" s="22"/>
      <c r="AK1883" s="22"/>
      <c r="AL1883" s="22"/>
      <c r="AM1883" s="22"/>
      <c r="AN1883" s="22"/>
      <c r="AO1883" s="22"/>
      <c r="AP1883" s="22"/>
      <c r="AQ1883" s="22"/>
      <c r="AR1883" s="22"/>
      <c r="AS1883" s="22"/>
      <c r="AT1883" s="22"/>
      <c r="AU1883" s="22"/>
      <c r="AV1883" s="22"/>
      <c r="AW1883" s="22"/>
      <c r="AX1883" s="22"/>
    </row>
    <row r="1884" spans="1:50" x14ac:dyDescent="0.35">
      <c r="A1884" s="23"/>
      <c r="B1884" s="23"/>
      <c r="C1884" s="23"/>
      <c r="D1884" s="23"/>
      <c r="E1884" s="23"/>
      <c r="F1884" s="23"/>
      <c r="G1884" s="23"/>
      <c r="H1884" s="23"/>
      <c r="I1884" s="23"/>
      <c r="J1884" s="23"/>
      <c r="K1884" s="23"/>
      <c r="L1884" s="23"/>
      <c r="M1884" s="23"/>
      <c r="N1884" s="23"/>
      <c r="O1884" s="23"/>
      <c r="P1884" s="23"/>
      <c r="Q1884" s="23"/>
      <c r="R1884" s="23"/>
      <c r="S1884" s="23"/>
      <c r="T1884" s="23"/>
      <c r="U1884" s="22"/>
      <c r="V1884" s="22"/>
      <c r="W1884" s="22"/>
      <c r="X1884" s="22"/>
      <c r="Y1884" s="22"/>
      <c r="Z1884" s="22"/>
      <c r="AA1884" s="22"/>
      <c r="AB1884" s="22"/>
      <c r="AC1884" s="22"/>
      <c r="AD1884" s="22"/>
      <c r="AE1884" s="22"/>
      <c r="AF1884" s="22"/>
      <c r="AG1884" s="22"/>
      <c r="AH1884" s="22"/>
      <c r="AI1884" s="22"/>
      <c r="AJ1884" s="22"/>
      <c r="AK1884" s="22"/>
      <c r="AL1884" s="22"/>
      <c r="AM1884" s="22"/>
      <c r="AN1884" s="22"/>
      <c r="AO1884" s="22"/>
      <c r="AP1884" s="22"/>
      <c r="AQ1884" s="22"/>
      <c r="AR1884" s="22"/>
      <c r="AS1884" s="22"/>
      <c r="AT1884" s="22"/>
      <c r="AU1884" s="22"/>
      <c r="AV1884" s="22"/>
      <c r="AW1884" s="22"/>
      <c r="AX1884" s="22"/>
    </row>
    <row r="1885" spans="1:50" x14ac:dyDescent="0.35">
      <c r="A1885" s="23"/>
      <c r="B1885" s="23"/>
      <c r="C1885" s="23"/>
      <c r="D1885" s="23"/>
      <c r="E1885" s="23"/>
      <c r="F1885" s="23"/>
      <c r="G1885" s="23"/>
      <c r="H1885" s="23"/>
      <c r="I1885" s="23"/>
      <c r="J1885" s="23"/>
      <c r="K1885" s="23"/>
      <c r="L1885" s="23"/>
      <c r="M1885" s="23"/>
      <c r="N1885" s="23"/>
      <c r="O1885" s="23"/>
      <c r="P1885" s="23"/>
      <c r="Q1885" s="23"/>
      <c r="R1885" s="23"/>
      <c r="S1885" s="23"/>
      <c r="T1885" s="23"/>
      <c r="U1885" s="22"/>
      <c r="V1885" s="22"/>
      <c r="W1885" s="22"/>
      <c r="X1885" s="22"/>
      <c r="Y1885" s="22"/>
      <c r="Z1885" s="22"/>
      <c r="AA1885" s="22"/>
      <c r="AB1885" s="22"/>
      <c r="AC1885" s="22"/>
      <c r="AD1885" s="22"/>
      <c r="AE1885" s="22"/>
      <c r="AF1885" s="22"/>
      <c r="AG1885" s="22"/>
      <c r="AH1885" s="22"/>
      <c r="AI1885" s="22"/>
      <c r="AJ1885" s="22"/>
      <c r="AK1885" s="22"/>
      <c r="AL1885" s="22"/>
      <c r="AM1885" s="22"/>
      <c r="AN1885" s="22"/>
      <c r="AO1885" s="22"/>
      <c r="AP1885" s="22"/>
      <c r="AQ1885" s="22"/>
      <c r="AR1885" s="22"/>
      <c r="AS1885" s="22"/>
      <c r="AT1885" s="22"/>
      <c r="AU1885" s="22"/>
      <c r="AV1885" s="22"/>
      <c r="AW1885" s="22"/>
      <c r="AX1885" s="22"/>
    </row>
    <row r="1886" spans="1:50" x14ac:dyDescent="0.35">
      <c r="A1886" s="23"/>
      <c r="B1886" s="23"/>
      <c r="C1886" s="23"/>
      <c r="D1886" s="23"/>
      <c r="E1886" s="23"/>
      <c r="F1886" s="23"/>
      <c r="G1886" s="23"/>
      <c r="H1886" s="23"/>
      <c r="I1886" s="23"/>
      <c r="J1886" s="23"/>
      <c r="K1886" s="23"/>
      <c r="L1886" s="23"/>
      <c r="M1886" s="23"/>
      <c r="N1886" s="23"/>
      <c r="O1886" s="23"/>
      <c r="P1886" s="23"/>
      <c r="Q1886" s="23"/>
      <c r="R1886" s="23"/>
      <c r="S1886" s="23"/>
      <c r="T1886" s="23"/>
      <c r="U1886" s="22"/>
      <c r="V1886" s="22"/>
      <c r="W1886" s="22"/>
      <c r="X1886" s="22"/>
      <c r="Y1886" s="22"/>
      <c r="Z1886" s="22"/>
      <c r="AA1886" s="22"/>
      <c r="AB1886" s="22"/>
      <c r="AC1886" s="22"/>
      <c r="AD1886" s="22"/>
      <c r="AE1886" s="22"/>
      <c r="AF1886" s="22"/>
      <c r="AG1886" s="22"/>
      <c r="AH1886" s="22"/>
      <c r="AI1886" s="22"/>
      <c r="AJ1886" s="22"/>
      <c r="AK1886" s="22"/>
      <c r="AL1886" s="22"/>
      <c r="AM1886" s="22"/>
      <c r="AN1886" s="22"/>
      <c r="AO1886" s="22"/>
      <c r="AP1886" s="22"/>
      <c r="AQ1886" s="22"/>
      <c r="AR1886" s="22"/>
      <c r="AS1886" s="22"/>
      <c r="AT1886" s="22"/>
      <c r="AU1886" s="22"/>
      <c r="AV1886" s="22"/>
      <c r="AW1886" s="22"/>
      <c r="AX1886" s="22"/>
    </row>
    <row r="1887" spans="1:50" x14ac:dyDescent="0.35">
      <c r="A1887" s="23"/>
      <c r="B1887" s="23"/>
      <c r="C1887" s="23"/>
      <c r="D1887" s="23"/>
      <c r="E1887" s="23"/>
      <c r="F1887" s="23"/>
      <c r="G1887" s="23"/>
      <c r="H1887" s="23"/>
      <c r="I1887" s="23"/>
      <c r="J1887" s="23"/>
      <c r="K1887" s="23"/>
      <c r="L1887" s="23"/>
      <c r="M1887" s="23"/>
      <c r="N1887" s="23"/>
      <c r="O1887" s="23"/>
      <c r="P1887" s="23"/>
      <c r="Q1887" s="23"/>
      <c r="R1887" s="23"/>
      <c r="S1887" s="23"/>
      <c r="T1887" s="23"/>
      <c r="U1887" s="22"/>
      <c r="V1887" s="22"/>
      <c r="W1887" s="22"/>
      <c r="X1887" s="22"/>
      <c r="Y1887" s="22"/>
      <c r="Z1887" s="22"/>
      <c r="AA1887" s="22"/>
      <c r="AB1887" s="22"/>
      <c r="AC1887" s="22"/>
      <c r="AD1887" s="22"/>
      <c r="AE1887" s="22"/>
      <c r="AF1887" s="22"/>
      <c r="AG1887" s="22"/>
      <c r="AH1887" s="22"/>
      <c r="AI1887" s="22"/>
      <c r="AJ1887" s="22"/>
      <c r="AK1887" s="22"/>
      <c r="AL1887" s="22"/>
      <c r="AM1887" s="22"/>
      <c r="AN1887" s="22"/>
      <c r="AO1887" s="22"/>
      <c r="AP1887" s="22"/>
      <c r="AQ1887" s="22"/>
      <c r="AR1887" s="22"/>
      <c r="AS1887" s="22"/>
      <c r="AT1887" s="22"/>
      <c r="AU1887" s="22"/>
      <c r="AV1887" s="22"/>
      <c r="AW1887" s="22"/>
      <c r="AX1887" s="22"/>
    </row>
    <row r="1888" spans="1:50" x14ac:dyDescent="0.35">
      <c r="A1888" s="23"/>
      <c r="B1888" s="23"/>
      <c r="C1888" s="23"/>
      <c r="D1888" s="23"/>
      <c r="E1888" s="23"/>
      <c r="F1888" s="23"/>
      <c r="G1888" s="23"/>
      <c r="H1888" s="23"/>
      <c r="I1888" s="23"/>
      <c r="J1888" s="23"/>
      <c r="K1888" s="23"/>
      <c r="L1888" s="23"/>
      <c r="M1888" s="23"/>
      <c r="N1888" s="23"/>
      <c r="O1888" s="23"/>
      <c r="P1888" s="23"/>
      <c r="Q1888" s="23"/>
      <c r="R1888" s="23"/>
      <c r="S1888" s="23"/>
      <c r="T1888" s="23"/>
      <c r="U1888" s="22"/>
      <c r="V1888" s="22"/>
      <c r="W1888" s="22"/>
      <c r="X1888" s="22"/>
      <c r="Y1888" s="22"/>
      <c r="Z1888" s="22"/>
      <c r="AA1888" s="22"/>
      <c r="AB1888" s="22"/>
      <c r="AC1888" s="22"/>
      <c r="AD1888" s="22"/>
      <c r="AE1888" s="22"/>
      <c r="AF1888" s="22"/>
      <c r="AG1888" s="22"/>
      <c r="AH1888" s="22"/>
      <c r="AI1888" s="22"/>
      <c r="AJ1888" s="22"/>
      <c r="AK1888" s="22"/>
      <c r="AL1888" s="22"/>
      <c r="AM1888" s="22"/>
      <c r="AN1888" s="22"/>
      <c r="AO1888" s="22"/>
      <c r="AP1888" s="22"/>
      <c r="AQ1888" s="22"/>
      <c r="AR1888" s="22"/>
      <c r="AS1888" s="22"/>
      <c r="AT1888" s="22"/>
      <c r="AU1888" s="22"/>
      <c r="AV1888" s="22"/>
      <c r="AW1888" s="22"/>
      <c r="AX1888" s="22"/>
    </row>
    <row r="1889" spans="1:50" x14ac:dyDescent="0.35">
      <c r="A1889" s="23"/>
      <c r="B1889" s="23"/>
      <c r="C1889" s="23"/>
      <c r="D1889" s="23"/>
      <c r="E1889" s="23"/>
      <c r="F1889" s="23"/>
      <c r="G1889" s="23"/>
      <c r="H1889" s="23"/>
      <c r="I1889" s="23"/>
      <c r="J1889" s="23"/>
      <c r="K1889" s="23"/>
      <c r="L1889" s="23"/>
      <c r="M1889" s="23"/>
      <c r="N1889" s="23"/>
      <c r="O1889" s="23"/>
      <c r="P1889" s="23"/>
      <c r="Q1889" s="23"/>
      <c r="R1889" s="23"/>
      <c r="S1889" s="23"/>
      <c r="T1889" s="23"/>
      <c r="U1889" s="22"/>
      <c r="V1889" s="22"/>
      <c r="W1889" s="22"/>
      <c r="X1889" s="22"/>
      <c r="Y1889" s="22"/>
      <c r="Z1889" s="22"/>
      <c r="AA1889" s="22"/>
      <c r="AB1889" s="22"/>
      <c r="AC1889" s="22"/>
      <c r="AD1889" s="22"/>
      <c r="AE1889" s="22"/>
      <c r="AF1889" s="22"/>
      <c r="AG1889" s="22"/>
      <c r="AH1889" s="22"/>
      <c r="AI1889" s="22"/>
      <c r="AJ1889" s="22"/>
      <c r="AK1889" s="22"/>
      <c r="AL1889" s="22"/>
      <c r="AM1889" s="22"/>
      <c r="AN1889" s="22"/>
      <c r="AO1889" s="22"/>
      <c r="AP1889" s="22"/>
      <c r="AQ1889" s="22"/>
      <c r="AR1889" s="22"/>
      <c r="AS1889" s="22"/>
      <c r="AT1889" s="22"/>
      <c r="AU1889" s="22"/>
      <c r="AV1889" s="22"/>
      <c r="AW1889" s="22"/>
      <c r="AX1889" s="22"/>
    </row>
    <row r="1890" spans="1:50" x14ac:dyDescent="0.35">
      <c r="A1890" s="23"/>
      <c r="B1890" s="23"/>
      <c r="C1890" s="23"/>
      <c r="D1890" s="23"/>
      <c r="E1890" s="23"/>
      <c r="F1890" s="23"/>
      <c r="G1890" s="23"/>
      <c r="H1890" s="23"/>
      <c r="I1890" s="23"/>
      <c r="J1890" s="23"/>
      <c r="K1890" s="23"/>
      <c r="L1890" s="23"/>
      <c r="M1890" s="23"/>
      <c r="N1890" s="23"/>
      <c r="O1890" s="23"/>
      <c r="P1890" s="23"/>
      <c r="Q1890" s="23"/>
      <c r="R1890" s="23"/>
      <c r="S1890" s="23"/>
      <c r="T1890" s="23"/>
      <c r="U1890" s="22"/>
      <c r="V1890" s="22"/>
      <c r="W1890" s="22"/>
      <c r="X1890" s="22"/>
      <c r="Y1890" s="22"/>
      <c r="Z1890" s="22"/>
      <c r="AA1890" s="22"/>
      <c r="AB1890" s="22"/>
      <c r="AC1890" s="22"/>
      <c r="AD1890" s="22"/>
      <c r="AE1890" s="22"/>
      <c r="AF1890" s="22"/>
      <c r="AG1890" s="22"/>
      <c r="AH1890" s="22"/>
      <c r="AI1890" s="22"/>
      <c r="AJ1890" s="22"/>
      <c r="AK1890" s="22"/>
      <c r="AL1890" s="22"/>
      <c r="AM1890" s="22"/>
      <c r="AN1890" s="22"/>
      <c r="AO1890" s="22"/>
      <c r="AP1890" s="22"/>
      <c r="AQ1890" s="22"/>
      <c r="AR1890" s="22"/>
      <c r="AS1890" s="22"/>
      <c r="AT1890" s="22"/>
      <c r="AU1890" s="22"/>
      <c r="AV1890" s="22"/>
      <c r="AW1890" s="22"/>
      <c r="AX1890" s="22"/>
    </row>
    <row r="1891" spans="1:50" x14ac:dyDescent="0.35">
      <c r="A1891" s="23"/>
      <c r="B1891" s="23"/>
      <c r="C1891" s="23"/>
      <c r="D1891" s="23"/>
      <c r="E1891" s="23"/>
      <c r="F1891" s="23"/>
      <c r="G1891" s="23"/>
      <c r="H1891" s="23"/>
      <c r="I1891" s="23"/>
      <c r="J1891" s="23"/>
      <c r="K1891" s="23"/>
      <c r="L1891" s="23"/>
      <c r="M1891" s="23"/>
      <c r="N1891" s="23"/>
      <c r="O1891" s="23"/>
      <c r="P1891" s="23"/>
      <c r="Q1891" s="23"/>
      <c r="R1891" s="23"/>
      <c r="S1891" s="23"/>
      <c r="T1891" s="23"/>
      <c r="U1891" s="22"/>
      <c r="V1891" s="22"/>
      <c r="W1891" s="22"/>
      <c r="X1891" s="22"/>
      <c r="Y1891" s="22"/>
      <c r="Z1891" s="22"/>
      <c r="AA1891" s="22"/>
      <c r="AB1891" s="22"/>
      <c r="AC1891" s="22"/>
      <c r="AD1891" s="22"/>
      <c r="AE1891" s="22"/>
      <c r="AF1891" s="22"/>
      <c r="AG1891" s="22"/>
      <c r="AH1891" s="22"/>
      <c r="AI1891" s="22"/>
      <c r="AJ1891" s="22"/>
      <c r="AK1891" s="22"/>
      <c r="AL1891" s="22"/>
      <c r="AM1891" s="22"/>
      <c r="AN1891" s="22"/>
      <c r="AO1891" s="22"/>
      <c r="AP1891" s="22"/>
      <c r="AQ1891" s="22"/>
      <c r="AR1891" s="22"/>
      <c r="AS1891" s="22"/>
      <c r="AT1891" s="22"/>
      <c r="AU1891" s="22"/>
      <c r="AV1891" s="22"/>
      <c r="AW1891" s="22"/>
      <c r="AX1891" s="22"/>
    </row>
    <row r="1892" spans="1:50" x14ac:dyDescent="0.35">
      <c r="A1892" s="23"/>
      <c r="B1892" s="23"/>
      <c r="C1892" s="23"/>
      <c r="D1892" s="23"/>
      <c r="E1892" s="23"/>
      <c r="F1892" s="23"/>
      <c r="G1892" s="23"/>
      <c r="H1892" s="23"/>
      <c r="I1892" s="23"/>
      <c r="J1892" s="23"/>
      <c r="K1892" s="23"/>
      <c r="L1892" s="23"/>
      <c r="M1892" s="23"/>
      <c r="N1892" s="23"/>
      <c r="O1892" s="23"/>
      <c r="P1892" s="23"/>
      <c r="Q1892" s="23"/>
      <c r="R1892" s="23"/>
      <c r="S1892" s="23"/>
      <c r="T1892" s="23"/>
      <c r="U1892" s="22"/>
      <c r="V1892" s="22"/>
      <c r="W1892" s="22"/>
      <c r="X1892" s="22"/>
      <c r="Y1892" s="22"/>
      <c r="Z1892" s="22"/>
      <c r="AA1892" s="22"/>
      <c r="AB1892" s="22"/>
      <c r="AC1892" s="22"/>
      <c r="AD1892" s="22"/>
      <c r="AE1892" s="22"/>
      <c r="AF1892" s="22"/>
      <c r="AG1892" s="22"/>
      <c r="AH1892" s="22"/>
      <c r="AI1892" s="22"/>
      <c r="AJ1892" s="22"/>
      <c r="AK1892" s="22"/>
      <c r="AL1892" s="22"/>
      <c r="AM1892" s="22"/>
      <c r="AN1892" s="22"/>
      <c r="AO1892" s="22"/>
      <c r="AP1892" s="22"/>
      <c r="AQ1892" s="22"/>
      <c r="AR1892" s="22"/>
      <c r="AS1892" s="22"/>
      <c r="AT1892" s="22"/>
      <c r="AU1892" s="22"/>
      <c r="AV1892" s="22"/>
      <c r="AW1892" s="22"/>
      <c r="AX1892" s="22"/>
    </row>
    <row r="1893" spans="1:50" x14ac:dyDescent="0.35">
      <c r="A1893" s="23"/>
      <c r="B1893" s="23"/>
      <c r="C1893" s="23"/>
      <c r="D1893" s="23"/>
      <c r="E1893" s="23"/>
      <c r="F1893" s="23"/>
      <c r="G1893" s="23"/>
      <c r="H1893" s="23"/>
      <c r="I1893" s="23"/>
      <c r="J1893" s="23"/>
      <c r="K1893" s="23"/>
      <c r="L1893" s="23"/>
      <c r="M1893" s="23"/>
      <c r="N1893" s="23"/>
      <c r="O1893" s="23"/>
      <c r="P1893" s="23"/>
      <c r="Q1893" s="23"/>
      <c r="R1893" s="23"/>
      <c r="S1893" s="23"/>
      <c r="T1893" s="23"/>
      <c r="U1893" s="22"/>
      <c r="V1893" s="22"/>
      <c r="W1893" s="22"/>
      <c r="X1893" s="22"/>
      <c r="Y1893" s="22"/>
      <c r="Z1893" s="22"/>
      <c r="AA1893" s="22"/>
      <c r="AB1893" s="22"/>
      <c r="AC1893" s="22"/>
      <c r="AD1893" s="22"/>
      <c r="AE1893" s="22"/>
      <c r="AF1893" s="22"/>
      <c r="AG1893" s="22"/>
      <c r="AH1893" s="22"/>
      <c r="AI1893" s="22"/>
      <c r="AJ1893" s="22"/>
      <c r="AK1893" s="22"/>
      <c r="AL1893" s="22"/>
      <c r="AM1893" s="22"/>
      <c r="AN1893" s="22"/>
      <c r="AO1893" s="22"/>
      <c r="AP1893" s="22"/>
      <c r="AQ1893" s="22"/>
      <c r="AR1893" s="22"/>
      <c r="AS1893" s="22"/>
      <c r="AT1893" s="22"/>
      <c r="AU1893" s="22"/>
      <c r="AV1893" s="22"/>
      <c r="AW1893" s="22"/>
      <c r="AX1893" s="22"/>
    </row>
    <row r="1894" spans="1:50" x14ac:dyDescent="0.35">
      <c r="A1894" s="23"/>
      <c r="B1894" s="23"/>
      <c r="C1894" s="23"/>
      <c r="D1894" s="23"/>
      <c r="E1894" s="23"/>
      <c r="F1894" s="23"/>
      <c r="G1894" s="23"/>
      <c r="H1894" s="23"/>
      <c r="I1894" s="23"/>
      <c r="J1894" s="23"/>
      <c r="K1894" s="23"/>
      <c r="L1894" s="23"/>
      <c r="M1894" s="23"/>
      <c r="N1894" s="23"/>
      <c r="O1894" s="23"/>
      <c r="P1894" s="23"/>
      <c r="Q1894" s="23"/>
      <c r="R1894" s="23"/>
      <c r="S1894" s="23"/>
      <c r="T1894" s="23"/>
      <c r="U1894" s="22"/>
      <c r="V1894" s="22"/>
      <c r="W1894" s="22"/>
      <c r="X1894" s="22"/>
      <c r="Y1894" s="22"/>
      <c r="Z1894" s="22"/>
      <c r="AA1894" s="22"/>
      <c r="AB1894" s="22"/>
      <c r="AC1894" s="22"/>
      <c r="AD1894" s="22"/>
      <c r="AE1894" s="22"/>
      <c r="AF1894" s="22"/>
      <c r="AG1894" s="22"/>
      <c r="AH1894" s="22"/>
      <c r="AI1894" s="22"/>
      <c r="AJ1894" s="22"/>
      <c r="AK1894" s="22"/>
      <c r="AL1894" s="22"/>
      <c r="AM1894" s="22"/>
      <c r="AN1894" s="22"/>
      <c r="AO1894" s="22"/>
      <c r="AP1894" s="22"/>
      <c r="AQ1894" s="22"/>
      <c r="AR1894" s="22"/>
      <c r="AS1894" s="22"/>
      <c r="AT1894" s="22"/>
      <c r="AU1894" s="22"/>
      <c r="AV1894" s="22"/>
      <c r="AW1894" s="22"/>
      <c r="AX1894" s="22"/>
    </row>
    <row r="1895" spans="1:50" x14ac:dyDescent="0.35">
      <c r="A1895" s="23"/>
      <c r="B1895" s="23"/>
      <c r="C1895" s="23"/>
      <c r="D1895" s="23"/>
      <c r="E1895" s="23"/>
      <c r="F1895" s="23"/>
      <c r="G1895" s="23"/>
      <c r="H1895" s="23"/>
      <c r="I1895" s="23"/>
      <c r="J1895" s="23"/>
      <c r="K1895" s="23"/>
      <c r="L1895" s="23"/>
      <c r="M1895" s="23"/>
      <c r="N1895" s="23"/>
      <c r="O1895" s="23"/>
      <c r="P1895" s="23"/>
      <c r="Q1895" s="23"/>
      <c r="R1895" s="23"/>
      <c r="S1895" s="23"/>
      <c r="T1895" s="23"/>
      <c r="U1895" s="22"/>
      <c r="V1895" s="22"/>
      <c r="W1895" s="22"/>
      <c r="X1895" s="22"/>
      <c r="Y1895" s="22"/>
      <c r="Z1895" s="22"/>
      <c r="AA1895" s="22"/>
      <c r="AB1895" s="22"/>
      <c r="AC1895" s="22"/>
      <c r="AD1895" s="22"/>
      <c r="AE1895" s="22"/>
      <c r="AF1895" s="22"/>
      <c r="AG1895" s="22"/>
      <c r="AH1895" s="22"/>
      <c r="AI1895" s="22"/>
      <c r="AJ1895" s="22"/>
      <c r="AK1895" s="22"/>
      <c r="AL1895" s="22"/>
      <c r="AM1895" s="22"/>
      <c r="AN1895" s="22"/>
      <c r="AO1895" s="22"/>
      <c r="AP1895" s="22"/>
      <c r="AQ1895" s="22"/>
      <c r="AR1895" s="22"/>
      <c r="AS1895" s="22"/>
      <c r="AT1895" s="22"/>
      <c r="AU1895" s="22"/>
      <c r="AV1895" s="22"/>
      <c r="AW1895" s="22"/>
      <c r="AX1895" s="22"/>
    </row>
    <row r="1896" spans="1:50" x14ac:dyDescent="0.35">
      <c r="A1896" s="23"/>
      <c r="B1896" s="23"/>
      <c r="C1896" s="23"/>
      <c r="D1896" s="23"/>
      <c r="E1896" s="23"/>
      <c r="F1896" s="23"/>
      <c r="G1896" s="23"/>
      <c r="H1896" s="23"/>
      <c r="I1896" s="23"/>
      <c r="J1896" s="23"/>
      <c r="K1896" s="23"/>
      <c r="L1896" s="23"/>
      <c r="M1896" s="23"/>
      <c r="N1896" s="23"/>
      <c r="O1896" s="23"/>
      <c r="P1896" s="23"/>
      <c r="Q1896" s="23"/>
      <c r="R1896" s="23"/>
      <c r="S1896" s="23"/>
      <c r="T1896" s="23"/>
      <c r="U1896" s="22"/>
      <c r="V1896" s="22"/>
      <c r="W1896" s="22"/>
      <c r="X1896" s="22"/>
      <c r="Y1896" s="22"/>
      <c r="Z1896" s="22"/>
      <c r="AA1896" s="22"/>
      <c r="AB1896" s="22"/>
      <c r="AC1896" s="22"/>
      <c r="AD1896" s="22"/>
      <c r="AE1896" s="22"/>
      <c r="AF1896" s="22"/>
      <c r="AG1896" s="22"/>
      <c r="AH1896" s="22"/>
      <c r="AI1896" s="22"/>
      <c r="AJ1896" s="22"/>
      <c r="AK1896" s="22"/>
      <c r="AL1896" s="22"/>
      <c r="AM1896" s="22"/>
      <c r="AN1896" s="22"/>
      <c r="AO1896" s="22"/>
      <c r="AP1896" s="22"/>
      <c r="AQ1896" s="22"/>
      <c r="AR1896" s="22"/>
      <c r="AS1896" s="22"/>
      <c r="AT1896" s="22"/>
      <c r="AU1896" s="22"/>
      <c r="AV1896" s="22"/>
      <c r="AW1896" s="22"/>
      <c r="AX1896" s="22"/>
    </row>
    <row r="1897" spans="1:50" x14ac:dyDescent="0.35">
      <c r="A1897" s="23"/>
      <c r="B1897" s="23"/>
      <c r="C1897" s="23"/>
      <c r="D1897" s="23"/>
      <c r="E1897" s="23"/>
      <c r="F1897" s="23"/>
      <c r="G1897" s="23"/>
      <c r="H1897" s="23"/>
      <c r="I1897" s="23"/>
      <c r="J1897" s="23"/>
      <c r="K1897" s="23"/>
      <c r="L1897" s="23"/>
      <c r="M1897" s="23"/>
      <c r="N1897" s="23"/>
      <c r="O1897" s="23"/>
      <c r="P1897" s="23"/>
      <c r="Q1897" s="23"/>
      <c r="R1897" s="23"/>
      <c r="S1897" s="23"/>
      <c r="T1897" s="23"/>
      <c r="U1897" s="22"/>
      <c r="V1897" s="22"/>
      <c r="W1897" s="22"/>
      <c r="X1897" s="22"/>
      <c r="Y1897" s="22"/>
      <c r="Z1897" s="22"/>
      <c r="AA1897" s="22"/>
      <c r="AB1897" s="22"/>
      <c r="AC1897" s="22"/>
      <c r="AD1897" s="22"/>
      <c r="AE1897" s="22"/>
      <c r="AF1897" s="22"/>
      <c r="AG1897" s="22"/>
      <c r="AH1897" s="22"/>
      <c r="AI1897" s="22"/>
      <c r="AJ1897" s="22"/>
      <c r="AK1897" s="22"/>
      <c r="AL1897" s="22"/>
      <c r="AM1897" s="22"/>
      <c r="AN1897" s="22"/>
      <c r="AO1897" s="22"/>
      <c r="AP1897" s="22"/>
      <c r="AQ1897" s="22"/>
      <c r="AR1897" s="22"/>
      <c r="AS1897" s="22"/>
      <c r="AT1897" s="22"/>
      <c r="AU1897" s="22"/>
      <c r="AV1897" s="22"/>
      <c r="AW1897" s="22"/>
      <c r="AX1897" s="22"/>
    </row>
    <row r="1898" spans="1:50" x14ac:dyDescent="0.35">
      <c r="A1898" s="23"/>
      <c r="B1898" s="23"/>
      <c r="C1898" s="23"/>
      <c r="D1898" s="23"/>
      <c r="E1898" s="23"/>
      <c r="F1898" s="23"/>
      <c r="G1898" s="23"/>
      <c r="H1898" s="23"/>
      <c r="I1898" s="23"/>
      <c r="J1898" s="23"/>
      <c r="K1898" s="23"/>
      <c r="L1898" s="23"/>
      <c r="M1898" s="23"/>
      <c r="N1898" s="23"/>
      <c r="O1898" s="23"/>
      <c r="P1898" s="23"/>
      <c r="Q1898" s="23"/>
      <c r="R1898" s="23"/>
      <c r="S1898" s="23"/>
      <c r="T1898" s="23"/>
      <c r="U1898" s="22"/>
      <c r="V1898" s="22"/>
      <c r="W1898" s="22"/>
      <c r="X1898" s="22"/>
      <c r="Y1898" s="22"/>
      <c r="Z1898" s="22"/>
      <c r="AA1898" s="22"/>
      <c r="AB1898" s="22"/>
      <c r="AC1898" s="22"/>
      <c r="AD1898" s="22"/>
      <c r="AE1898" s="22"/>
      <c r="AF1898" s="22"/>
      <c r="AG1898" s="22"/>
      <c r="AH1898" s="22"/>
      <c r="AI1898" s="22"/>
      <c r="AJ1898" s="22"/>
      <c r="AK1898" s="22"/>
      <c r="AL1898" s="22"/>
      <c r="AM1898" s="22"/>
      <c r="AN1898" s="22"/>
      <c r="AO1898" s="22"/>
      <c r="AP1898" s="22"/>
      <c r="AQ1898" s="22"/>
      <c r="AR1898" s="22"/>
      <c r="AS1898" s="22"/>
      <c r="AT1898" s="22"/>
      <c r="AU1898" s="22"/>
      <c r="AV1898" s="22"/>
      <c r="AW1898" s="22"/>
      <c r="AX1898" s="22"/>
    </row>
    <row r="1899" spans="1:50" x14ac:dyDescent="0.35">
      <c r="A1899" s="23"/>
      <c r="B1899" s="23"/>
      <c r="C1899" s="23"/>
      <c r="D1899" s="23"/>
      <c r="E1899" s="23"/>
      <c r="F1899" s="23"/>
      <c r="G1899" s="23"/>
      <c r="H1899" s="23"/>
      <c r="I1899" s="23"/>
      <c r="J1899" s="23"/>
      <c r="K1899" s="23"/>
      <c r="L1899" s="23"/>
      <c r="M1899" s="23"/>
      <c r="N1899" s="23"/>
      <c r="O1899" s="23"/>
      <c r="P1899" s="23"/>
      <c r="Q1899" s="23"/>
      <c r="R1899" s="23"/>
      <c r="S1899" s="23"/>
      <c r="T1899" s="23"/>
      <c r="U1899" s="22"/>
      <c r="V1899" s="22"/>
      <c r="W1899" s="22"/>
      <c r="X1899" s="22"/>
      <c r="Y1899" s="22"/>
      <c r="Z1899" s="22"/>
      <c r="AA1899" s="22"/>
      <c r="AB1899" s="22"/>
      <c r="AC1899" s="22"/>
      <c r="AD1899" s="22"/>
      <c r="AE1899" s="22"/>
      <c r="AF1899" s="22"/>
      <c r="AG1899" s="22"/>
      <c r="AH1899" s="22"/>
      <c r="AI1899" s="22"/>
      <c r="AJ1899" s="22"/>
      <c r="AK1899" s="22"/>
      <c r="AL1899" s="22"/>
      <c r="AM1899" s="22"/>
      <c r="AN1899" s="22"/>
      <c r="AO1899" s="22"/>
      <c r="AP1899" s="22"/>
      <c r="AQ1899" s="22"/>
      <c r="AR1899" s="22"/>
      <c r="AS1899" s="22"/>
      <c r="AT1899" s="22"/>
      <c r="AU1899" s="22"/>
      <c r="AV1899" s="22"/>
      <c r="AW1899" s="22"/>
      <c r="AX1899" s="22"/>
    </row>
    <row r="1900" spans="1:50" x14ac:dyDescent="0.35">
      <c r="A1900" s="23"/>
      <c r="B1900" s="23"/>
      <c r="C1900" s="23"/>
      <c r="D1900" s="23"/>
      <c r="E1900" s="23"/>
      <c r="F1900" s="23"/>
      <c r="G1900" s="23"/>
      <c r="H1900" s="23"/>
      <c r="I1900" s="23"/>
      <c r="J1900" s="23"/>
      <c r="K1900" s="23"/>
      <c r="L1900" s="23"/>
      <c r="M1900" s="23"/>
      <c r="N1900" s="23"/>
      <c r="O1900" s="23"/>
      <c r="P1900" s="23"/>
      <c r="Q1900" s="23"/>
      <c r="R1900" s="23"/>
      <c r="S1900" s="23"/>
      <c r="T1900" s="23"/>
      <c r="U1900" s="22"/>
      <c r="V1900" s="22"/>
      <c r="W1900" s="22"/>
      <c r="X1900" s="22"/>
      <c r="Y1900" s="22"/>
      <c r="Z1900" s="22"/>
      <c r="AA1900" s="22"/>
      <c r="AB1900" s="22"/>
      <c r="AC1900" s="22"/>
      <c r="AD1900" s="22"/>
      <c r="AE1900" s="22"/>
      <c r="AF1900" s="22"/>
      <c r="AG1900" s="22"/>
      <c r="AH1900" s="22"/>
      <c r="AI1900" s="22"/>
      <c r="AJ1900" s="22"/>
      <c r="AK1900" s="22"/>
      <c r="AL1900" s="22"/>
      <c r="AM1900" s="22"/>
      <c r="AN1900" s="22"/>
      <c r="AO1900" s="22"/>
      <c r="AP1900" s="22"/>
      <c r="AQ1900" s="22"/>
      <c r="AR1900" s="22"/>
      <c r="AS1900" s="22"/>
      <c r="AT1900" s="22"/>
      <c r="AU1900" s="22"/>
      <c r="AV1900" s="22"/>
      <c r="AW1900" s="22"/>
      <c r="AX1900" s="22"/>
    </row>
    <row r="1901" spans="1:50" x14ac:dyDescent="0.35">
      <c r="A1901" s="23"/>
      <c r="B1901" s="23"/>
      <c r="C1901" s="23"/>
      <c r="D1901" s="23"/>
      <c r="E1901" s="23"/>
      <c r="F1901" s="23"/>
      <c r="G1901" s="23"/>
      <c r="H1901" s="23"/>
      <c r="I1901" s="23"/>
      <c r="J1901" s="23"/>
      <c r="K1901" s="23"/>
      <c r="L1901" s="23"/>
      <c r="M1901" s="23"/>
      <c r="N1901" s="23"/>
      <c r="O1901" s="23"/>
      <c r="P1901" s="23"/>
      <c r="Q1901" s="23"/>
      <c r="R1901" s="23"/>
      <c r="S1901" s="23"/>
      <c r="T1901" s="23"/>
      <c r="U1901" s="22"/>
      <c r="V1901" s="22"/>
      <c r="W1901" s="22"/>
      <c r="X1901" s="22"/>
      <c r="Y1901" s="22"/>
      <c r="Z1901" s="22"/>
      <c r="AA1901" s="22"/>
      <c r="AB1901" s="22"/>
      <c r="AC1901" s="22"/>
      <c r="AD1901" s="22"/>
      <c r="AE1901" s="22"/>
      <c r="AF1901" s="22"/>
      <c r="AG1901" s="22"/>
      <c r="AH1901" s="22"/>
      <c r="AI1901" s="22"/>
      <c r="AJ1901" s="22"/>
      <c r="AK1901" s="22"/>
      <c r="AL1901" s="22"/>
      <c r="AM1901" s="22"/>
      <c r="AN1901" s="22"/>
      <c r="AO1901" s="22"/>
      <c r="AP1901" s="22"/>
      <c r="AQ1901" s="22"/>
      <c r="AR1901" s="22"/>
      <c r="AS1901" s="22"/>
      <c r="AT1901" s="22"/>
      <c r="AU1901" s="22"/>
      <c r="AV1901" s="22"/>
      <c r="AW1901" s="22"/>
      <c r="AX1901" s="22"/>
    </row>
    <row r="1902" spans="1:50" x14ac:dyDescent="0.35">
      <c r="A1902" s="23"/>
      <c r="B1902" s="23"/>
      <c r="C1902" s="23"/>
      <c r="D1902" s="23"/>
      <c r="E1902" s="23"/>
      <c r="F1902" s="23"/>
      <c r="G1902" s="23"/>
      <c r="H1902" s="23"/>
      <c r="I1902" s="23"/>
      <c r="J1902" s="23"/>
      <c r="K1902" s="23"/>
      <c r="L1902" s="23"/>
      <c r="M1902" s="23"/>
      <c r="N1902" s="23"/>
      <c r="O1902" s="23"/>
      <c r="P1902" s="23"/>
      <c r="Q1902" s="23"/>
      <c r="R1902" s="23"/>
      <c r="S1902" s="23"/>
      <c r="T1902" s="23"/>
      <c r="U1902" s="22"/>
      <c r="V1902" s="22"/>
      <c r="W1902" s="22"/>
      <c r="X1902" s="22"/>
      <c r="Y1902" s="22"/>
      <c r="Z1902" s="22"/>
      <c r="AA1902" s="22"/>
      <c r="AB1902" s="22"/>
      <c r="AC1902" s="22"/>
      <c r="AD1902" s="22"/>
      <c r="AE1902" s="22"/>
      <c r="AF1902" s="22"/>
      <c r="AG1902" s="22"/>
      <c r="AH1902" s="22"/>
      <c r="AI1902" s="22"/>
      <c r="AJ1902" s="22"/>
      <c r="AK1902" s="22"/>
      <c r="AL1902" s="22"/>
      <c r="AM1902" s="22"/>
      <c r="AN1902" s="22"/>
      <c r="AO1902" s="22"/>
      <c r="AP1902" s="22"/>
      <c r="AQ1902" s="22"/>
      <c r="AR1902" s="22"/>
      <c r="AS1902" s="22"/>
      <c r="AT1902" s="22"/>
      <c r="AU1902" s="22"/>
      <c r="AV1902" s="22"/>
      <c r="AW1902" s="22"/>
      <c r="AX1902" s="22"/>
    </row>
    <row r="1903" spans="1:50" x14ac:dyDescent="0.35">
      <c r="A1903" s="23"/>
      <c r="B1903" s="23"/>
      <c r="C1903" s="23"/>
      <c r="D1903" s="23"/>
      <c r="E1903" s="23"/>
      <c r="F1903" s="23"/>
      <c r="G1903" s="23"/>
      <c r="H1903" s="23"/>
      <c r="I1903" s="23"/>
      <c r="J1903" s="23"/>
      <c r="K1903" s="23"/>
      <c r="L1903" s="23"/>
      <c r="M1903" s="23"/>
      <c r="N1903" s="23"/>
      <c r="O1903" s="23"/>
      <c r="P1903" s="23"/>
      <c r="Q1903" s="23"/>
      <c r="R1903" s="23"/>
      <c r="S1903" s="23"/>
      <c r="T1903" s="23"/>
      <c r="U1903" s="22"/>
      <c r="V1903" s="22"/>
      <c r="W1903" s="22"/>
      <c r="X1903" s="22"/>
      <c r="Y1903" s="22"/>
      <c r="Z1903" s="22"/>
      <c r="AA1903" s="22"/>
      <c r="AB1903" s="22"/>
      <c r="AC1903" s="22"/>
      <c r="AD1903" s="22"/>
      <c r="AE1903" s="22"/>
      <c r="AF1903" s="22"/>
      <c r="AG1903" s="22"/>
      <c r="AH1903" s="22"/>
      <c r="AI1903" s="22"/>
      <c r="AJ1903" s="22"/>
      <c r="AK1903" s="22"/>
      <c r="AL1903" s="22"/>
      <c r="AM1903" s="22"/>
      <c r="AN1903" s="22"/>
      <c r="AO1903" s="22"/>
      <c r="AP1903" s="22"/>
      <c r="AQ1903" s="22"/>
      <c r="AR1903" s="22"/>
      <c r="AS1903" s="22"/>
      <c r="AT1903" s="22"/>
      <c r="AU1903" s="22"/>
      <c r="AV1903" s="22"/>
      <c r="AW1903" s="22"/>
      <c r="AX1903" s="22"/>
    </row>
    <row r="1904" spans="1:50" x14ac:dyDescent="0.35">
      <c r="A1904" s="23"/>
      <c r="B1904" s="23"/>
      <c r="C1904" s="23"/>
      <c r="D1904" s="23"/>
      <c r="E1904" s="23"/>
      <c r="F1904" s="23"/>
      <c r="G1904" s="23"/>
      <c r="H1904" s="23"/>
      <c r="I1904" s="23"/>
      <c r="J1904" s="23"/>
      <c r="K1904" s="23"/>
      <c r="L1904" s="23"/>
      <c r="M1904" s="23"/>
      <c r="N1904" s="23"/>
      <c r="O1904" s="23"/>
      <c r="P1904" s="23"/>
      <c r="Q1904" s="23"/>
      <c r="R1904" s="23"/>
      <c r="S1904" s="23"/>
      <c r="T1904" s="23"/>
      <c r="U1904" s="22"/>
      <c r="V1904" s="22"/>
      <c r="W1904" s="22"/>
      <c r="X1904" s="22"/>
      <c r="Y1904" s="22"/>
      <c r="Z1904" s="22"/>
      <c r="AA1904" s="22"/>
      <c r="AB1904" s="22"/>
      <c r="AC1904" s="22"/>
      <c r="AD1904" s="22"/>
      <c r="AE1904" s="22"/>
      <c r="AF1904" s="22"/>
      <c r="AG1904" s="22"/>
      <c r="AH1904" s="22"/>
      <c r="AI1904" s="22"/>
      <c r="AJ1904" s="22"/>
      <c r="AK1904" s="22"/>
      <c r="AL1904" s="22"/>
      <c r="AM1904" s="22"/>
      <c r="AN1904" s="22"/>
      <c r="AO1904" s="22"/>
      <c r="AP1904" s="22"/>
      <c r="AQ1904" s="22"/>
      <c r="AR1904" s="22"/>
      <c r="AS1904" s="22"/>
      <c r="AT1904" s="22"/>
      <c r="AU1904" s="22"/>
      <c r="AV1904" s="22"/>
      <c r="AW1904" s="22"/>
      <c r="AX1904" s="22"/>
    </row>
    <row r="1905" spans="1:50" x14ac:dyDescent="0.35">
      <c r="A1905" s="23"/>
      <c r="B1905" s="23"/>
      <c r="C1905" s="23"/>
      <c r="D1905" s="23"/>
      <c r="E1905" s="23"/>
      <c r="F1905" s="23"/>
      <c r="G1905" s="23"/>
      <c r="H1905" s="23"/>
      <c r="I1905" s="23"/>
      <c r="J1905" s="23"/>
      <c r="K1905" s="23"/>
      <c r="L1905" s="23"/>
      <c r="M1905" s="23"/>
      <c r="N1905" s="23"/>
      <c r="O1905" s="23"/>
      <c r="P1905" s="23"/>
      <c r="Q1905" s="23"/>
      <c r="R1905" s="23"/>
      <c r="S1905" s="23"/>
      <c r="T1905" s="23"/>
      <c r="U1905" s="22"/>
      <c r="V1905" s="22"/>
      <c r="W1905" s="22"/>
      <c r="X1905" s="22"/>
      <c r="Y1905" s="22"/>
      <c r="Z1905" s="22"/>
      <c r="AA1905" s="22"/>
      <c r="AB1905" s="22"/>
      <c r="AC1905" s="22"/>
      <c r="AD1905" s="22"/>
      <c r="AE1905" s="22"/>
      <c r="AF1905" s="22"/>
      <c r="AG1905" s="22"/>
      <c r="AH1905" s="22"/>
      <c r="AI1905" s="22"/>
      <c r="AJ1905" s="22"/>
      <c r="AK1905" s="22"/>
      <c r="AL1905" s="22"/>
      <c r="AM1905" s="22"/>
      <c r="AN1905" s="22"/>
      <c r="AO1905" s="22"/>
      <c r="AP1905" s="22"/>
      <c r="AQ1905" s="22"/>
      <c r="AR1905" s="22"/>
      <c r="AS1905" s="22"/>
      <c r="AT1905" s="22"/>
      <c r="AU1905" s="22"/>
      <c r="AV1905" s="22"/>
      <c r="AW1905" s="22"/>
      <c r="AX1905" s="22"/>
    </row>
    <row r="1906" spans="1:50" x14ac:dyDescent="0.35">
      <c r="A1906" s="23"/>
      <c r="B1906" s="23"/>
      <c r="C1906" s="23"/>
      <c r="D1906" s="23"/>
      <c r="E1906" s="23"/>
      <c r="F1906" s="23"/>
      <c r="G1906" s="23"/>
      <c r="H1906" s="23"/>
      <c r="I1906" s="23"/>
      <c r="J1906" s="23"/>
      <c r="K1906" s="23"/>
      <c r="L1906" s="23"/>
      <c r="M1906" s="23"/>
      <c r="N1906" s="23"/>
      <c r="O1906" s="23"/>
      <c r="P1906" s="23"/>
      <c r="Q1906" s="23"/>
      <c r="R1906" s="23"/>
      <c r="S1906" s="23"/>
      <c r="T1906" s="23"/>
      <c r="U1906" s="22"/>
      <c r="V1906" s="22"/>
      <c r="W1906" s="22"/>
      <c r="X1906" s="22"/>
      <c r="Y1906" s="22"/>
      <c r="Z1906" s="22"/>
      <c r="AA1906" s="22"/>
      <c r="AB1906" s="22"/>
      <c r="AC1906" s="22"/>
      <c r="AD1906" s="22"/>
      <c r="AE1906" s="22"/>
      <c r="AF1906" s="22"/>
      <c r="AG1906" s="22"/>
      <c r="AH1906" s="22"/>
      <c r="AI1906" s="22"/>
      <c r="AJ1906" s="22"/>
      <c r="AK1906" s="22"/>
      <c r="AL1906" s="22"/>
      <c r="AM1906" s="22"/>
      <c r="AN1906" s="22"/>
      <c r="AO1906" s="22"/>
      <c r="AP1906" s="22"/>
      <c r="AQ1906" s="22"/>
      <c r="AR1906" s="22"/>
      <c r="AS1906" s="22"/>
      <c r="AT1906" s="22"/>
      <c r="AU1906" s="22"/>
      <c r="AV1906" s="22"/>
      <c r="AW1906" s="22"/>
      <c r="AX1906" s="22"/>
    </row>
    <row r="1907" spans="1:50" x14ac:dyDescent="0.35">
      <c r="A1907" s="23"/>
      <c r="B1907" s="23"/>
      <c r="C1907" s="23"/>
      <c r="D1907" s="23"/>
      <c r="E1907" s="23"/>
      <c r="F1907" s="23"/>
      <c r="G1907" s="23"/>
      <c r="H1907" s="23"/>
      <c r="I1907" s="23"/>
      <c r="J1907" s="23"/>
      <c r="K1907" s="23"/>
      <c r="L1907" s="23"/>
      <c r="M1907" s="23"/>
      <c r="N1907" s="23"/>
      <c r="O1907" s="23"/>
      <c r="P1907" s="23"/>
      <c r="Q1907" s="23"/>
      <c r="R1907" s="23"/>
      <c r="S1907" s="23"/>
      <c r="T1907" s="23"/>
      <c r="U1907" s="22"/>
      <c r="V1907" s="22"/>
      <c r="W1907" s="22"/>
      <c r="X1907" s="22"/>
      <c r="Y1907" s="22"/>
      <c r="Z1907" s="22"/>
      <c r="AA1907" s="22"/>
      <c r="AB1907" s="22"/>
      <c r="AC1907" s="22"/>
      <c r="AD1907" s="22"/>
      <c r="AE1907" s="22"/>
      <c r="AF1907" s="22"/>
      <c r="AG1907" s="22"/>
      <c r="AH1907" s="22"/>
      <c r="AI1907" s="22"/>
      <c r="AJ1907" s="22"/>
      <c r="AK1907" s="22"/>
      <c r="AL1907" s="22"/>
      <c r="AM1907" s="22"/>
      <c r="AN1907" s="22"/>
      <c r="AO1907" s="22"/>
      <c r="AP1907" s="22"/>
      <c r="AQ1907" s="22"/>
      <c r="AR1907" s="22"/>
      <c r="AS1907" s="22"/>
      <c r="AT1907" s="22"/>
      <c r="AU1907" s="22"/>
      <c r="AV1907" s="22"/>
      <c r="AW1907" s="22"/>
      <c r="AX1907" s="22"/>
    </row>
    <row r="1908" spans="1:50" x14ac:dyDescent="0.35">
      <c r="A1908" s="23"/>
      <c r="B1908" s="23"/>
      <c r="C1908" s="23"/>
      <c r="D1908" s="23"/>
      <c r="E1908" s="23"/>
      <c r="F1908" s="23"/>
      <c r="G1908" s="23"/>
      <c r="H1908" s="23"/>
      <c r="I1908" s="23"/>
      <c r="J1908" s="23"/>
      <c r="K1908" s="23"/>
      <c r="L1908" s="23"/>
      <c r="M1908" s="23"/>
      <c r="N1908" s="23"/>
      <c r="O1908" s="23"/>
      <c r="P1908" s="23"/>
      <c r="Q1908" s="23"/>
      <c r="R1908" s="23"/>
      <c r="S1908" s="23"/>
      <c r="T1908" s="23"/>
      <c r="U1908" s="22"/>
      <c r="V1908" s="22"/>
      <c r="W1908" s="22"/>
      <c r="X1908" s="22"/>
      <c r="Y1908" s="22"/>
      <c r="Z1908" s="22"/>
      <c r="AA1908" s="22"/>
      <c r="AB1908" s="22"/>
      <c r="AC1908" s="22"/>
      <c r="AD1908" s="22"/>
      <c r="AE1908" s="22"/>
      <c r="AF1908" s="22"/>
      <c r="AG1908" s="22"/>
      <c r="AH1908" s="22"/>
      <c r="AI1908" s="22"/>
      <c r="AJ1908" s="22"/>
      <c r="AK1908" s="22"/>
      <c r="AL1908" s="22"/>
      <c r="AM1908" s="22"/>
      <c r="AN1908" s="22"/>
      <c r="AO1908" s="22"/>
      <c r="AP1908" s="22"/>
      <c r="AQ1908" s="22"/>
      <c r="AR1908" s="22"/>
      <c r="AS1908" s="22"/>
      <c r="AT1908" s="22"/>
      <c r="AU1908" s="22"/>
      <c r="AV1908" s="22"/>
      <c r="AW1908" s="22"/>
      <c r="AX1908" s="22"/>
    </row>
    <row r="1909" spans="1:50" x14ac:dyDescent="0.35">
      <c r="A1909" s="23"/>
      <c r="B1909" s="23"/>
      <c r="C1909" s="23"/>
      <c r="D1909" s="23"/>
      <c r="E1909" s="23"/>
      <c r="F1909" s="23"/>
      <c r="G1909" s="23"/>
      <c r="H1909" s="23"/>
      <c r="I1909" s="23"/>
      <c r="J1909" s="23"/>
      <c r="K1909" s="23"/>
      <c r="L1909" s="23"/>
      <c r="M1909" s="23"/>
      <c r="N1909" s="23"/>
      <c r="O1909" s="23"/>
      <c r="P1909" s="23"/>
      <c r="Q1909" s="23"/>
      <c r="R1909" s="23"/>
      <c r="S1909" s="23"/>
      <c r="T1909" s="23"/>
      <c r="U1909" s="22"/>
      <c r="V1909" s="22"/>
      <c r="W1909" s="22"/>
      <c r="X1909" s="22"/>
      <c r="Y1909" s="22"/>
      <c r="Z1909" s="22"/>
      <c r="AA1909" s="22"/>
      <c r="AB1909" s="22"/>
      <c r="AC1909" s="22"/>
      <c r="AD1909" s="22"/>
      <c r="AE1909" s="22"/>
      <c r="AF1909" s="22"/>
      <c r="AG1909" s="22"/>
      <c r="AH1909" s="22"/>
      <c r="AI1909" s="22"/>
      <c r="AJ1909" s="22"/>
      <c r="AK1909" s="22"/>
      <c r="AL1909" s="22"/>
      <c r="AM1909" s="22"/>
      <c r="AN1909" s="22"/>
      <c r="AO1909" s="22"/>
      <c r="AP1909" s="22"/>
      <c r="AQ1909" s="22"/>
      <c r="AR1909" s="22"/>
      <c r="AS1909" s="22"/>
      <c r="AT1909" s="22"/>
      <c r="AU1909" s="22"/>
      <c r="AV1909" s="22"/>
      <c r="AW1909" s="22"/>
      <c r="AX1909" s="22"/>
    </row>
    <row r="1910" spans="1:50" x14ac:dyDescent="0.35">
      <c r="A1910" s="23"/>
      <c r="B1910" s="23"/>
      <c r="C1910" s="23"/>
      <c r="D1910" s="23"/>
      <c r="E1910" s="23"/>
      <c r="F1910" s="23"/>
      <c r="G1910" s="23"/>
      <c r="H1910" s="23"/>
      <c r="I1910" s="23"/>
      <c r="J1910" s="23"/>
      <c r="K1910" s="23"/>
      <c r="L1910" s="23"/>
      <c r="M1910" s="23"/>
      <c r="N1910" s="23"/>
      <c r="O1910" s="23"/>
      <c r="P1910" s="23"/>
      <c r="Q1910" s="23"/>
      <c r="R1910" s="23"/>
      <c r="S1910" s="23"/>
      <c r="T1910" s="23"/>
      <c r="U1910" s="22"/>
      <c r="V1910" s="22"/>
      <c r="W1910" s="22"/>
      <c r="X1910" s="22"/>
      <c r="Y1910" s="22"/>
      <c r="Z1910" s="22"/>
      <c r="AA1910" s="22"/>
      <c r="AB1910" s="22"/>
      <c r="AC1910" s="22"/>
      <c r="AD1910" s="22"/>
      <c r="AE1910" s="22"/>
      <c r="AF1910" s="22"/>
      <c r="AG1910" s="22"/>
      <c r="AH1910" s="22"/>
      <c r="AI1910" s="22"/>
      <c r="AJ1910" s="22"/>
      <c r="AK1910" s="22"/>
      <c r="AL1910" s="22"/>
      <c r="AM1910" s="22"/>
      <c r="AN1910" s="22"/>
      <c r="AO1910" s="22"/>
      <c r="AP1910" s="22"/>
      <c r="AQ1910" s="22"/>
      <c r="AR1910" s="22"/>
      <c r="AS1910" s="22"/>
      <c r="AT1910" s="22"/>
      <c r="AU1910" s="22"/>
      <c r="AV1910" s="22"/>
      <c r="AW1910" s="22"/>
      <c r="AX1910" s="22"/>
    </row>
    <row r="1911" spans="1:50" x14ac:dyDescent="0.35">
      <c r="A1911" s="23"/>
      <c r="B1911" s="23"/>
      <c r="C1911" s="23"/>
      <c r="D1911" s="23"/>
      <c r="E1911" s="23"/>
      <c r="F1911" s="23"/>
      <c r="G1911" s="23"/>
      <c r="H1911" s="23"/>
      <c r="I1911" s="23"/>
      <c r="J1911" s="23"/>
      <c r="K1911" s="23"/>
      <c r="L1911" s="23"/>
      <c r="M1911" s="23"/>
      <c r="N1911" s="23"/>
      <c r="O1911" s="23"/>
      <c r="P1911" s="23"/>
      <c r="Q1911" s="23"/>
      <c r="R1911" s="23"/>
      <c r="S1911" s="23"/>
      <c r="T1911" s="23"/>
      <c r="U1911" s="22"/>
      <c r="V1911" s="22"/>
      <c r="W1911" s="22"/>
      <c r="X1911" s="22"/>
      <c r="Y1911" s="22"/>
      <c r="Z1911" s="22"/>
      <c r="AA1911" s="22"/>
      <c r="AB1911" s="22"/>
      <c r="AC1911" s="22"/>
      <c r="AD1911" s="22"/>
      <c r="AE1911" s="22"/>
      <c r="AF1911" s="22"/>
      <c r="AG1911" s="22"/>
      <c r="AH1911" s="22"/>
      <c r="AI1911" s="22"/>
      <c r="AJ1911" s="22"/>
      <c r="AK1911" s="22"/>
      <c r="AL1911" s="22"/>
      <c r="AM1911" s="22"/>
      <c r="AN1911" s="22"/>
      <c r="AO1911" s="22"/>
      <c r="AP1911" s="22"/>
      <c r="AQ1911" s="22"/>
      <c r="AR1911" s="22"/>
      <c r="AS1911" s="22"/>
      <c r="AT1911" s="22"/>
      <c r="AU1911" s="22"/>
      <c r="AV1911" s="22"/>
      <c r="AW1911" s="22"/>
      <c r="AX1911" s="22"/>
    </row>
    <row r="1912" spans="1:50" x14ac:dyDescent="0.35">
      <c r="A1912" s="23"/>
      <c r="B1912" s="23"/>
      <c r="C1912" s="23"/>
      <c r="D1912" s="23"/>
      <c r="E1912" s="23"/>
      <c r="F1912" s="23"/>
      <c r="G1912" s="23"/>
      <c r="H1912" s="23"/>
      <c r="I1912" s="23"/>
      <c r="J1912" s="23"/>
      <c r="K1912" s="23"/>
      <c r="L1912" s="23"/>
      <c r="M1912" s="23"/>
      <c r="N1912" s="23"/>
      <c r="O1912" s="23"/>
      <c r="P1912" s="23"/>
      <c r="Q1912" s="23"/>
      <c r="R1912" s="23"/>
      <c r="S1912" s="23"/>
      <c r="T1912" s="23"/>
      <c r="U1912" s="22"/>
      <c r="V1912" s="22"/>
      <c r="W1912" s="22"/>
      <c r="X1912" s="22"/>
      <c r="Y1912" s="22"/>
      <c r="Z1912" s="22"/>
      <c r="AA1912" s="22"/>
      <c r="AB1912" s="22"/>
      <c r="AC1912" s="22"/>
      <c r="AD1912" s="22"/>
      <c r="AE1912" s="22"/>
      <c r="AF1912" s="22"/>
      <c r="AG1912" s="22"/>
      <c r="AH1912" s="22"/>
      <c r="AI1912" s="22"/>
      <c r="AJ1912" s="22"/>
      <c r="AK1912" s="22"/>
      <c r="AL1912" s="22"/>
      <c r="AM1912" s="22"/>
      <c r="AN1912" s="22"/>
      <c r="AO1912" s="22"/>
      <c r="AP1912" s="22"/>
      <c r="AQ1912" s="22"/>
      <c r="AR1912" s="22"/>
      <c r="AS1912" s="22"/>
      <c r="AT1912" s="22"/>
      <c r="AU1912" s="22"/>
      <c r="AV1912" s="22"/>
      <c r="AW1912" s="22"/>
      <c r="AX1912" s="22"/>
    </row>
    <row r="1913" spans="1:50" x14ac:dyDescent="0.35">
      <c r="A1913" s="23"/>
      <c r="B1913" s="23"/>
      <c r="C1913" s="23"/>
      <c r="D1913" s="23"/>
      <c r="E1913" s="23"/>
      <c r="F1913" s="23"/>
      <c r="G1913" s="23"/>
      <c r="H1913" s="23"/>
      <c r="I1913" s="23"/>
      <c r="J1913" s="23"/>
      <c r="K1913" s="23"/>
      <c r="L1913" s="23"/>
      <c r="M1913" s="23"/>
      <c r="N1913" s="23"/>
      <c r="O1913" s="23"/>
      <c r="P1913" s="23"/>
      <c r="Q1913" s="23"/>
      <c r="R1913" s="23"/>
      <c r="S1913" s="23"/>
      <c r="T1913" s="23"/>
    </row>
    <row r="1914" spans="1:50" x14ac:dyDescent="0.35">
      <c r="A1914" s="23"/>
      <c r="B1914" s="23"/>
      <c r="C1914" s="23"/>
      <c r="D1914" s="23"/>
      <c r="E1914" s="23"/>
      <c r="F1914" s="23"/>
      <c r="G1914" s="23"/>
      <c r="H1914" s="23"/>
      <c r="I1914" s="23"/>
      <c r="J1914" s="23"/>
      <c r="K1914" s="23"/>
      <c r="L1914" s="23"/>
      <c r="M1914" s="23"/>
      <c r="N1914" s="23"/>
      <c r="O1914" s="23"/>
      <c r="P1914" s="23"/>
      <c r="Q1914" s="23"/>
      <c r="R1914" s="23"/>
      <c r="S1914" s="23"/>
      <c r="T1914" s="23"/>
    </row>
    <row r="1915" spans="1:50" x14ac:dyDescent="0.35">
      <c r="A1915" s="23"/>
      <c r="B1915" s="23"/>
      <c r="C1915" s="23"/>
      <c r="D1915" s="23"/>
      <c r="E1915" s="23"/>
      <c r="F1915" s="23"/>
      <c r="G1915" s="23"/>
      <c r="H1915" s="23"/>
      <c r="I1915" s="23"/>
      <c r="J1915" s="23"/>
      <c r="K1915" s="23"/>
      <c r="L1915" s="23"/>
      <c r="M1915" s="23"/>
      <c r="N1915" s="23"/>
      <c r="O1915" s="23"/>
      <c r="P1915" s="23"/>
      <c r="Q1915" s="23"/>
      <c r="R1915" s="23"/>
      <c r="S1915" s="23"/>
      <c r="T1915" s="23"/>
    </row>
    <row r="1916" spans="1:50" x14ac:dyDescent="0.35">
      <c r="A1916" s="23"/>
      <c r="B1916" s="23"/>
      <c r="C1916" s="23"/>
      <c r="D1916" s="23"/>
      <c r="E1916" s="23"/>
      <c r="F1916" s="23"/>
      <c r="G1916" s="23"/>
      <c r="H1916" s="23"/>
      <c r="I1916" s="23"/>
      <c r="J1916" s="23"/>
      <c r="K1916" s="23"/>
      <c r="L1916" s="23"/>
      <c r="M1916" s="23"/>
      <c r="N1916" s="23"/>
      <c r="O1916" s="23"/>
      <c r="P1916" s="23"/>
      <c r="Q1916" s="23"/>
      <c r="R1916" s="23"/>
      <c r="S1916" s="23"/>
      <c r="T1916" s="23"/>
    </row>
    <row r="1917" spans="1:50" x14ac:dyDescent="0.35">
      <c r="A1917" s="23"/>
      <c r="B1917" s="23"/>
      <c r="C1917" s="23"/>
      <c r="D1917" s="23"/>
      <c r="E1917" s="23"/>
      <c r="F1917" s="23"/>
      <c r="G1917" s="23"/>
      <c r="H1917" s="23"/>
      <c r="I1917" s="23"/>
      <c r="J1917" s="23"/>
      <c r="K1917" s="23"/>
      <c r="L1917" s="23"/>
      <c r="M1917" s="23"/>
      <c r="N1917" s="23"/>
      <c r="O1917" s="23"/>
      <c r="P1917" s="23"/>
      <c r="Q1917" s="23"/>
      <c r="R1917" s="23"/>
      <c r="S1917" s="23"/>
      <c r="T1917" s="23"/>
    </row>
    <row r="1918" spans="1:50" x14ac:dyDescent="0.35">
      <c r="A1918" s="23"/>
      <c r="B1918" s="23"/>
      <c r="C1918" s="23"/>
      <c r="D1918" s="23"/>
      <c r="E1918" s="23"/>
      <c r="F1918" s="23"/>
      <c r="G1918" s="23"/>
      <c r="H1918" s="23"/>
      <c r="I1918" s="23"/>
      <c r="J1918" s="23"/>
      <c r="K1918" s="23"/>
      <c r="L1918" s="23"/>
      <c r="M1918" s="23"/>
      <c r="N1918" s="23"/>
      <c r="O1918" s="23"/>
      <c r="P1918" s="23"/>
      <c r="Q1918" s="23"/>
      <c r="R1918" s="23"/>
      <c r="S1918" s="23"/>
      <c r="T1918" s="23"/>
    </row>
    <row r="1919" spans="1:50" x14ac:dyDescent="0.35">
      <c r="A1919" s="23"/>
      <c r="B1919" s="23"/>
      <c r="C1919" s="23"/>
      <c r="D1919" s="23"/>
      <c r="E1919" s="23"/>
      <c r="F1919" s="23"/>
      <c r="G1919" s="23"/>
      <c r="H1919" s="23"/>
      <c r="I1919" s="23"/>
      <c r="J1919" s="23"/>
      <c r="K1919" s="23"/>
      <c r="L1919" s="23"/>
      <c r="M1919" s="23"/>
      <c r="N1919" s="23"/>
      <c r="O1919" s="23"/>
      <c r="P1919" s="23"/>
      <c r="Q1919" s="23"/>
      <c r="R1919" s="23"/>
      <c r="S1919" s="23"/>
      <c r="T1919" s="23"/>
    </row>
    <row r="1920" spans="1:50" x14ac:dyDescent="0.35">
      <c r="A1920" s="23"/>
      <c r="B1920" s="23"/>
      <c r="C1920" s="23"/>
      <c r="D1920" s="23"/>
      <c r="E1920" s="23"/>
      <c r="F1920" s="23"/>
      <c r="G1920" s="23"/>
      <c r="H1920" s="23"/>
      <c r="I1920" s="23"/>
      <c r="J1920" s="23"/>
      <c r="K1920" s="23"/>
      <c r="L1920" s="23"/>
      <c r="M1920" s="23"/>
      <c r="N1920" s="23"/>
      <c r="O1920" s="23"/>
      <c r="P1920" s="23"/>
      <c r="Q1920" s="23"/>
      <c r="R1920" s="23"/>
      <c r="S1920" s="23"/>
      <c r="T1920" s="23"/>
    </row>
    <row r="1921" spans="1:20" x14ac:dyDescent="0.35">
      <c r="A1921" s="23"/>
      <c r="B1921" s="23"/>
      <c r="C1921" s="23"/>
      <c r="D1921" s="23"/>
      <c r="E1921" s="23"/>
      <c r="F1921" s="23"/>
      <c r="G1921" s="23"/>
      <c r="H1921" s="23"/>
      <c r="I1921" s="23"/>
      <c r="J1921" s="23"/>
      <c r="K1921" s="23"/>
      <c r="L1921" s="23"/>
      <c r="M1921" s="23"/>
      <c r="N1921" s="23"/>
      <c r="O1921" s="23"/>
      <c r="P1921" s="23"/>
      <c r="Q1921" s="23"/>
      <c r="R1921" s="23"/>
      <c r="S1921" s="23"/>
      <c r="T1921" s="23"/>
    </row>
    <row r="1922" spans="1:20" x14ac:dyDescent="0.35">
      <c r="A1922" s="23"/>
      <c r="B1922" s="23"/>
      <c r="C1922" s="23"/>
      <c r="D1922" s="23"/>
      <c r="E1922" s="23"/>
      <c r="F1922" s="23"/>
      <c r="G1922" s="23"/>
      <c r="H1922" s="23"/>
      <c r="I1922" s="23"/>
      <c r="J1922" s="23"/>
      <c r="K1922" s="23"/>
      <c r="L1922" s="23"/>
      <c r="M1922" s="23"/>
      <c r="N1922" s="23"/>
      <c r="O1922" s="23"/>
      <c r="P1922" s="23"/>
      <c r="Q1922" s="23"/>
      <c r="R1922" s="23"/>
      <c r="S1922" s="23"/>
      <c r="T1922" s="23"/>
    </row>
    <row r="1923" spans="1:20" x14ac:dyDescent="0.35">
      <c r="A1923" s="23"/>
      <c r="B1923" s="23"/>
      <c r="C1923" s="23"/>
      <c r="D1923" s="23"/>
      <c r="E1923" s="23"/>
      <c r="F1923" s="23"/>
      <c r="G1923" s="23"/>
      <c r="H1923" s="23"/>
      <c r="I1923" s="23"/>
      <c r="J1923" s="23"/>
      <c r="K1923" s="23"/>
      <c r="L1923" s="23"/>
      <c r="M1923" s="23"/>
      <c r="N1923" s="23"/>
      <c r="O1923" s="23"/>
      <c r="P1923" s="23"/>
      <c r="Q1923" s="23"/>
      <c r="R1923" s="23"/>
      <c r="S1923" s="23"/>
      <c r="T1923" s="23"/>
    </row>
    <row r="1924" spans="1:20" x14ac:dyDescent="0.35">
      <c r="A1924" s="23"/>
      <c r="B1924" s="23"/>
      <c r="C1924" s="23"/>
      <c r="D1924" s="23"/>
      <c r="E1924" s="23"/>
      <c r="F1924" s="23"/>
      <c r="G1924" s="23"/>
      <c r="H1924" s="23"/>
      <c r="I1924" s="23"/>
      <c r="J1924" s="23"/>
      <c r="K1924" s="23"/>
      <c r="L1924" s="23"/>
      <c r="M1924" s="23"/>
      <c r="N1924" s="23"/>
      <c r="O1924" s="23"/>
      <c r="P1924" s="23"/>
      <c r="Q1924" s="23"/>
      <c r="R1924" s="23"/>
      <c r="S1924" s="23"/>
      <c r="T1924" s="23"/>
    </row>
    <row r="1925" spans="1:20" x14ac:dyDescent="0.35">
      <c r="A1925" s="23"/>
      <c r="B1925" s="23"/>
      <c r="C1925" s="23"/>
      <c r="D1925" s="23"/>
      <c r="E1925" s="23"/>
      <c r="F1925" s="23"/>
      <c r="G1925" s="23"/>
      <c r="H1925" s="23"/>
      <c r="I1925" s="23"/>
      <c r="J1925" s="23"/>
      <c r="K1925" s="23"/>
      <c r="L1925" s="23"/>
      <c r="M1925" s="23"/>
      <c r="N1925" s="23"/>
      <c r="O1925" s="23"/>
      <c r="P1925" s="23"/>
      <c r="Q1925" s="23"/>
      <c r="R1925" s="23"/>
      <c r="S1925" s="23"/>
      <c r="T1925" s="23"/>
    </row>
    <row r="1926" spans="1:20" x14ac:dyDescent="0.35">
      <c r="A1926" s="23"/>
      <c r="B1926" s="23"/>
      <c r="C1926" s="23"/>
      <c r="D1926" s="23"/>
      <c r="E1926" s="23"/>
      <c r="F1926" s="23"/>
      <c r="G1926" s="23"/>
      <c r="H1926" s="23"/>
      <c r="I1926" s="23"/>
      <c r="J1926" s="23"/>
      <c r="K1926" s="23"/>
      <c r="L1926" s="23"/>
      <c r="M1926" s="23"/>
      <c r="N1926" s="23"/>
      <c r="O1926" s="23"/>
      <c r="P1926" s="23"/>
      <c r="Q1926" s="23"/>
      <c r="R1926" s="23"/>
      <c r="S1926" s="23"/>
      <c r="T1926" s="23"/>
    </row>
    <row r="1927" spans="1:20" x14ac:dyDescent="0.35">
      <c r="A1927" s="23"/>
      <c r="B1927" s="23"/>
      <c r="C1927" s="23"/>
      <c r="D1927" s="23"/>
      <c r="E1927" s="23"/>
      <c r="F1927" s="23"/>
      <c r="G1927" s="23"/>
      <c r="H1927" s="23"/>
      <c r="I1927" s="23"/>
      <c r="J1927" s="23"/>
      <c r="K1927" s="23"/>
      <c r="L1927" s="23"/>
      <c r="M1927" s="23"/>
      <c r="N1927" s="23"/>
      <c r="O1927" s="23"/>
      <c r="P1927" s="23"/>
      <c r="Q1927" s="23"/>
      <c r="R1927" s="23"/>
      <c r="S1927" s="23"/>
      <c r="T1927" s="23"/>
    </row>
    <row r="1928" spans="1:20" x14ac:dyDescent="0.35">
      <c r="A1928" s="23"/>
      <c r="B1928" s="23"/>
      <c r="C1928" s="23"/>
      <c r="D1928" s="23"/>
      <c r="E1928" s="23"/>
      <c r="F1928" s="23"/>
      <c r="G1928" s="23"/>
      <c r="H1928" s="23"/>
      <c r="I1928" s="23"/>
      <c r="J1928" s="23"/>
      <c r="K1928" s="23"/>
      <c r="L1928" s="23"/>
      <c r="M1928" s="23"/>
      <c r="N1928" s="23"/>
      <c r="O1928" s="23"/>
      <c r="P1928" s="23"/>
      <c r="Q1928" s="23"/>
      <c r="R1928" s="23"/>
      <c r="S1928" s="23"/>
      <c r="T1928" s="23"/>
    </row>
    <row r="1929" spans="1:20" x14ac:dyDescent="0.35">
      <c r="A1929" s="23"/>
      <c r="B1929" s="23"/>
      <c r="C1929" s="23"/>
      <c r="D1929" s="23"/>
      <c r="E1929" s="23"/>
      <c r="F1929" s="23"/>
      <c r="G1929" s="23"/>
      <c r="H1929" s="23"/>
      <c r="I1929" s="23"/>
      <c r="J1929" s="23"/>
      <c r="K1929" s="23"/>
      <c r="L1929" s="23"/>
      <c r="M1929" s="23"/>
      <c r="N1929" s="23"/>
      <c r="O1929" s="23"/>
      <c r="P1929" s="23"/>
      <c r="Q1929" s="23"/>
      <c r="R1929" s="23"/>
      <c r="S1929" s="23"/>
      <c r="T1929" s="23"/>
    </row>
    <row r="1930" spans="1:20" x14ac:dyDescent="0.35">
      <c r="A1930" s="23"/>
      <c r="B1930" s="23"/>
      <c r="C1930" s="23"/>
      <c r="D1930" s="23"/>
      <c r="E1930" s="23"/>
      <c r="F1930" s="23"/>
      <c r="G1930" s="23"/>
      <c r="H1930" s="23"/>
      <c r="I1930" s="23"/>
      <c r="J1930" s="23"/>
      <c r="K1930" s="23"/>
      <c r="L1930" s="23"/>
      <c r="M1930" s="23"/>
      <c r="N1930" s="23"/>
      <c r="O1930" s="23"/>
      <c r="P1930" s="23"/>
      <c r="Q1930" s="23"/>
      <c r="R1930" s="23"/>
      <c r="S1930" s="23"/>
      <c r="T1930" s="23"/>
    </row>
    <row r="1931" spans="1:20" x14ac:dyDescent="0.35">
      <c r="A1931" s="23"/>
      <c r="B1931" s="23"/>
      <c r="C1931" s="23"/>
      <c r="D1931" s="23"/>
      <c r="E1931" s="23"/>
      <c r="F1931" s="23"/>
      <c r="G1931" s="23"/>
      <c r="H1931" s="23"/>
      <c r="I1931" s="23"/>
      <c r="J1931" s="23"/>
      <c r="K1931" s="23"/>
      <c r="L1931" s="23"/>
      <c r="M1931" s="23"/>
      <c r="N1931" s="23"/>
      <c r="O1931" s="23"/>
      <c r="P1931" s="23"/>
      <c r="Q1931" s="23"/>
      <c r="R1931" s="23"/>
      <c r="S1931" s="23"/>
      <c r="T1931" s="23"/>
    </row>
    <row r="1932" spans="1:20" x14ac:dyDescent="0.35">
      <c r="A1932" s="23"/>
      <c r="B1932" s="23"/>
      <c r="C1932" s="23"/>
      <c r="D1932" s="23"/>
      <c r="E1932" s="23"/>
      <c r="F1932" s="23"/>
      <c r="G1932" s="23"/>
      <c r="H1932" s="23"/>
      <c r="I1932" s="23"/>
      <c r="J1932" s="23"/>
      <c r="K1932" s="23"/>
      <c r="L1932" s="23"/>
      <c r="M1932" s="23"/>
      <c r="N1932" s="23"/>
      <c r="O1932" s="23"/>
      <c r="P1932" s="23"/>
      <c r="Q1932" s="23"/>
      <c r="R1932" s="23"/>
      <c r="S1932" s="23"/>
      <c r="T1932" s="23"/>
    </row>
    <row r="1933" spans="1:20" x14ac:dyDescent="0.35">
      <c r="A1933" s="23"/>
      <c r="B1933" s="23"/>
      <c r="C1933" s="23"/>
      <c r="D1933" s="23"/>
      <c r="E1933" s="23"/>
      <c r="F1933" s="23"/>
      <c r="G1933" s="23"/>
      <c r="H1933" s="23"/>
      <c r="I1933" s="23"/>
      <c r="J1933" s="23"/>
      <c r="K1933" s="23"/>
      <c r="L1933" s="23"/>
      <c r="M1933" s="23"/>
      <c r="N1933" s="23"/>
      <c r="O1933" s="23"/>
      <c r="P1933" s="23"/>
      <c r="Q1933" s="23"/>
      <c r="R1933" s="23"/>
      <c r="S1933" s="23"/>
      <c r="T1933" s="23"/>
    </row>
    <row r="1934" spans="1:20" x14ac:dyDescent="0.35">
      <c r="A1934" s="23"/>
      <c r="B1934" s="23"/>
      <c r="C1934" s="23"/>
      <c r="D1934" s="23"/>
      <c r="E1934" s="23"/>
      <c r="F1934" s="23"/>
      <c r="G1934" s="23"/>
      <c r="H1934" s="23"/>
      <c r="I1934" s="23"/>
      <c r="J1934" s="23"/>
      <c r="K1934" s="23"/>
      <c r="L1934" s="23"/>
      <c r="M1934" s="23"/>
      <c r="N1934" s="23"/>
      <c r="O1934" s="23"/>
      <c r="P1934" s="23"/>
      <c r="Q1934" s="23"/>
      <c r="R1934" s="23"/>
      <c r="S1934" s="23"/>
      <c r="T1934" s="23"/>
    </row>
    <row r="1935" spans="1:20" x14ac:dyDescent="0.35">
      <c r="A1935" s="23"/>
      <c r="B1935" s="23"/>
      <c r="C1935" s="23"/>
      <c r="D1935" s="23"/>
      <c r="E1935" s="23"/>
      <c r="F1935" s="23"/>
      <c r="G1935" s="23"/>
      <c r="H1935" s="23"/>
      <c r="I1935" s="23"/>
      <c r="J1935" s="23"/>
      <c r="K1935" s="23"/>
      <c r="L1935" s="23"/>
      <c r="M1935" s="23"/>
      <c r="N1935" s="23"/>
      <c r="O1935" s="23"/>
      <c r="P1935" s="23"/>
      <c r="Q1935" s="23"/>
      <c r="R1935" s="23"/>
      <c r="S1935" s="23"/>
      <c r="T1935" s="23"/>
    </row>
    <row r="1936" spans="1:20" x14ac:dyDescent="0.35">
      <c r="A1936" s="23"/>
      <c r="B1936" s="23"/>
      <c r="C1936" s="23"/>
      <c r="D1936" s="23"/>
      <c r="E1936" s="23"/>
      <c r="F1936" s="23"/>
      <c r="G1936" s="23"/>
      <c r="H1936" s="23"/>
      <c r="I1936" s="23"/>
      <c r="J1936" s="23"/>
      <c r="K1936" s="23"/>
      <c r="L1936" s="23"/>
      <c r="M1936" s="23"/>
      <c r="N1936" s="23"/>
      <c r="O1936" s="23"/>
      <c r="P1936" s="23"/>
      <c r="Q1936" s="23"/>
      <c r="R1936" s="23"/>
      <c r="S1936" s="23"/>
      <c r="T1936" s="23"/>
    </row>
    <row r="1937" spans="1:20" x14ac:dyDescent="0.35">
      <c r="A1937" s="23"/>
      <c r="B1937" s="23"/>
      <c r="C1937" s="23"/>
      <c r="D1937" s="23"/>
      <c r="E1937" s="23"/>
      <c r="F1937" s="23"/>
      <c r="G1937" s="23"/>
      <c r="H1937" s="23"/>
      <c r="I1937" s="23"/>
      <c r="J1937" s="23"/>
      <c r="K1937" s="23"/>
      <c r="L1937" s="23"/>
      <c r="M1937" s="23"/>
      <c r="N1937" s="23"/>
      <c r="O1937" s="23"/>
      <c r="P1937" s="23"/>
      <c r="Q1937" s="23"/>
      <c r="R1937" s="23"/>
      <c r="S1937" s="23"/>
      <c r="T1937" s="23"/>
    </row>
    <row r="1938" spans="1:20" x14ac:dyDescent="0.35">
      <c r="A1938" s="23"/>
      <c r="B1938" s="23"/>
      <c r="C1938" s="23"/>
      <c r="D1938" s="23"/>
      <c r="E1938" s="23"/>
      <c r="F1938" s="23"/>
      <c r="G1938" s="23"/>
      <c r="H1938" s="23"/>
      <c r="I1938" s="23"/>
      <c r="J1938" s="23"/>
      <c r="K1938" s="23"/>
      <c r="L1938" s="23"/>
      <c r="M1938" s="23"/>
      <c r="N1938" s="23"/>
      <c r="O1938" s="23"/>
      <c r="P1938" s="23"/>
      <c r="Q1938" s="23"/>
      <c r="R1938" s="23"/>
      <c r="S1938" s="23"/>
      <c r="T1938" s="23"/>
    </row>
    <row r="1939" spans="1:20" x14ac:dyDescent="0.35">
      <c r="A1939" s="23"/>
      <c r="B1939" s="23"/>
      <c r="C1939" s="23"/>
      <c r="D1939" s="23"/>
      <c r="E1939" s="23"/>
      <c r="F1939" s="23"/>
      <c r="G1939" s="23"/>
      <c r="H1939" s="23"/>
      <c r="I1939" s="23"/>
      <c r="J1939" s="23"/>
      <c r="K1939" s="23"/>
      <c r="L1939" s="23"/>
      <c r="M1939" s="23"/>
      <c r="N1939" s="23"/>
      <c r="O1939" s="23"/>
      <c r="P1939" s="23"/>
      <c r="Q1939" s="23"/>
      <c r="R1939" s="23"/>
      <c r="S1939" s="23"/>
      <c r="T1939" s="23"/>
    </row>
    <row r="1940" spans="1:20" x14ac:dyDescent="0.35">
      <c r="A1940" s="23"/>
      <c r="B1940" s="23"/>
      <c r="C1940" s="23"/>
      <c r="D1940" s="23"/>
      <c r="E1940" s="23"/>
      <c r="F1940" s="23"/>
      <c r="G1940" s="23"/>
      <c r="H1940" s="23"/>
      <c r="I1940" s="23"/>
      <c r="J1940" s="23"/>
      <c r="K1940" s="23"/>
      <c r="L1940" s="23"/>
      <c r="M1940" s="23"/>
      <c r="N1940" s="23"/>
      <c r="O1940" s="23"/>
      <c r="P1940" s="23"/>
      <c r="Q1940" s="23"/>
      <c r="R1940" s="23"/>
      <c r="S1940" s="23"/>
      <c r="T1940" s="23"/>
    </row>
    <row r="1941" spans="1:20" x14ac:dyDescent="0.35">
      <c r="A1941" s="23"/>
      <c r="B1941" s="23"/>
      <c r="C1941" s="23"/>
      <c r="D1941" s="23"/>
      <c r="E1941" s="23"/>
      <c r="F1941" s="23"/>
      <c r="G1941" s="23"/>
      <c r="H1941" s="23"/>
      <c r="I1941" s="23"/>
      <c r="J1941" s="23"/>
      <c r="K1941" s="23"/>
      <c r="L1941" s="23"/>
      <c r="M1941" s="23"/>
      <c r="N1941" s="23"/>
      <c r="O1941" s="23"/>
      <c r="P1941" s="23"/>
      <c r="Q1941" s="23"/>
      <c r="R1941" s="23"/>
      <c r="S1941" s="23"/>
      <c r="T1941" s="23"/>
    </row>
    <row r="1942" spans="1:20" x14ac:dyDescent="0.35">
      <c r="A1942" s="23"/>
      <c r="B1942" s="23"/>
      <c r="C1942" s="23"/>
      <c r="D1942" s="23"/>
      <c r="E1942" s="23"/>
      <c r="F1942" s="23"/>
      <c r="G1942" s="23"/>
      <c r="H1942" s="23"/>
      <c r="I1942" s="23"/>
      <c r="J1942" s="23"/>
      <c r="K1942" s="23"/>
      <c r="L1942" s="23"/>
      <c r="M1942" s="23"/>
      <c r="N1942" s="23"/>
      <c r="O1942" s="23"/>
      <c r="P1942" s="23"/>
      <c r="Q1942" s="23"/>
      <c r="R1942" s="23"/>
      <c r="S1942" s="23"/>
      <c r="T1942" s="23"/>
    </row>
    <row r="1943" spans="1:20" x14ac:dyDescent="0.35">
      <c r="A1943" s="23"/>
      <c r="B1943" s="23"/>
      <c r="C1943" s="23"/>
      <c r="D1943" s="23"/>
      <c r="E1943" s="23"/>
      <c r="F1943" s="23"/>
      <c r="G1943" s="23"/>
      <c r="H1943" s="23"/>
      <c r="I1943" s="23"/>
      <c r="J1943" s="23"/>
      <c r="K1943" s="23"/>
      <c r="L1943" s="23"/>
      <c r="M1943" s="23"/>
      <c r="N1943" s="23"/>
      <c r="O1943" s="23"/>
      <c r="P1943" s="23"/>
      <c r="Q1943" s="23"/>
      <c r="R1943" s="23"/>
      <c r="S1943" s="23"/>
      <c r="T1943" s="23"/>
    </row>
    <row r="1944" spans="1:20" x14ac:dyDescent="0.35">
      <c r="A1944" s="23"/>
      <c r="B1944" s="23"/>
      <c r="C1944" s="23"/>
      <c r="D1944" s="23"/>
      <c r="E1944" s="23"/>
      <c r="F1944" s="23"/>
      <c r="G1944" s="23"/>
      <c r="H1944" s="23"/>
      <c r="I1944" s="23"/>
      <c r="J1944" s="23"/>
      <c r="K1944" s="23"/>
      <c r="L1944" s="23"/>
      <c r="M1944" s="23"/>
      <c r="N1944" s="23"/>
      <c r="O1944" s="23"/>
      <c r="P1944" s="23"/>
      <c r="Q1944" s="23"/>
      <c r="R1944" s="23"/>
      <c r="S1944" s="23"/>
      <c r="T1944" s="23"/>
    </row>
    <row r="1945" spans="1:20" x14ac:dyDescent="0.35">
      <c r="A1945" s="23"/>
      <c r="B1945" s="23"/>
      <c r="C1945" s="23"/>
      <c r="D1945" s="23"/>
      <c r="E1945" s="23"/>
      <c r="F1945" s="23"/>
      <c r="G1945" s="23"/>
      <c r="H1945" s="23"/>
      <c r="I1945" s="23"/>
      <c r="J1945" s="23"/>
      <c r="K1945" s="23"/>
      <c r="L1945" s="23"/>
      <c r="M1945" s="23"/>
      <c r="N1945" s="23"/>
      <c r="O1945" s="23"/>
      <c r="P1945" s="23"/>
      <c r="Q1945" s="23"/>
      <c r="R1945" s="23"/>
      <c r="S1945" s="23"/>
      <c r="T1945" s="23"/>
    </row>
    <row r="1946" spans="1:20" x14ac:dyDescent="0.35">
      <c r="A1946" s="23"/>
      <c r="B1946" s="23"/>
      <c r="C1946" s="23"/>
      <c r="D1946" s="23"/>
      <c r="E1946" s="23"/>
      <c r="F1946" s="23"/>
      <c r="G1946" s="23"/>
      <c r="H1946" s="23"/>
      <c r="I1946" s="23"/>
      <c r="J1946" s="23"/>
      <c r="K1946" s="23"/>
      <c r="L1946" s="23"/>
      <c r="M1946" s="23"/>
      <c r="N1946" s="23"/>
      <c r="O1946" s="23"/>
      <c r="P1946" s="23"/>
      <c r="Q1946" s="23"/>
      <c r="R1946" s="23"/>
      <c r="S1946" s="23"/>
      <c r="T1946" s="23"/>
    </row>
    <row r="1947" spans="1:20" x14ac:dyDescent="0.35">
      <c r="A1947" s="23"/>
      <c r="B1947" s="23"/>
      <c r="C1947" s="23"/>
      <c r="D1947" s="23"/>
      <c r="E1947" s="23"/>
      <c r="F1947" s="23"/>
      <c r="G1947" s="23"/>
      <c r="H1947" s="23"/>
      <c r="I1947" s="23"/>
      <c r="J1947" s="23"/>
      <c r="K1947" s="23"/>
      <c r="L1947" s="23"/>
      <c r="M1947" s="23"/>
      <c r="N1947" s="23"/>
      <c r="O1947" s="23"/>
      <c r="P1947" s="23"/>
      <c r="Q1947" s="23"/>
      <c r="R1947" s="23"/>
      <c r="S1947" s="23"/>
      <c r="T1947" s="23"/>
    </row>
    <row r="1948" spans="1:20" x14ac:dyDescent="0.35">
      <c r="A1948" s="23"/>
      <c r="B1948" s="23"/>
      <c r="C1948" s="23"/>
      <c r="D1948" s="23"/>
      <c r="E1948" s="23"/>
      <c r="F1948" s="23"/>
      <c r="G1948" s="23"/>
      <c r="H1948" s="23"/>
      <c r="I1948" s="23"/>
      <c r="J1948" s="23"/>
      <c r="K1948" s="23"/>
      <c r="L1948" s="23"/>
      <c r="M1948" s="23"/>
      <c r="N1948" s="23"/>
      <c r="O1948" s="23"/>
      <c r="P1948" s="23"/>
      <c r="Q1948" s="23"/>
      <c r="R1948" s="23"/>
      <c r="S1948" s="23"/>
      <c r="T1948" s="23"/>
    </row>
    <row r="1949" spans="1:20" x14ac:dyDescent="0.35">
      <c r="A1949" s="23"/>
      <c r="B1949" s="23"/>
      <c r="C1949" s="23"/>
      <c r="D1949" s="23"/>
      <c r="E1949" s="23"/>
      <c r="F1949" s="23"/>
      <c r="G1949" s="23"/>
      <c r="H1949" s="23"/>
      <c r="I1949" s="23"/>
      <c r="J1949" s="23"/>
      <c r="K1949" s="23"/>
      <c r="L1949" s="23"/>
      <c r="M1949" s="23"/>
      <c r="N1949" s="23"/>
      <c r="O1949" s="23"/>
      <c r="P1949" s="23"/>
      <c r="Q1949" s="23"/>
      <c r="R1949" s="23"/>
      <c r="S1949" s="23"/>
      <c r="T1949" s="23"/>
    </row>
    <row r="1950" spans="1:20" x14ac:dyDescent="0.35">
      <c r="A1950" s="23"/>
      <c r="B1950" s="23"/>
      <c r="C1950" s="23"/>
      <c r="D1950" s="23"/>
      <c r="E1950" s="23"/>
      <c r="F1950" s="23"/>
      <c r="G1950" s="23"/>
      <c r="H1950" s="23"/>
      <c r="I1950" s="23"/>
      <c r="J1950" s="23"/>
      <c r="K1950" s="23"/>
      <c r="L1950" s="23"/>
      <c r="M1950" s="23"/>
      <c r="N1950" s="23"/>
      <c r="O1950" s="23"/>
      <c r="P1950" s="23"/>
      <c r="Q1950" s="23"/>
      <c r="R1950" s="23"/>
      <c r="S1950" s="23"/>
      <c r="T1950" s="23"/>
    </row>
    <row r="1951" spans="1:20" x14ac:dyDescent="0.35">
      <c r="A1951" s="23"/>
      <c r="B1951" s="23"/>
      <c r="C1951" s="23"/>
      <c r="D1951" s="23"/>
      <c r="E1951" s="23"/>
      <c r="F1951" s="23"/>
      <c r="G1951" s="23"/>
      <c r="H1951" s="23"/>
      <c r="I1951" s="23"/>
      <c r="J1951" s="23"/>
      <c r="K1951" s="23"/>
      <c r="L1951" s="23"/>
      <c r="M1951" s="23"/>
      <c r="N1951" s="23"/>
      <c r="O1951" s="23"/>
      <c r="P1951" s="23"/>
      <c r="Q1951" s="23"/>
      <c r="R1951" s="23"/>
      <c r="S1951" s="23"/>
      <c r="T1951" s="23"/>
    </row>
    <row r="1952" spans="1:20" x14ac:dyDescent="0.35">
      <c r="A1952" s="23"/>
      <c r="B1952" s="23"/>
      <c r="C1952" s="23"/>
      <c r="D1952" s="23"/>
      <c r="E1952" s="23"/>
      <c r="F1952" s="23"/>
      <c r="G1952" s="23"/>
      <c r="H1952" s="23"/>
      <c r="I1952" s="23"/>
      <c r="J1952" s="23"/>
      <c r="K1952" s="23"/>
      <c r="L1952" s="23"/>
      <c r="M1952" s="23"/>
      <c r="N1952" s="23"/>
      <c r="O1952" s="23"/>
      <c r="P1952" s="23"/>
      <c r="Q1952" s="23"/>
      <c r="R1952" s="23"/>
      <c r="S1952" s="23"/>
      <c r="T1952" s="23"/>
    </row>
    <row r="1953" spans="1:20" x14ac:dyDescent="0.35">
      <c r="A1953" s="23"/>
      <c r="B1953" s="23"/>
      <c r="C1953" s="23"/>
      <c r="D1953" s="23"/>
      <c r="E1953" s="23"/>
      <c r="F1953" s="23"/>
      <c r="G1953" s="23"/>
      <c r="H1953" s="23"/>
      <c r="I1953" s="23"/>
      <c r="J1953" s="23"/>
      <c r="K1953" s="23"/>
      <c r="L1953" s="23"/>
      <c r="M1953" s="23"/>
      <c r="N1953" s="23"/>
      <c r="O1953" s="23"/>
      <c r="P1953" s="23"/>
      <c r="Q1953" s="23"/>
      <c r="R1953" s="23"/>
      <c r="S1953" s="23"/>
      <c r="T1953" s="23"/>
    </row>
    <row r="1954" spans="1:20" x14ac:dyDescent="0.35">
      <c r="A1954" s="23"/>
      <c r="B1954" s="23"/>
      <c r="C1954" s="23"/>
      <c r="D1954" s="23"/>
      <c r="E1954" s="23"/>
      <c r="F1954" s="23"/>
      <c r="G1954" s="23"/>
      <c r="H1954" s="23"/>
      <c r="I1954" s="23"/>
      <c r="J1954" s="23"/>
      <c r="K1954" s="23"/>
      <c r="L1954" s="23"/>
      <c r="M1954" s="23"/>
      <c r="N1954" s="23"/>
      <c r="O1954" s="23"/>
      <c r="P1954" s="23"/>
      <c r="Q1954" s="23"/>
      <c r="R1954" s="23"/>
      <c r="S1954" s="23"/>
      <c r="T1954" s="23"/>
    </row>
    <row r="1955" spans="1:20" x14ac:dyDescent="0.35">
      <c r="A1955" s="23"/>
      <c r="B1955" s="23"/>
      <c r="C1955" s="23"/>
      <c r="D1955" s="23"/>
      <c r="E1955" s="23"/>
      <c r="F1955" s="23"/>
      <c r="G1955" s="23"/>
      <c r="H1955" s="23"/>
      <c r="I1955" s="23"/>
      <c r="J1955" s="23"/>
      <c r="K1955" s="23"/>
      <c r="L1955" s="23"/>
      <c r="M1955" s="23"/>
      <c r="N1955" s="23"/>
      <c r="O1955" s="23"/>
      <c r="P1955" s="23"/>
      <c r="Q1955" s="23"/>
      <c r="R1955" s="23"/>
      <c r="S1955" s="23"/>
      <c r="T1955" s="23"/>
    </row>
    <row r="1956" spans="1:20" x14ac:dyDescent="0.35">
      <c r="A1956" s="23"/>
      <c r="B1956" s="23"/>
      <c r="C1956" s="23"/>
      <c r="D1956" s="23"/>
      <c r="E1956" s="23"/>
      <c r="F1956" s="23"/>
      <c r="G1956" s="23"/>
      <c r="H1956" s="23"/>
      <c r="I1956" s="23"/>
      <c r="J1956" s="23"/>
      <c r="K1956" s="23"/>
      <c r="L1956" s="23"/>
      <c r="M1956" s="23"/>
      <c r="N1956" s="23"/>
      <c r="O1956" s="23"/>
      <c r="P1956" s="23"/>
      <c r="Q1956" s="23"/>
      <c r="R1956" s="23"/>
      <c r="S1956" s="23"/>
      <c r="T1956" s="23"/>
    </row>
    <row r="1957" spans="1:20" x14ac:dyDescent="0.35">
      <c r="A1957" s="23"/>
      <c r="B1957" s="23"/>
      <c r="C1957" s="23"/>
      <c r="D1957" s="23"/>
      <c r="E1957" s="23"/>
      <c r="F1957" s="23"/>
      <c r="G1957" s="23"/>
      <c r="H1957" s="23"/>
      <c r="I1957" s="23"/>
      <c r="J1957" s="23"/>
      <c r="K1957" s="23"/>
      <c r="L1957" s="23"/>
      <c r="M1957" s="23"/>
      <c r="N1957" s="23"/>
      <c r="O1957" s="23"/>
      <c r="P1957" s="23"/>
      <c r="Q1957" s="23"/>
      <c r="R1957" s="23"/>
      <c r="S1957" s="23"/>
      <c r="T1957" s="23"/>
    </row>
    <row r="1958" spans="1:20" x14ac:dyDescent="0.35">
      <c r="A1958" s="23"/>
      <c r="B1958" s="23"/>
      <c r="C1958" s="23"/>
      <c r="D1958" s="23"/>
      <c r="E1958" s="23"/>
      <c r="F1958" s="23"/>
      <c r="G1958" s="23"/>
      <c r="H1958" s="23"/>
      <c r="I1958" s="23"/>
      <c r="J1958" s="23"/>
      <c r="K1958" s="23"/>
      <c r="L1958" s="23"/>
      <c r="M1958" s="23"/>
      <c r="N1958" s="23"/>
      <c r="O1958" s="23"/>
      <c r="P1958" s="23"/>
      <c r="Q1958" s="23"/>
      <c r="R1958" s="23"/>
      <c r="S1958" s="23"/>
      <c r="T1958" s="23"/>
    </row>
    <row r="1959" spans="1:20" x14ac:dyDescent="0.35">
      <c r="A1959" s="23"/>
      <c r="B1959" s="23"/>
      <c r="C1959" s="23"/>
      <c r="D1959" s="23"/>
      <c r="E1959" s="23"/>
      <c r="F1959" s="23"/>
      <c r="G1959" s="23"/>
      <c r="H1959" s="23"/>
      <c r="I1959" s="23"/>
      <c r="J1959" s="23"/>
      <c r="K1959" s="23"/>
      <c r="L1959" s="23"/>
      <c r="M1959" s="23"/>
      <c r="N1959" s="23"/>
      <c r="O1959" s="23"/>
      <c r="P1959" s="23"/>
      <c r="Q1959" s="23"/>
      <c r="R1959" s="23"/>
      <c r="S1959" s="23"/>
      <c r="T1959" s="23"/>
    </row>
    <row r="1960" spans="1:20" x14ac:dyDescent="0.35">
      <c r="A1960" s="23"/>
      <c r="B1960" s="23"/>
      <c r="C1960" s="23"/>
      <c r="D1960" s="23"/>
      <c r="E1960" s="23"/>
      <c r="F1960" s="23"/>
      <c r="G1960" s="23"/>
      <c r="H1960" s="23"/>
      <c r="I1960" s="23"/>
      <c r="J1960" s="23"/>
      <c r="K1960" s="23"/>
      <c r="L1960" s="23"/>
      <c r="M1960" s="23"/>
      <c r="N1960" s="23"/>
      <c r="O1960" s="23"/>
      <c r="P1960" s="23"/>
      <c r="Q1960" s="23"/>
      <c r="R1960" s="23"/>
      <c r="S1960" s="23"/>
      <c r="T1960" s="23"/>
    </row>
    <row r="1961" spans="1:20" x14ac:dyDescent="0.35">
      <c r="A1961" s="23"/>
      <c r="B1961" s="23"/>
      <c r="C1961" s="23"/>
      <c r="D1961" s="23"/>
      <c r="E1961" s="23"/>
      <c r="F1961" s="23"/>
      <c r="G1961" s="23"/>
      <c r="H1961" s="23"/>
      <c r="I1961" s="23"/>
      <c r="J1961" s="23"/>
      <c r="K1961" s="23"/>
      <c r="L1961" s="23"/>
      <c r="M1961" s="23"/>
      <c r="N1961" s="23"/>
      <c r="O1961" s="23"/>
      <c r="P1961" s="23"/>
      <c r="Q1961" s="23"/>
      <c r="R1961" s="23"/>
      <c r="S1961" s="23"/>
      <c r="T1961" s="23"/>
    </row>
    <row r="1962" spans="1:20" x14ac:dyDescent="0.35">
      <c r="A1962" s="23"/>
      <c r="B1962" s="23"/>
      <c r="C1962" s="23"/>
      <c r="D1962" s="23"/>
      <c r="E1962" s="23"/>
      <c r="F1962" s="23"/>
      <c r="G1962" s="23"/>
      <c r="H1962" s="23"/>
      <c r="I1962" s="23"/>
      <c r="J1962" s="23"/>
      <c r="K1962" s="23"/>
      <c r="L1962" s="23"/>
      <c r="M1962" s="23"/>
      <c r="N1962" s="23"/>
      <c r="O1962" s="23"/>
      <c r="P1962" s="23"/>
      <c r="Q1962" s="23"/>
      <c r="R1962" s="23"/>
      <c r="S1962" s="23"/>
      <c r="T1962" s="23"/>
    </row>
    <row r="1963" spans="1:20" x14ac:dyDescent="0.35">
      <c r="A1963" s="23"/>
      <c r="B1963" s="23"/>
      <c r="C1963" s="23"/>
      <c r="D1963" s="23"/>
      <c r="E1963" s="23"/>
      <c r="F1963" s="23"/>
      <c r="G1963" s="23"/>
      <c r="H1963" s="23"/>
      <c r="I1963" s="23"/>
      <c r="J1963" s="23"/>
      <c r="K1963" s="23"/>
      <c r="L1963" s="23"/>
      <c r="M1963" s="23"/>
      <c r="N1963" s="23"/>
      <c r="O1963" s="23"/>
      <c r="P1963" s="23"/>
      <c r="Q1963" s="23"/>
      <c r="R1963" s="23"/>
      <c r="S1963" s="23"/>
      <c r="T1963" s="23"/>
    </row>
    <row r="1964" spans="1:20" x14ac:dyDescent="0.35">
      <c r="A1964" s="23"/>
      <c r="B1964" s="23"/>
      <c r="C1964" s="23"/>
      <c r="D1964" s="23"/>
      <c r="E1964" s="23"/>
      <c r="F1964" s="23"/>
      <c r="G1964" s="23"/>
      <c r="H1964" s="23"/>
      <c r="I1964" s="23"/>
      <c r="J1964" s="23"/>
      <c r="K1964" s="23"/>
      <c r="L1964" s="23"/>
      <c r="M1964" s="23"/>
      <c r="N1964" s="23"/>
      <c r="O1964" s="23"/>
      <c r="P1964" s="23"/>
      <c r="Q1964" s="23"/>
      <c r="R1964" s="23"/>
      <c r="S1964" s="23"/>
      <c r="T1964" s="23"/>
    </row>
    <row r="1965" spans="1:20" x14ac:dyDescent="0.35">
      <c r="A1965" s="23"/>
      <c r="B1965" s="23"/>
      <c r="C1965" s="23"/>
      <c r="D1965" s="23"/>
      <c r="E1965" s="23"/>
      <c r="F1965" s="23"/>
      <c r="G1965" s="23"/>
      <c r="H1965" s="23"/>
      <c r="I1965" s="23"/>
      <c r="J1965" s="23"/>
      <c r="K1965" s="23"/>
      <c r="L1965" s="23"/>
      <c r="M1965" s="23"/>
      <c r="N1965" s="23"/>
      <c r="O1965" s="23"/>
      <c r="P1965" s="23"/>
      <c r="Q1965" s="23"/>
      <c r="R1965" s="23"/>
      <c r="S1965" s="23"/>
      <c r="T1965" s="23"/>
    </row>
    <row r="1966" spans="1:20" x14ac:dyDescent="0.35">
      <c r="A1966" s="23"/>
      <c r="B1966" s="23"/>
      <c r="C1966" s="23"/>
      <c r="D1966" s="23"/>
      <c r="E1966" s="23"/>
      <c r="F1966" s="23"/>
      <c r="G1966" s="23"/>
      <c r="H1966" s="23"/>
      <c r="I1966" s="23"/>
      <c r="J1966" s="23"/>
      <c r="K1966" s="23"/>
      <c r="L1966" s="23"/>
      <c r="M1966" s="23"/>
      <c r="N1966" s="23"/>
      <c r="O1966" s="23"/>
      <c r="P1966" s="23"/>
      <c r="Q1966" s="23"/>
      <c r="R1966" s="23"/>
      <c r="S1966" s="23"/>
      <c r="T1966" s="23"/>
    </row>
    <row r="1967" spans="1:20" x14ac:dyDescent="0.35">
      <c r="A1967" s="23"/>
      <c r="B1967" s="23"/>
      <c r="C1967" s="23"/>
      <c r="D1967" s="23"/>
      <c r="E1967" s="23"/>
      <c r="F1967" s="23"/>
      <c r="G1967" s="23"/>
      <c r="H1967" s="23"/>
      <c r="I1967" s="23"/>
      <c r="J1967" s="23"/>
      <c r="K1967" s="23"/>
      <c r="L1967" s="23"/>
      <c r="M1967" s="23"/>
      <c r="N1967" s="23"/>
      <c r="O1967" s="23"/>
      <c r="P1967" s="23"/>
      <c r="Q1967" s="23"/>
      <c r="R1967" s="23"/>
      <c r="S1967" s="23"/>
      <c r="T1967" s="23"/>
    </row>
    <row r="1968" spans="1:20" x14ac:dyDescent="0.35">
      <c r="A1968" s="23"/>
      <c r="B1968" s="23"/>
      <c r="C1968" s="23"/>
      <c r="D1968" s="23"/>
      <c r="E1968" s="23"/>
      <c r="F1968" s="23"/>
      <c r="G1968" s="23"/>
      <c r="H1968" s="23"/>
      <c r="I1968" s="23"/>
      <c r="J1968" s="23"/>
      <c r="K1968" s="23"/>
      <c r="L1968" s="23"/>
      <c r="M1968" s="23"/>
      <c r="N1968" s="23"/>
      <c r="O1968" s="23"/>
      <c r="P1968" s="23"/>
      <c r="Q1968" s="23"/>
      <c r="R1968" s="23"/>
      <c r="S1968" s="23"/>
      <c r="T1968" s="23"/>
    </row>
    <row r="1969" spans="1:20" x14ac:dyDescent="0.35">
      <c r="A1969" s="23"/>
      <c r="B1969" s="23"/>
      <c r="C1969" s="23"/>
      <c r="D1969" s="23"/>
      <c r="E1969" s="23"/>
      <c r="F1969" s="23"/>
      <c r="G1969" s="23"/>
      <c r="H1969" s="23"/>
      <c r="I1969" s="23"/>
      <c r="J1969" s="23"/>
      <c r="K1969" s="23"/>
      <c r="L1969" s="23"/>
      <c r="M1969" s="23"/>
      <c r="N1969" s="23"/>
      <c r="O1969" s="23"/>
      <c r="P1969" s="23"/>
      <c r="Q1969" s="23"/>
      <c r="R1969" s="23"/>
      <c r="S1969" s="23"/>
      <c r="T1969" s="23"/>
    </row>
    <row r="1970" spans="1:20" x14ac:dyDescent="0.35">
      <c r="A1970" s="23"/>
      <c r="B1970" s="23"/>
      <c r="C1970" s="23"/>
      <c r="D1970" s="23"/>
      <c r="E1970" s="23"/>
      <c r="F1970" s="23"/>
      <c r="G1970" s="23"/>
      <c r="H1970" s="23"/>
      <c r="I1970" s="23"/>
      <c r="J1970" s="23"/>
      <c r="K1970" s="23"/>
      <c r="L1970" s="23"/>
      <c r="M1970" s="23"/>
      <c r="N1970" s="23"/>
      <c r="O1970" s="23"/>
      <c r="P1970" s="23"/>
      <c r="Q1970" s="23"/>
      <c r="R1970" s="23"/>
      <c r="S1970" s="23"/>
      <c r="T1970" s="23"/>
    </row>
    <row r="1971" spans="1:20" x14ac:dyDescent="0.35">
      <c r="A1971" s="23"/>
      <c r="B1971" s="23"/>
      <c r="C1971" s="23"/>
      <c r="D1971" s="23"/>
      <c r="E1971" s="23"/>
      <c r="F1971" s="23"/>
      <c r="G1971" s="23"/>
      <c r="H1971" s="23"/>
      <c r="I1971" s="23"/>
      <c r="J1971" s="23"/>
      <c r="K1971" s="23"/>
      <c r="L1971" s="23"/>
      <c r="M1971" s="23"/>
      <c r="N1971" s="23"/>
      <c r="O1971" s="23"/>
      <c r="P1971" s="23"/>
      <c r="Q1971" s="23"/>
      <c r="R1971" s="23"/>
      <c r="S1971" s="23"/>
      <c r="T1971" s="23"/>
    </row>
    <row r="1972" spans="1:20" x14ac:dyDescent="0.35">
      <c r="A1972" s="23"/>
      <c r="B1972" s="23"/>
      <c r="C1972" s="23"/>
      <c r="D1972" s="23"/>
      <c r="E1972" s="23"/>
      <c r="F1972" s="23"/>
      <c r="G1972" s="23"/>
      <c r="H1972" s="23"/>
      <c r="I1972" s="23"/>
      <c r="J1972" s="23"/>
      <c r="K1972" s="23"/>
      <c r="L1972" s="23"/>
      <c r="M1972" s="23"/>
      <c r="N1972" s="23"/>
      <c r="O1972" s="23"/>
      <c r="P1972" s="23"/>
      <c r="Q1972" s="23"/>
      <c r="R1972" s="23"/>
      <c r="S1972" s="23"/>
      <c r="T1972" s="23"/>
    </row>
    <row r="1973" spans="1:20" x14ac:dyDescent="0.35">
      <c r="A1973" s="23"/>
      <c r="B1973" s="23"/>
      <c r="C1973" s="23"/>
      <c r="D1973" s="23"/>
      <c r="E1973" s="23"/>
      <c r="F1973" s="23"/>
      <c r="G1973" s="23"/>
      <c r="H1973" s="23"/>
      <c r="I1973" s="23"/>
      <c r="J1973" s="23"/>
      <c r="K1973" s="23"/>
      <c r="L1973" s="23"/>
      <c r="M1973" s="23"/>
      <c r="N1973" s="23"/>
      <c r="O1973" s="23"/>
      <c r="P1973" s="23"/>
      <c r="Q1973" s="23"/>
      <c r="R1973" s="23"/>
      <c r="S1973" s="23"/>
      <c r="T1973" s="23"/>
    </row>
    <row r="1974" spans="1:20" x14ac:dyDescent="0.35">
      <c r="A1974" s="23"/>
      <c r="B1974" s="23"/>
      <c r="C1974" s="23"/>
      <c r="D1974" s="23"/>
      <c r="E1974" s="23"/>
      <c r="F1974" s="23"/>
      <c r="G1974" s="23"/>
      <c r="H1974" s="23"/>
      <c r="I1974" s="23"/>
      <c r="J1974" s="23"/>
      <c r="K1974" s="23"/>
      <c r="L1974" s="23"/>
      <c r="M1974" s="23"/>
      <c r="N1974" s="23"/>
      <c r="O1974" s="23"/>
      <c r="P1974" s="23"/>
      <c r="Q1974" s="23"/>
      <c r="R1974" s="23"/>
      <c r="S1974" s="23"/>
      <c r="T1974" s="23"/>
    </row>
    <row r="1975" spans="1:20" x14ac:dyDescent="0.35">
      <c r="A1975" s="23"/>
      <c r="B1975" s="23"/>
      <c r="C1975" s="23"/>
      <c r="D1975" s="23"/>
      <c r="E1975" s="23"/>
      <c r="F1975" s="23"/>
      <c r="G1975" s="23"/>
      <c r="H1975" s="23"/>
      <c r="I1975" s="23"/>
      <c r="J1975" s="23"/>
      <c r="K1975" s="23"/>
      <c r="L1975" s="23"/>
      <c r="M1975" s="23"/>
      <c r="N1975" s="23"/>
      <c r="O1975" s="23"/>
      <c r="P1975" s="23"/>
      <c r="Q1975" s="23"/>
      <c r="R1975" s="23"/>
      <c r="S1975" s="23"/>
      <c r="T1975" s="23"/>
    </row>
    <row r="1976" spans="1:20" x14ac:dyDescent="0.35">
      <c r="A1976" s="23"/>
      <c r="B1976" s="23"/>
      <c r="C1976" s="23"/>
      <c r="D1976" s="23"/>
      <c r="E1976" s="23"/>
      <c r="F1976" s="23"/>
      <c r="G1976" s="23"/>
      <c r="H1976" s="23"/>
      <c r="I1976" s="23"/>
      <c r="J1976" s="23"/>
      <c r="K1976" s="23"/>
      <c r="L1976" s="23"/>
      <c r="M1976" s="23"/>
      <c r="N1976" s="23"/>
      <c r="O1976" s="23"/>
      <c r="P1976" s="23"/>
      <c r="Q1976" s="23"/>
      <c r="R1976" s="23"/>
      <c r="S1976" s="23"/>
      <c r="T1976" s="23"/>
    </row>
    <row r="1977" spans="1:20" x14ac:dyDescent="0.35">
      <c r="A1977" s="23"/>
      <c r="B1977" s="23"/>
      <c r="C1977" s="23"/>
      <c r="D1977" s="23"/>
      <c r="E1977" s="23"/>
      <c r="F1977" s="23"/>
      <c r="G1977" s="23"/>
      <c r="H1977" s="23"/>
      <c r="I1977" s="23"/>
      <c r="J1977" s="23"/>
      <c r="K1977" s="23"/>
      <c r="L1977" s="23"/>
      <c r="M1977" s="23"/>
      <c r="N1977" s="23"/>
      <c r="O1977" s="23"/>
      <c r="P1977" s="23"/>
      <c r="Q1977" s="23"/>
      <c r="R1977" s="23"/>
      <c r="S1977" s="23"/>
      <c r="T1977" s="23"/>
    </row>
    <row r="1978" spans="1:20" x14ac:dyDescent="0.35">
      <c r="A1978" s="23"/>
      <c r="B1978" s="23"/>
      <c r="C1978" s="23"/>
      <c r="D1978" s="23"/>
      <c r="E1978" s="23"/>
      <c r="F1978" s="23"/>
      <c r="G1978" s="23"/>
      <c r="H1978" s="23"/>
      <c r="I1978" s="23"/>
      <c r="J1978" s="23"/>
      <c r="K1978" s="23"/>
      <c r="L1978" s="23"/>
      <c r="M1978" s="23"/>
      <c r="N1978" s="23"/>
      <c r="O1978" s="23"/>
      <c r="P1978" s="23"/>
      <c r="Q1978" s="23"/>
      <c r="R1978" s="23"/>
      <c r="S1978" s="23"/>
      <c r="T1978" s="23"/>
    </row>
    <row r="1979" spans="1:20" x14ac:dyDescent="0.35">
      <c r="A1979" s="23"/>
      <c r="B1979" s="23"/>
      <c r="C1979" s="23"/>
      <c r="D1979" s="23"/>
      <c r="E1979" s="23"/>
      <c r="F1979" s="23"/>
      <c r="G1979" s="23"/>
      <c r="H1979" s="23"/>
      <c r="I1979" s="23"/>
      <c r="J1979" s="23"/>
      <c r="K1979" s="23"/>
      <c r="L1979" s="23"/>
      <c r="M1979" s="23"/>
      <c r="N1979" s="23"/>
      <c r="O1979" s="23"/>
      <c r="P1979" s="23"/>
      <c r="Q1979" s="23"/>
      <c r="R1979" s="23"/>
      <c r="S1979" s="23"/>
      <c r="T1979" s="23"/>
    </row>
    <row r="1980" spans="1:20" x14ac:dyDescent="0.35">
      <c r="A1980" s="23"/>
      <c r="B1980" s="23"/>
      <c r="C1980" s="23"/>
      <c r="D1980" s="23"/>
      <c r="E1980" s="23"/>
      <c r="F1980" s="23"/>
      <c r="G1980" s="23"/>
      <c r="H1980" s="23"/>
      <c r="I1980" s="23"/>
      <c r="J1980" s="23"/>
      <c r="K1980" s="23"/>
      <c r="L1980" s="23"/>
      <c r="M1980" s="23"/>
      <c r="N1980" s="23"/>
      <c r="O1980" s="23"/>
      <c r="P1980" s="23"/>
      <c r="Q1980" s="23"/>
      <c r="R1980" s="23"/>
      <c r="S1980" s="23"/>
      <c r="T1980" s="23"/>
    </row>
    <row r="1981" spans="1:20" x14ac:dyDescent="0.35">
      <c r="A1981" s="23"/>
      <c r="B1981" s="23"/>
      <c r="C1981" s="23"/>
      <c r="D1981" s="23"/>
      <c r="E1981" s="23"/>
      <c r="F1981" s="23"/>
      <c r="G1981" s="23"/>
      <c r="H1981" s="23"/>
      <c r="I1981" s="23"/>
      <c r="J1981" s="23"/>
      <c r="K1981" s="23"/>
      <c r="L1981" s="23"/>
      <c r="M1981" s="23"/>
      <c r="N1981" s="23"/>
      <c r="O1981" s="23"/>
      <c r="P1981" s="23"/>
      <c r="Q1981" s="23"/>
      <c r="R1981" s="23"/>
      <c r="S1981" s="23"/>
      <c r="T1981" s="23"/>
    </row>
    <row r="1982" spans="1:20" x14ac:dyDescent="0.35">
      <c r="A1982" s="23"/>
      <c r="B1982" s="23"/>
      <c r="C1982" s="23"/>
      <c r="D1982" s="23"/>
      <c r="E1982" s="23"/>
      <c r="F1982" s="23"/>
      <c r="G1982" s="23"/>
      <c r="H1982" s="23"/>
      <c r="I1982" s="23"/>
      <c r="J1982" s="23"/>
      <c r="K1982" s="23"/>
      <c r="L1982" s="23"/>
      <c r="M1982" s="23"/>
      <c r="N1982" s="23"/>
      <c r="O1982" s="23"/>
      <c r="P1982" s="23"/>
      <c r="Q1982" s="23"/>
      <c r="R1982" s="23"/>
      <c r="S1982" s="23"/>
      <c r="T1982" s="23"/>
    </row>
    <row r="1983" spans="1:20" x14ac:dyDescent="0.35">
      <c r="A1983" s="23"/>
      <c r="B1983" s="23"/>
      <c r="C1983" s="23"/>
      <c r="D1983" s="23"/>
      <c r="E1983" s="23"/>
      <c r="F1983" s="23"/>
      <c r="G1983" s="23"/>
      <c r="H1983" s="23"/>
      <c r="I1983" s="23"/>
      <c r="J1983" s="23"/>
      <c r="K1983" s="23"/>
      <c r="L1983" s="23"/>
      <c r="M1983" s="23"/>
      <c r="N1983" s="23"/>
      <c r="O1983" s="23"/>
      <c r="P1983" s="23"/>
      <c r="Q1983" s="23"/>
      <c r="R1983" s="23"/>
      <c r="S1983" s="23"/>
      <c r="T1983" s="23"/>
    </row>
    <row r="1984" spans="1:20" x14ac:dyDescent="0.35">
      <c r="A1984" s="23"/>
      <c r="B1984" s="23"/>
      <c r="C1984" s="23"/>
      <c r="D1984" s="23"/>
      <c r="E1984" s="23"/>
      <c r="F1984" s="23"/>
      <c r="G1984" s="23"/>
      <c r="H1984" s="23"/>
      <c r="I1984" s="23"/>
      <c r="J1984" s="23"/>
      <c r="K1984" s="23"/>
      <c r="L1984" s="23"/>
      <c r="M1984" s="23"/>
      <c r="N1984" s="23"/>
      <c r="O1984" s="23"/>
      <c r="P1984" s="23"/>
      <c r="Q1984" s="23"/>
      <c r="R1984" s="23"/>
      <c r="S1984" s="23"/>
      <c r="T1984" s="23"/>
    </row>
    <row r="1985" spans="1:20" x14ac:dyDescent="0.35">
      <c r="A1985" s="23"/>
      <c r="B1985" s="23"/>
      <c r="C1985" s="23"/>
      <c r="D1985" s="23"/>
      <c r="E1985" s="23"/>
      <c r="F1985" s="23"/>
      <c r="G1985" s="23"/>
      <c r="H1985" s="23"/>
      <c r="I1985" s="23"/>
      <c r="J1985" s="23"/>
      <c r="K1985" s="23"/>
      <c r="L1985" s="23"/>
      <c r="M1985" s="23"/>
      <c r="N1985" s="23"/>
      <c r="O1985" s="23"/>
      <c r="P1985" s="23"/>
      <c r="Q1985" s="23"/>
      <c r="R1985" s="23"/>
      <c r="S1985" s="23"/>
      <c r="T1985" s="23"/>
    </row>
    <row r="1986" spans="1:20" x14ac:dyDescent="0.35">
      <c r="A1986" s="23"/>
      <c r="B1986" s="23"/>
      <c r="C1986" s="23"/>
      <c r="D1986" s="23"/>
      <c r="E1986" s="23"/>
      <c r="F1986" s="23"/>
      <c r="G1986" s="23"/>
      <c r="H1986" s="23"/>
      <c r="I1986" s="23"/>
      <c r="J1986" s="23"/>
      <c r="K1986" s="23"/>
      <c r="L1986" s="23"/>
      <c r="M1986" s="23"/>
      <c r="N1986" s="23"/>
      <c r="O1986" s="23"/>
      <c r="P1986" s="23"/>
      <c r="Q1986" s="23"/>
      <c r="R1986" s="23"/>
      <c r="S1986" s="23"/>
      <c r="T1986" s="23"/>
    </row>
    <row r="1987" spans="1:20" x14ac:dyDescent="0.35">
      <c r="A1987" s="23"/>
      <c r="B1987" s="23"/>
      <c r="C1987" s="23"/>
      <c r="D1987" s="23"/>
      <c r="E1987" s="23"/>
      <c r="F1987" s="23"/>
      <c r="G1987" s="23"/>
      <c r="H1987" s="23"/>
      <c r="I1987" s="23"/>
      <c r="J1987" s="23"/>
      <c r="K1987" s="23"/>
      <c r="L1987" s="23"/>
      <c r="M1987" s="23"/>
      <c r="N1987" s="23"/>
      <c r="O1987" s="23"/>
      <c r="P1987" s="23"/>
      <c r="Q1987" s="23"/>
      <c r="R1987" s="23"/>
      <c r="S1987" s="23"/>
      <c r="T1987" s="23"/>
    </row>
    <row r="1988" spans="1:20" x14ac:dyDescent="0.35">
      <c r="A1988" s="23"/>
      <c r="B1988" s="23"/>
      <c r="C1988" s="23"/>
      <c r="D1988" s="23"/>
      <c r="E1988" s="23"/>
      <c r="F1988" s="23"/>
      <c r="G1988" s="23"/>
      <c r="H1988" s="23"/>
      <c r="I1988" s="23"/>
      <c r="J1988" s="23"/>
      <c r="K1988" s="23"/>
      <c r="L1988" s="23"/>
      <c r="M1988" s="23"/>
      <c r="N1988" s="23"/>
      <c r="O1988" s="23"/>
      <c r="P1988" s="23"/>
      <c r="Q1988" s="23"/>
      <c r="R1988" s="23"/>
      <c r="S1988" s="23"/>
      <c r="T1988" s="23"/>
    </row>
    <row r="1989" spans="1:20" x14ac:dyDescent="0.35">
      <c r="A1989" s="23"/>
      <c r="B1989" s="23"/>
      <c r="C1989" s="23"/>
      <c r="D1989" s="23"/>
      <c r="E1989" s="23"/>
      <c r="F1989" s="23"/>
      <c r="G1989" s="23"/>
      <c r="H1989" s="23"/>
      <c r="I1989" s="23"/>
      <c r="J1989" s="23"/>
      <c r="K1989" s="23"/>
      <c r="L1989" s="23"/>
      <c r="M1989" s="23"/>
      <c r="N1989" s="23"/>
      <c r="O1989" s="23"/>
      <c r="P1989" s="23"/>
      <c r="Q1989" s="23"/>
      <c r="R1989" s="23"/>
      <c r="S1989" s="23"/>
      <c r="T1989" s="23"/>
    </row>
    <row r="1990" spans="1:20" x14ac:dyDescent="0.35">
      <c r="A1990" s="23"/>
      <c r="B1990" s="23"/>
      <c r="C1990" s="23"/>
      <c r="D1990" s="23"/>
      <c r="E1990" s="23"/>
      <c r="F1990" s="23"/>
      <c r="G1990" s="23"/>
      <c r="H1990" s="23"/>
      <c r="I1990" s="23"/>
      <c r="J1990" s="23"/>
      <c r="K1990" s="23"/>
      <c r="L1990" s="23"/>
      <c r="M1990" s="23"/>
      <c r="N1990" s="23"/>
      <c r="O1990" s="23"/>
      <c r="P1990" s="23"/>
      <c r="Q1990" s="23"/>
      <c r="R1990" s="23"/>
      <c r="S1990" s="23"/>
      <c r="T1990" s="23"/>
    </row>
    <row r="1991" spans="1:20" x14ac:dyDescent="0.35">
      <c r="A1991" s="23"/>
      <c r="B1991" s="23"/>
      <c r="C1991" s="23"/>
      <c r="D1991" s="23"/>
      <c r="E1991" s="23"/>
      <c r="F1991" s="23"/>
      <c r="G1991" s="23"/>
      <c r="H1991" s="23"/>
      <c r="I1991" s="23"/>
      <c r="J1991" s="23"/>
      <c r="K1991" s="23"/>
      <c r="L1991" s="23"/>
      <c r="M1991" s="23"/>
      <c r="N1991" s="23"/>
      <c r="O1991" s="23"/>
      <c r="P1991" s="23"/>
      <c r="Q1991" s="23"/>
      <c r="R1991" s="23"/>
      <c r="S1991" s="23"/>
      <c r="T1991" s="23"/>
    </row>
    <row r="1992" spans="1:20" x14ac:dyDescent="0.35">
      <c r="A1992" s="23"/>
      <c r="B1992" s="23"/>
      <c r="C1992" s="23"/>
      <c r="D1992" s="23"/>
      <c r="E1992" s="23"/>
      <c r="F1992" s="23"/>
      <c r="G1992" s="23"/>
      <c r="H1992" s="23"/>
      <c r="I1992" s="23"/>
      <c r="J1992" s="23"/>
      <c r="K1992" s="23"/>
      <c r="L1992" s="23"/>
      <c r="M1992" s="23"/>
      <c r="N1992" s="23"/>
      <c r="O1992" s="23"/>
      <c r="P1992" s="23"/>
      <c r="Q1992" s="23"/>
      <c r="R1992" s="23"/>
      <c r="S1992" s="23"/>
      <c r="T1992" s="23"/>
    </row>
    <row r="1993" spans="1:20" x14ac:dyDescent="0.35">
      <c r="A1993" s="23"/>
      <c r="B1993" s="23"/>
      <c r="C1993" s="23"/>
      <c r="D1993" s="23"/>
      <c r="E1993" s="23"/>
      <c r="F1993" s="23"/>
      <c r="G1993" s="23"/>
      <c r="H1993" s="23"/>
      <c r="I1993" s="23"/>
      <c r="J1993" s="23"/>
      <c r="K1993" s="23"/>
      <c r="L1993" s="23"/>
      <c r="M1993" s="23"/>
      <c r="N1993" s="23"/>
      <c r="O1993" s="23"/>
      <c r="P1993" s="23"/>
      <c r="Q1993" s="23"/>
      <c r="R1993" s="23"/>
      <c r="S1993" s="23"/>
      <c r="T1993" s="23"/>
    </row>
    <row r="1994" spans="1:20" x14ac:dyDescent="0.35">
      <c r="A1994" s="23"/>
      <c r="B1994" s="23"/>
      <c r="C1994" s="23"/>
      <c r="D1994" s="23"/>
      <c r="E1994" s="23"/>
      <c r="F1994" s="23"/>
      <c r="G1994" s="23"/>
      <c r="H1994" s="23"/>
      <c r="I1994" s="23"/>
      <c r="J1994" s="23"/>
      <c r="K1994" s="23"/>
      <c r="L1994" s="23"/>
      <c r="M1994" s="23"/>
      <c r="N1994" s="23"/>
      <c r="O1994" s="23"/>
      <c r="P1994" s="23"/>
      <c r="Q1994" s="23"/>
      <c r="R1994" s="23"/>
      <c r="S1994" s="23"/>
      <c r="T1994" s="23"/>
    </row>
    <row r="1995" spans="1:20" x14ac:dyDescent="0.35">
      <c r="A1995" s="23"/>
      <c r="B1995" s="23"/>
      <c r="C1995" s="23"/>
      <c r="D1995" s="23"/>
      <c r="E1995" s="23"/>
      <c r="F1995" s="23"/>
      <c r="G1995" s="23"/>
      <c r="H1995" s="23"/>
      <c r="I1995" s="23"/>
      <c r="J1995" s="23"/>
      <c r="K1995" s="23"/>
      <c r="L1995" s="23"/>
      <c r="M1995" s="23"/>
      <c r="N1995" s="23"/>
      <c r="O1995" s="23"/>
      <c r="P1995" s="23"/>
      <c r="Q1995" s="23"/>
      <c r="R1995" s="23"/>
      <c r="S1995" s="23"/>
      <c r="T1995" s="23"/>
    </row>
    <row r="1996" spans="1:20" x14ac:dyDescent="0.35">
      <c r="A1996" s="23"/>
      <c r="B1996" s="23"/>
      <c r="C1996" s="23"/>
      <c r="D1996" s="23"/>
      <c r="E1996" s="23"/>
      <c r="F1996" s="23"/>
      <c r="G1996" s="23"/>
      <c r="H1996" s="23"/>
      <c r="I1996" s="23"/>
      <c r="J1996" s="23"/>
      <c r="K1996" s="23"/>
      <c r="L1996" s="23"/>
      <c r="M1996" s="23"/>
      <c r="N1996" s="23"/>
      <c r="O1996" s="23"/>
      <c r="P1996" s="23"/>
      <c r="Q1996" s="23"/>
      <c r="R1996" s="23"/>
      <c r="S1996" s="23"/>
      <c r="T1996" s="23"/>
    </row>
    <row r="1997" spans="1:20" x14ac:dyDescent="0.35">
      <c r="A1997" s="23"/>
      <c r="B1997" s="23"/>
      <c r="C1997" s="23"/>
      <c r="D1997" s="23"/>
      <c r="E1997" s="23"/>
      <c r="F1997" s="23"/>
      <c r="G1997" s="23"/>
      <c r="H1997" s="23"/>
      <c r="I1997" s="23"/>
      <c r="J1997" s="23"/>
      <c r="K1997" s="23"/>
      <c r="L1997" s="23"/>
      <c r="M1997" s="23"/>
      <c r="N1997" s="23"/>
      <c r="O1997" s="23"/>
      <c r="P1997" s="23"/>
      <c r="Q1997" s="23"/>
      <c r="R1997" s="23"/>
      <c r="S1997" s="23"/>
      <c r="T1997" s="23"/>
    </row>
    <row r="1998" spans="1:20" x14ac:dyDescent="0.35">
      <c r="A1998" s="23"/>
      <c r="B1998" s="23"/>
      <c r="C1998" s="23"/>
      <c r="D1998" s="23"/>
      <c r="E1998" s="23"/>
      <c r="F1998" s="23"/>
      <c r="G1998" s="23"/>
      <c r="H1998" s="23"/>
      <c r="I1998" s="23"/>
      <c r="J1998" s="23"/>
      <c r="K1998" s="23"/>
      <c r="L1998" s="23"/>
      <c r="M1998" s="23"/>
      <c r="N1998" s="23"/>
      <c r="O1998" s="23"/>
      <c r="P1998" s="23"/>
      <c r="Q1998" s="23"/>
      <c r="R1998" s="23"/>
      <c r="S1998" s="23"/>
      <c r="T1998" s="23"/>
    </row>
    <row r="1999" spans="1:20" x14ac:dyDescent="0.35">
      <c r="A1999" s="23"/>
      <c r="B1999" s="23"/>
      <c r="C1999" s="23"/>
      <c r="D1999" s="23"/>
      <c r="E1999" s="23"/>
      <c r="F1999" s="23"/>
      <c r="G1999" s="23"/>
      <c r="H1999" s="23"/>
      <c r="I1999" s="23"/>
      <c r="J1999" s="23"/>
      <c r="K1999" s="23"/>
      <c r="L1999" s="23"/>
      <c r="M1999" s="23"/>
      <c r="N1999" s="23"/>
      <c r="O1999" s="23"/>
      <c r="P1999" s="23"/>
      <c r="Q1999" s="23"/>
      <c r="R1999" s="23"/>
      <c r="S1999" s="23"/>
      <c r="T1999" s="23"/>
    </row>
    <row r="2000" spans="1:20" x14ac:dyDescent="0.35">
      <c r="A2000" s="23"/>
      <c r="B2000" s="23"/>
      <c r="C2000" s="23"/>
      <c r="D2000" s="23"/>
      <c r="E2000" s="23"/>
      <c r="F2000" s="23"/>
      <c r="G2000" s="23"/>
      <c r="H2000" s="23"/>
      <c r="I2000" s="23"/>
      <c r="J2000" s="23"/>
      <c r="K2000" s="23"/>
      <c r="L2000" s="23"/>
      <c r="M2000" s="23"/>
      <c r="N2000" s="23"/>
      <c r="O2000" s="23"/>
      <c r="P2000" s="23"/>
      <c r="Q2000" s="23"/>
      <c r="R2000" s="23"/>
      <c r="S2000" s="23"/>
      <c r="T2000" s="23"/>
    </row>
    <row r="2001" spans="1:20" x14ac:dyDescent="0.35">
      <c r="A2001" s="23"/>
      <c r="B2001" s="23"/>
      <c r="C2001" s="23"/>
      <c r="D2001" s="23"/>
      <c r="E2001" s="23"/>
      <c r="F2001" s="23"/>
      <c r="G2001" s="23"/>
      <c r="H2001" s="23"/>
      <c r="I2001" s="23"/>
      <c r="J2001" s="23"/>
      <c r="K2001" s="23"/>
      <c r="L2001" s="23"/>
      <c r="M2001" s="23"/>
      <c r="N2001" s="23"/>
      <c r="O2001" s="23"/>
      <c r="P2001" s="23"/>
      <c r="Q2001" s="23"/>
      <c r="R2001" s="23"/>
      <c r="S2001" s="23"/>
      <c r="T2001" s="23"/>
    </row>
    <row r="2002" spans="1:20" x14ac:dyDescent="0.35">
      <c r="A2002" s="23"/>
      <c r="B2002" s="23"/>
      <c r="C2002" s="23"/>
      <c r="D2002" s="23"/>
      <c r="E2002" s="23"/>
      <c r="F2002" s="23"/>
      <c r="G2002" s="23"/>
      <c r="H2002" s="23"/>
      <c r="I2002" s="23"/>
      <c r="J2002" s="23"/>
      <c r="K2002" s="23"/>
      <c r="L2002" s="23"/>
      <c r="M2002" s="23"/>
      <c r="N2002" s="23"/>
      <c r="O2002" s="23"/>
      <c r="P2002" s="23"/>
      <c r="Q2002" s="23"/>
      <c r="R2002" s="23"/>
      <c r="S2002" s="23"/>
      <c r="T2002" s="23"/>
    </row>
    <row r="2003" spans="1:20" x14ac:dyDescent="0.35">
      <c r="A2003" s="23"/>
      <c r="B2003" s="23"/>
      <c r="C2003" s="23"/>
      <c r="D2003" s="23"/>
      <c r="E2003" s="23"/>
      <c r="F2003" s="23"/>
      <c r="G2003" s="23"/>
      <c r="H2003" s="23"/>
      <c r="I2003" s="23"/>
      <c r="J2003" s="23"/>
      <c r="K2003" s="23"/>
      <c r="L2003" s="23"/>
      <c r="M2003" s="23"/>
      <c r="N2003" s="23"/>
      <c r="O2003" s="23"/>
      <c r="P2003" s="23"/>
      <c r="Q2003" s="23"/>
      <c r="R2003" s="23"/>
      <c r="S2003" s="23"/>
      <c r="T2003" s="23"/>
    </row>
    <row r="2004" spans="1:20" x14ac:dyDescent="0.35">
      <c r="A2004" s="23"/>
      <c r="B2004" s="23"/>
      <c r="C2004" s="23"/>
      <c r="D2004" s="23"/>
      <c r="E2004" s="23"/>
      <c r="F2004" s="23"/>
      <c r="G2004" s="23"/>
      <c r="H2004" s="23"/>
      <c r="I2004" s="23"/>
      <c r="J2004" s="23"/>
      <c r="K2004" s="23"/>
      <c r="L2004" s="23"/>
      <c r="M2004" s="23"/>
      <c r="N2004" s="23"/>
      <c r="O2004" s="23"/>
      <c r="P2004" s="23"/>
      <c r="Q2004" s="23"/>
      <c r="R2004" s="23"/>
      <c r="S2004" s="23"/>
      <c r="T2004" s="23"/>
    </row>
    <row r="2005" spans="1:20" x14ac:dyDescent="0.35">
      <c r="A2005" s="23"/>
      <c r="B2005" s="23"/>
      <c r="C2005" s="23"/>
      <c r="D2005" s="23"/>
      <c r="E2005" s="23"/>
      <c r="F2005" s="23"/>
      <c r="G2005" s="23"/>
      <c r="H2005" s="23"/>
      <c r="I2005" s="23"/>
      <c r="J2005" s="23"/>
      <c r="K2005" s="23"/>
      <c r="L2005" s="23"/>
      <c r="M2005" s="23"/>
      <c r="N2005" s="23"/>
      <c r="O2005" s="23"/>
      <c r="P2005" s="23"/>
      <c r="Q2005" s="23"/>
      <c r="R2005" s="23"/>
      <c r="S2005" s="23"/>
      <c r="T2005" s="23"/>
    </row>
    <row r="2006" spans="1:20" x14ac:dyDescent="0.35">
      <c r="A2006" s="23"/>
      <c r="B2006" s="23"/>
      <c r="C2006" s="23"/>
      <c r="D2006" s="23"/>
      <c r="E2006" s="23"/>
      <c r="F2006" s="23"/>
      <c r="G2006" s="23"/>
      <c r="H2006" s="23"/>
      <c r="I2006" s="23"/>
      <c r="J2006" s="23"/>
      <c r="K2006" s="23"/>
      <c r="L2006" s="23"/>
      <c r="M2006" s="23"/>
      <c r="N2006" s="23"/>
      <c r="O2006" s="23"/>
      <c r="P2006" s="23"/>
      <c r="Q2006" s="23"/>
      <c r="R2006" s="23"/>
      <c r="S2006" s="23"/>
      <c r="T2006" s="23"/>
    </row>
    <row r="2007" spans="1:20" x14ac:dyDescent="0.35">
      <c r="A2007" s="23"/>
      <c r="B2007" s="23"/>
      <c r="C2007" s="23"/>
      <c r="D2007" s="23"/>
      <c r="E2007" s="23"/>
      <c r="F2007" s="23"/>
      <c r="G2007" s="23"/>
      <c r="H2007" s="23"/>
      <c r="I2007" s="23"/>
      <c r="J2007" s="23"/>
      <c r="K2007" s="23"/>
      <c r="L2007" s="23"/>
      <c r="M2007" s="23"/>
      <c r="N2007" s="23"/>
      <c r="O2007" s="23"/>
      <c r="P2007" s="23"/>
      <c r="Q2007" s="23"/>
      <c r="R2007" s="23"/>
      <c r="S2007" s="23"/>
      <c r="T2007" s="23"/>
    </row>
    <row r="2008" spans="1:20" x14ac:dyDescent="0.35">
      <c r="A2008" s="23"/>
      <c r="B2008" s="23"/>
      <c r="C2008" s="23"/>
      <c r="D2008" s="23"/>
      <c r="E2008" s="23"/>
      <c r="F2008" s="23"/>
      <c r="G2008" s="23"/>
      <c r="H2008" s="23"/>
      <c r="I2008" s="23"/>
      <c r="J2008" s="23"/>
      <c r="K2008" s="23"/>
      <c r="L2008" s="23"/>
      <c r="M2008" s="23"/>
      <c r="N2008" s="23"/>
      <c r="O2008" s="23"/>
      <c r="P2008" s="23"/>
      <c r="Q2008" s="23"/>
      <c r="R2008" s="23"/>
      <c r="S2008" s="23"/>
      <c r="T2008" s="23"/>
    </row>
    <row r="2009" spans="1:20" x14ac:dyDescent="0.35">
      <c r="A2009" s="23"/>
      <c r="B2009" s="23"/>
      <c r="C2009" s="23"/>
      <c r="D2009" s="23"/>
      <c r="E2009" s="23"/>
      <c r="F2009" s="23"/>
      <c r="G2009" s="23"/>
      <c r="H2009" s="23"/>
      <c r="I2009" s="23"/>
      <c r="J2009" s="23"/>
      <c r="K2009" s="23"/>
      <c r="L2009" s="23"/>
      <c r="M2009" s="23"/>
      <c r="N2009" s="23"/>
      <c r="O2009" s="23"/>
      <c r="P2009" s="23"/>
      <c r="Q2009" s="23"/>
      <c r="R2009" s="23"/>
      <c r="S2009" s="23"/>
      <c r="T2009" s="23"/>
    </row>
    <row r="2010" spans="1:20" x14ac:dyDescent="0.35">
      <c r="A2010" s="23"/>
      <c r="B2010" s="23"/>
      <c r="C2010" s="23"/>
      <c r="D2010" s="23"/>
      <c r="E2010" s="23"/>
      <c r="F2010" s="23"/>
      <c r="G2010" s="23"/>
      <c r="H2010" s="23"/>
      <c r="I2010" s="23"/>
      <c r="J2010" s="23"/>
      <c r="K2010" s="23"/>
      <c r="L2010" s="23"/>
      <c r="M2010" s="23"/>
      <c r="N2010" s="23"/>
      <c r="O2010" s="23"/>
      <c r="P2010" s="23"/>
      <c r="Q2010" s="23"/>
      <c r="R2010" s="23"/>
      <c r="S2010" s="23"/>
      <c r="T2010" s="23"/>
    </row>
    <row r="2011" spans="1:20" x14ac:dyDescent="0.35">
      <c r="A2011" s="23"/>
      <c r="B2011" s="23"/>
      <c r="C2011" s="23"/>
      <c r="D2011" s="23"/>
      <c r="E2011" s="23"/>
      <c r="F2011" s="23"/>
      <c r="G2011" s="23"/>
      <c r="H2011" s="23"/>
      <c r="I2011" s="23"/>
      <c r="J2011" s="23"/>
      <c r="K2011" s="23"/>
      <c r="L2011" s="23"/>
      <c r="M2011" s="23"/>
      <c r="N2011" s="23"/>
      <c r="O2011" s="23"/>
      <c r="P2011" s="23"/>
      <c r="Q2011" s="23"/>
      <c r="R2011" s="23"/>
      <c r="S2011" s="23"/>
      <c r="T2011" s="23"/>
    </row>
    <row r="2012" spans="1:20" x14ac:dyDescent="0.35">
      <c r="A2012" s="23"/>
      <c r="B2012" s="23"/>
      <c r="C2012" s="23"/>
      <c r="D2012" s="23"/>
      <c r="E2012" s="23"/>
      <c r="F2012" s="23"/>
      <c r="G2012" s="23"/>
      <c r="H2012" s="23"/>
      <c r="I2012" s="23"/>
      <c r="J2012" s="23"/>
      <c r="K2012" s="23"/>
      <c r="L2012" s="23"/>
      <c r="M2012" s="23"/>
      <c r="N2012" s="23"/>
      <c r="O2012" s="23"/>
      <c r="P2012" s="23"/>
      <c r="Q2012" s="23"/>
      <c r="R2012" s="23"/>
      <c r="S2012" s="23"/>
      <c r="T2012" s="23"/>
    </row>
    <row r="2013" spans="1:20" x14ac:dyDescent="0.35">
      <c r="A2013" s="23"/>
      <c r="B2013" s="23"/>
      <c r="C2013" s="23"/>
      <c r="D2013" s="23"/>
      <c r="E2013" s="23"/>
      <c r="F2013" s="23"/>
      <c r="G2013" s="23"/>
      <c r="H2013" s="23"/>
      <c r="I2013" s="23"/>
      <c r="J2013" s="23"/>
      <c r="K2013" s="23"/>
      <c r="L2013" s="23"/>
      <c r="M2013" s="23"/>
      <c r="N2013" s="23"/>
      <c r="O2013" s="23"/>
      <c r="P2013" s="23"/>
      <c r="Q2013" s="23"/>
      <c r="R2013" s="23"/>
      <c r="S2013" s="23"/>
      <c r="T2013" s="23"/>
    </row>
    <row r="2014" spans="1:20" x14ac:dyDescent="0.35">
      <c r="A2014" s="23"/>
      <c r="B2014" s="23"/>
      <c r="C2014" s="23"/>
      <c r="D2014" s="23"/>
      <c r="E2014" s="23"/>
      <c r="F2014" s="23"/>
      <c r="G2014" s="23"/>
      <c r="H2014" s="23"/>
      <c r="I2014" s="23"/>
      <c r="J2014" s="23"/>
      <c r="K2014" s="23"/>
      <c r="L2014" s="23"/>
      <c r="M2014" s="23"/>
      <c r="N2014" s="23"/>
      <c r="O2014" s="23"/>
      <c r="P2014" s="23"/>
      <c r="Q2014" s="23"/>
      <c r="R2014" s="23"/>
      <c r="S2014" s="23"/>
      <c r="T2014" s="23"/>
    </row>
    <row r="2015" spans="1:20" x14ac:dyDescent="0.35">
      <c r="A2015" s="23"/>
      <c r="B2015" s="23"/>
      <c r="C2015" s="23"/>
      <c r="D2015" s="23"/>
      <c r="E2015" s="23"/>
      <c r="F2015" s="23"/>
      <c r="G2015" s="23"/>
      <c r="H2015" s="23"/>
      <c r="I2015" s="23"/>
      <c r="J2015" s="23"/>
      <c r="K2015" s="23"/>
      <c r="L2015" s="23"/>
      <c r="M2015" s="23"/>
      <c r="N2015" s="23"/>
      <c r="O2015" s="23"/>
      <c r="P2015" s="23"/>
      <c r="Q2015" s="23"/>
      <c r="R2015" s="23"/>
      <c r="S2015" s="23"/>
      <c r="T2015" s="23"/>
    </row>
    <row r="2016" spans="1:20" x14ac:dyDescent="0.35">
      <c r="A2016" s="23"/>
      <c r="B2016" s="23"/>
      <c r="C2016" s="23"/>
      <c r="D2016" s="23"/>
      <c r="E2016" s="23"/>
      <c r="F2016" s="23"/>
      <c r="G2016" s="23"/>
      <c r="H2016" s="23"/>
      <c r="I2016" s="23"/>
      <c r="J2016" s="23"/>
      <c r="K2016" s="23"/>
      <c r="L2016" s="23"/>
      <c r="M2016" s="23"/>
      <c r="N2016" s="23"/>
      <c r="O2016" s="23"/>
      <c r="P2016" s="23"/>
      <c r="Q2016" s="23"/>
      <c r="R2016" s="23"/>
      <c r="S2016" s="23"/>
      <c r="T2016" s="23"/>
    </row>
    <row r="2017" spans="1:20" x14ac:dyDescent="0.35">
      <c r="A2017" s="23"/>
      <c r="B2017" s="23"/>
      <c r="C2017" s="23"/>
      <c r="D2017" s="23"/>
      <c r="E2017" s="23"/>
      <c r="F2017" s="23"/>
      <c r="G2017" s="23"/>
      <c r="H2017" s="23"/>
      <c r="I2017" s="23"/>
      <c r="J2017" s="23"/>
      <c r="K2017" s="23"/>
      <c r="L2017" s="23"/>
      <c r="M2017" s="23"/>
      <c r="N2017" s="23"/>
      <c r="O2017" s="23"/>
      <c r="P2017" s="23"/>
      <c r="Q2017" s="23"/>
      <c r="R2017" s="23"/>
      <c r="S2017" s="23"/>
      <c r="T2017" s="23"/>
    </row>
    <row r="2018" spans="1:20" x14ac:dyDescent="0.35">
      <c r="A2018" s="23"/>
      <c r="B2018" s="23"/>
      <c r="C2018" s="23"/>
      <c r="D2018" s="23"/>
      <c r="E2018" s="23"/>
      <c r="F2018" s="23"/>
      <c r="G2018" s="23"/>
      <c r="H2018" s="23"/>
      <c r="I2018" s="23"/>
      <c r="J2018" s="23"/>
      <c r="K2018" s="23"/>
      <c r="L2018" s="23"/>
      <c r="M2018" s="23"/>
      <c r="N2018" s="23"/>
      <c r="O2018" s="23"/>
      <c r="P2018" s="23"/>
      <c r="Q2018" s="23"/>
      <c r="R2018" s="23"/>
      <c r="S2018" s="23"/>
      <c r="T2018" s="23"/>
    </row>
    <row r="2019" spans="1:20" x14ac:dyDescent="0.35">
      <c r="A2019" s="23"/>
      <c r="B2019" s="23"/>
      <c r="C2019" s="23"/>
      <c r="D2019" s="23"/>
      <c r="E2019" s="23"/>
      <c r="F2019" s="23"/>
      <c r="G2019" s="23"/>
      <c r="H2019" s="23"/>
      <c r="I2019" s="23"/>
      <c r="J2019" s="23"/>
      <c r="K2019" s="23"/>
      <c r="L2019" s="23"/>
      <c r="M2019" s="23"/>
      <c r="N2019" s="23"/>
      <c r="O2019" s="23"/>
      <c r="P2019" s="23"/>
      <c r="Q2019" s="23"/>
      <c r="R2019" s="23"/>
      <c r="S2019" s="23"/>
      <c r="T2019" s="23"/>
    </row>
    <row r="2020" spans="1:20" x14ac:dyDescent="0.35">
      <c r="A2020" s="23"/>
      <c r="B2020" s="23"/>
      <c r="C2020" s="23"/>
      <c r="D2020" s="23"/>
      <c r="E2020" s="23"/>
      <c r="F2020" s="23"/>
      <c r="G2020" s="23"/>
      <c r="H2020" s="23"/>
      <c r="I2020" s="23"/>
      <c r="J2020" s="23"/>
      <c r="K2020" s="23"/>
      <c r="L2020" s="23"/>
      <c r="M2020" s="23"/>
      <c r="N2020" s="23"/>
      <c r="O2020" s="23"/>
      <c r="P2020" s="23"/>
      <c r="Q2020" s="23"/>
      <c r="R2020" s="23"/>
      <c r="S2020" s="23"/>
      <c r="T2020" s="23"/>
    </row>
    <row r="2021" spans="1:20" x14ac:dyDescent="0.35">
      <c r="A2021" s="23"/>
      <c r="B2021" s="23"/>
      <c r="C2021" s="23"/>
      <c r="D2021" s="23"/>
      <c r="E2021" s="23"/>
      <c r="F2021" s="23"/>
      <c r="G2021" s="23"/>
      <c r="H2021" s="23"/>
      <c r="I2021" s="23"/>
      <c r="J2021" s="23"/>
      <c r="K2021" s="23"/>
      <c r="L2021" s="23"/>
      <c r="M2021" s="23"/>
      <c r="N2021" s="23"/>
      <c r="O2021" s="23"/>
      <c r="P2021" s="23"/>
      <c r="Q2021" s="23"/>
      <c r="R2021" s="23"/>
      <c r="S2021" s="23"/>
      <c r="T2021" s="23"/>
    </row>
    <row r="2022" spans="1:20" x14ac:dyDescent="0.35">
      <c r="A2022" s="23"/>
      <c r="B2022" s="23"/>
      <c r="C2022" s="23"/>
      <c r="D2022" s="23"/>
      <c r="E2022" s="23"/>
      <c r="F2022" s="23"/>
      <c r="G2022" s="23"/>
      <c r="H2022" s="23"/>
      <c r="I2022" s="23"/>
      <c r="J2022" s="23"/>
      <c r="K2022" s="23"/>
      <c r="L2022" s="23"/>
      <c r="M2022" s="23"/>
      <c r="N2022" s="23"/>
      <c r="O2022" s="23"/>
      <c r="P2022" s="23"/>
      <c r="Q2022" s="23"/>
      <c r="R2022" s="23"/>
      <c r="S2022" s="23"/>
      <c r="T2022" s="23"/>
    </row>
    <row r="2023" spans="1:20" x14ac:dyDescent="0.35">
      <c r="A2023" s="23"/>
      <c r="B2023" s="23"/>
      <c r="C2023" s="23"/>
      <c r="D2023" s="23"/>
      <c r="E2023" s="23"/>
      <c r="F2023" s="23"/>
      <c r="G2023" s="23"/>
      <c r="H2023" s="23"/>
      <c r="I2023" s="23"/>
      <c r="J2023" s="23"/>
      <c r="K2023" s="23"/>
      <c r="L2023" s="23"/>
      <c r="M2023" s="23"/>
      <c r="N2023" s="23"/>
      <c r="O2023" s="23"/>
      <c r="P2023" s="23"/>
      <c r="Q2023" s="23"/>
      <c r="R2023" s="23"/>
      <c r="S2023" s="23"/>
      <c r="T2023" s="23"/>
    </row>
    <row r="2024" spans="1:20" x14ac:dyDescent="0.35">
      <c r="A2024" s="23"/>
      <c r="B2024" s="23"/>
      <c r="C2024" s="23"/>
      <c r="D2024" s="23"/>
      <c r="E2024" s="23"/>
      <c r="F2024" s="23"/>
      <c r="G2024" s="23"/>
      <c r="H2024" s="23"/>
      <c r="I2024" s="23"/>
      <c r="J2024" s="23"/>
      <c r="K2024" s="23"/>
      <c r="L2024" s="23"/>
      <c r="M2024" s="23"/>
      <c r="N2024" s="23"/>
      <c r="O2024" s="23"/>
      <c r="P2024" s="23"/>
      <c r="Q2024" s="23"/>
      <c r="R2024" s="23"/>
      <c r="S2024" s="23"/>
      <c r="T2024" s="23"/>
    </row>
    <row r="2025" spans="1:20" x14ac:dyDescent="0.35">
      <c r="A2025" s="23"/>
      <c r="B2025" s="23"/>
      <c r="C2025" s="23"/>
      <c r="D2025" s="23"/>
      <c r="E2025" s="23"/>
      <c r="F2025" s="23"/>
      <c r="G2025" s="23"/>
      <c r="H2025" s="23"/>
      <c r="I2025" s="23"/>
      <c r="J2025" s="23"/>
      <c r="K2025" s="23"/>
      <c r="L2025" s="23"/>
      <c r="M2025" s="23"/>
      <c r="N2025" s="23"/>
      <c r="O2025" s="23"/>
      <c r="P2025" s="23"/>
      <c r="Q2025" s="23"/>
      <c r="R2025" s="23"/>
      <c r="S2025" s="23"/>
      <c r="T2025" s="23"/>
    </row>
    <row r="2026" spans="1:20" x14ac:dyDescent="0.35">
      <c r="A2026" s="23"/>
      <c r="B2026" s="23"/>
      <c r="C2026" s="23"/>
      <c r="D2026" s="23"/>
      <c r="E2026" s="23"/>
      <c r="F2026" s="23"/>
      <c r="G2026" s="23"/>
      <c r="H2026" s="23"/>
      <c r="I2026" s="23"/>
      <c r="J2026" s="23"/>
      <c r="K2026" s="23"/>
      <c r="L2026" s="23"/>
      <c r="M2026" s="23"/>
      <c r="N2026" s="23"/>
      <c r="O2026" s="23"/>
      <c r="P2026" s="23"/>
      <c r="Q2026" s="23"/>
      <c r="R2026" s="23"/>
      <c r="S2026" s="23"/>
      <c r="T2026" s="23"/>
    </row>
    <row r="2027" spans="1:20" x14ac:dyDescent="0.35">
      <c r="A2027" s="23"/>
      <c r="B2027" s="23"/>
      <c r="C2027" s="23"/>
      <c r="D2027" s="23"/>
      <c r="E2027" s="23"/>
      <c r="F2027" s="23"/>
      <c r="G2027" s="23"/>
      <c r="H2027" s="23"/>
      <c r="I2027" s="23"/>
      <c r="J2027" s="23"/>
      <c r="K2027" s="23"/>
      <c r="L2027" s="23"/>
      <c r="M2027" s="23"/>
      <c r="N2027" s="23"/>
      <c r="O2027" s="23"/>
      <c r="P2027" s="23"/>
      <c r="Q2027" s="23"/>
      <c r="R2027" s="23"/>
      <c r="S2027" s="23"/>
      <c r="T2027" s="23"/>
    </row>
    <row r="2028" spans="1:20" x14ac:dyDescent="0.35">
      <c r="A2028" s="23"/>
      <c r="B2028" s="23"/>
      <c r="C2028" s="23"/>
      <c r="D2028" s="23"/>
      <c r="E2028" s="23"/>
      <c r="F2028" s="23"/>
      <c r="G2028" s="23"/>
      <c r="H2028" s="23"/>
      <c r="I2028" s="23"/>
      <c r="J2028" s="23"/>
      <c r="K2028" s="23"/>
      <c r="L2028" s="23"/>
      <c r="M2028" s="23"/>
      <c r="N2028" s="23"/>
      <c r="O2028" s="23"/>
      <c r="P2028" s="23"/>
      <c r="Q2028" s="23"/>
      <c r="R2028" s="23"/>
      <c r="S2028" s="23"/>
      <c r="T2028" s="23"/>
    </row>
    <row r="2029" spans="1:20" x14ac:dyDescent="0.35">
      <c r="A2029" s="23"/>
      <c r="B2029" s="23"/>
      <c r="C2029" s="23"/>
      <c r="D2029" s="23"/>
      <c r="E2029" s="23"/>
      <c r="F2029" s="23"/>
      <c r="G2029" s="23"/>
      <c r="H2029" s="23"/>
      <c r="I2029" s="23"/>
      <c r="J2029" s="23"/>
      <c r="K2029" s="23"/>
      <c r="L2029" s="23"/>
      <c r="M2029" s="23"/>
      <c r="N2029" s="23"/>
      <c r="O2029" s="23"/>
      <c r="P2029" s="23"/>
      <c r="Q2029" s="23"/>
      <c r="R2029" s="23"/>
      <c r="S2029" s="23"/>
      <c r="T2029" s="23"/>
    </row>
    <row r="2030" spans="1:20" x14ac:dyDescent="0.35">
      <c r="A2030" s="23"/>
      <c r="B2030" s="23"/>
      <c r="C2030" s="23"/>
      <c r="D2030" s="23"/>
      <c r="E2030" s="23"/>
      <c r="F2030" s="23"/>
      <c r="G2030" s="23"/>
      <c r="H2030" s="23"/>
      <c r="I2030" s="23"/>
      <c r="J2030" s="23"/>
      <c r="K2030" s="23"/>
      <c r="L2030" s="23"/>
      <c r="M2030" s="23"/>
      <c r="N2030" s="23"/>
      <c r="O2030" s="23"/>
      <c r="P2030" s="23"/>
      <c r="Q2030" s="23"/>
      <c r="R2030" s="23"/>
      <c r="S2030" s="23"/>
      <c r="T2030" s="23"/>
    </row>
    <row r="2031" spans="1:20" x14ac:dyDescent="0.35">
      <c r="A2031" s="23"/>
      <c r="B2031" s="23"/>
      <c r="C2031" s="23"/>
      <c r="D2031" s="23"/>
      <c r="E2031" s="23"/>
      <c r="F2031" s="23"/>
      <c r="G2031" s="23"/>
      <c r="H2031" s="23"/>
      <c r="I2031" s="23"/>
      <c r="J2031" s="23"/>
      <c r="K2031" s="23"/>
      <c r="L2031" s="23"/>
      <c r="M2031" s="23"/>
      <c r="N2031" s="23"/>
      <c r="O2031" s="23"/>
      <c r="P2031" s="23"/>
      <c r="Q2031" s="23"/>
      <c r="R2031" s="23"/>
      <c r="S2031" s="23"/>
      <c r="T2031" s="23"/>
    </row>
    <row r="2032" spans="1:20" x14ac:dyDescent="0.35">
      <c r="A2032" s="23"/>
      <c r="B2032" s="23"/>
      <c r="C2032" s="23"/>
      <c r="D2032" s="23"/>
      <c r="E2032" s="23"/>
      <c r="F2032" s="23"/>
      <c r="G2032" s="23"/>
      <c r="H2032" s="23"/>
      <c r="I2032" s="23"/>
      <c r="J2032" s="23"/>
      <c r="K2032" s="23"/>
      <c r="L2032" s="23"/>
      <c r="M2032" s="23"/>
      <c r="N2032" s="23"/>
      <c r="O2032" s="23"/>
      <c r="P2032" s="23"/>
      <c r="Q2032" s="23"/>
      <c r="R2032" s="23"/>
      <c r="S2032" s="23"/>
      <c r="T2032" s="23"/>
    </row>
    <row r="2033" spans="1:20" x14ac:dyDescent="0.35">
      <c r="A2033" s="23"/>
      <c r="B2033" s="23"/>
      <c r="C2033" s="23"/>
      <c r="D2033" s="23"/>
      <c r="E2033" s="23"/>
      <c r="F2033" s="23"/>
      <c r="G2033" s="23"/>
      <c r="H2033" s="23"/>
      <c r="I2033" s="23"/>
      <c r="J2033" s="23"/>
      <c r="K2033" s="23"/>
      <c r="L2033" s="23"/>
      <c r="M2033" s="23"/>
      <c r="N2033" s="23"/>
      <c r="O2033" s="23"/>
      <c r="P2033" s="23"/>
      <c r="Q2033" s="23"/>
      <c r="R2033" s="23"/>
      <c r="S2033" s="23"/>
      <c r="T2033" s="23"/>
    </row>
    <row r="2034" spans="1:20" x14ac:dyDescent="0.35">
      <c r="A2034" s="23"/>
      <c r="B2034" s="23"/>
      <c r="C2034" s="23"/>
      <c r="D2034" s="23"/>
      <c r="E2034" s="23"/>
      <c r="F2034" s="23"/>
      <c r="G2034" s="23"/>
      <c r="H2034" s="23"/>
      <c r="I2034" s="23"/>
      <c r="J2034" s="23"/>
      <c r="K2034" s="23"/>
      <c r="L2034" s="23"/>
      <c r="M2034" s="23"/>
      <c r="N2034" s="23"/>
      <c r="O2034" s="23"/>
      <c r="P2034" s="23"/>
      <c r="Q2034" s="23"/>
      <c r="R2034" s="23"/>
      <c r="S2034" s="23"/>
      <c r="T2034" s="23"/>
    </row>
    <row r="2035" spans="1:20" x14ac:dyDescent="0.35">
      <c r="A2035" s="23"/>
      <c r="B2035" s="23"/>
      <c r="C2035" s="23"/>
      <c r="D2035" s="23"/>
      <c r="E2035" s="23"/>
      <c r="F2035" s="23"/>
      <c r="G2035" s="23"/>
      <c r="H2035" s="23"/>
      <c r="I2035" s="23"/>
      <c r="J2035" s="23"/>
      <c r="K2035" s="23"/>
      <c r="L2035" s="23"/>
      <c r="M2035" s="23"/>
      <c r="N2035" s="23"/>
      <c r="O2035" s="23"/>
      <c r="P2035" s="23"/>
      <c r="Q2035" s="23"/>
      <c r="R2035" s="23"/>
      <c r="S2035" s="23"/>
      <c r="T2035" s="23"/>
    </row>
    <row r="2036" spans="1:20" x14ac:dyDescent="0.35">
      <c r="A2036" s="23"/>
      <c r="B2036" s="23"/>
      <c r="C2036" s="23"/>
      <c r="D2036" s="23"/>
      <c r="E2036" s="23"/>
      <c r="F2036" s="23"/>
      <c r="G2036" s="23"/>
      <c r="H2036" s="23"/>
      <c r="I2036" s="23"/>
      <c r="J2036" s="23"/>
      <c r="K2036" s="23"/>
      <c r="L2036" s="23"/>
      <c r="M2036" s="23"/>
      <c r="N2036" s="23"/>
      <c r="O2036" s="23"/>
      <c r="P2036" s="23"/>
      <c r="Q2036" s="23"/>
      <c r="R2036" s="23"/>
      <c r="S2036" s="23"/>
      <c r="T2036" s="23"/>
    </row>
    <row r="2037" spans="1:20" x14ac:dyDescent="0.35">
      <c r="A2037" s="23"/>
      <c r="B2037" s="23"/>
      <c r="C2037" s="23"/>
      <c r="D2037" s="23"/>
      <c r="E2037" s="23"/>
      <c r="F2037" s="23"/>
      <c r="G2037" s="23"/>
      <c r="H2037" s="23"/>
      <c r="I2037" s="23"/>
      <c r="J2037" s="23"/>
      <c r="K2037" s="23"/>
      <c r="L2037" s="23"/>
      <c r="M2037" s="23"/>
      <c r="N2037" s="23"/>
      <c r="O2037" s="23"/>
      <c r="P2037" s="23"/>
      <c r="Q2037" s="23"/>
      <c r="R2037" s="23"/>
      <c r="S2037" s="23"/>
      <c r="T2037" s="23"/>
    </row>
    <row r="2038" spans="1:20" x14ac:dyDescent="0.35">
      <c r="A2038" s="23"/>
      <c r="B2038" s="23"/>
      <c r="C2038" s="23"/>
      <c r="D2038" s="23"/>
      <c r="E2038" s="23"/>
      <c r="F2038" s="23"/>
      <c r="G2038" s="23"/>
      <c r="H2038" s="23"/>
      <c r="I2038" s="23"/>
      <c r="J2038" s="23"/>
      <c r="K2038" s="23"/>
      <c r="L2038" s="23"/>
      <c r="M2038" s="23"/>
      <c r="N2038" s="23"/>
      <c r="O2038" s="23"/>
      <c r="P2038" s="23"/>
      <c r="Q2038" s="23"/>
      <c r="R2038" s="23"/>
      <c r="S2038" s="23"/>
      <c r="T2038" s="23"/>
    </row>
    <row r="2039" spans="1:20" x14ac:dyDescent="0.35">
      <c r="A2039" s="23"/>
      <c r="B2039" s="23"/>
      <c r="C2039" s="23"/>
      <c r="D2039" s="23"/>
      <c r="E2039" s="23"/>
      <c r="F2039" s="23"/>
      <c r="G2039" s="23"/>
      <c r="H2039" s="23"/>
      <c r="I2039" s="23"/>
      <c r="J2039" s="23"/>
      <c r="K2039" s="23"/>
      <c r="L2039" s="23"/>
      <c r="M2039" s="23"/>
      <c r="N2039" s="23"/>
      <c r="O2039" s="23"/>
      <c r="P2039" s="23"/>
      <c r="Q2039" s="23"/>
      <c r="R2039" s="23"/>
      <c r="S2039" s="23"/>
      <c r="T2039" s="23"/>
    </row>
    <row r="2040" spans="1:20" x14ac:dyDescent="0.35">
      <c r="A2040" s="23"/>
      <c r="B2040" s="23"/>
      <c r="C2040" s="23"/>
      <c r="D2040" s="23"/>
      <c r="E2040" s="23"/>
      <c r="F2040" s="23"/>
      <c r="G2040" s="23"/>
      <c r="H2040" s="23"/>
      <c r="I2040" s="23"/>
      <c r="J2040" s="23"/>
      <c r="K2040" s="23"/>
      <c r="L2040" s="23"/>
      <c r="M2040" s="23"/>
      <c r="N2040" s="23"/>
      <c r="O2040" s="23"/>
      <c r="P2040" s="23"/>
      <c r="Q2040" s="23"/>
      <c r="R2040" s="23"/>
      <c r="S2040" s="23"/>
      <c r="T2040" s="23"/>
    </row>
    <row r="2041" spans="1:20" x14ac:dyDescent="0.35">
      <c r="A2041" s="23"/>
      <c r="B2041" s="23"/>
      <c r="C2041" s="23"/>
      <c r="D2041" s="23"/>
      <c r="E2041" s="23"/>
      <c r="F2041" s="23"/>
      <c r="G2041" s="23"/>
      <c r="H2041" s="23"/>
      <c r="I2041" s="23"/>
      <c r="J2041" s="23"/>
      <c r="K2041" s="23"/>
      <c r="L2041" s="23"/>
      <c r="M2041" s="23"/>
      <c r="N2041" s="23"/>
      <c r="O2041" s="23"/>
      <c r="P2041" s="23"/>
      <c r="Q2041" s="23"/>
      <c r="R2041" s="23"/>
      <c r="S2041" s="23"/>
      <c r="T2041" s="23"/>
    </row>
    <row r="2042" spans="1:20" x14ac:dyDescent="0.35">
      <c r="A2042" s="23"/>
      <c r="B2042" s="23"/>
      <c r="C2042" s="23"/>
      <c r="D2042" s="23"/>
      <c r="E2042" s="23"/>
      <c r="F2042" s="23"/>
      <c r="G2042" s="23"/>
      <c r="H2042" s="23"/>
      <c r="I2042" s="23"/>
      <c r="J2042" s="23"/>
      <c r="K2042" s="23"/>
      <c r="L2042" s="23"/>
      <c r="M2042" s="23"/>
      <c r="N2042" s="23"/>
      <c r="O2042" s="23"/>
      <c r="P2042" s="23"/>
      <c r="Q2042" s="23"/>
      <c r="R2042" s="23"/>
      <c r="S2042" s="23"/>
      <c r="T2042" s="23"/>
    </row>
    <row r="2043" spans="1:20" x14ac:dyDescent="0.35">
      <c r="A2043" s="23"/>
      <c r="B2043" s="23"/>
      <c r="C2043" s="23"/>
      <c r="D2043" s="23"/>
      <c r="E2043" s="23"/>
      <c r="F2043" s="23"/>
      <c r="G2043" s="23"/>
      <c r="H2043" s="23"/>
      <c r="I2043" s="23"/>
      <c r="J2043" s="23"/>
      <c r="K2043" s="23"/>
      <c r="L2043" s="23"/>
      <c r="M2043" s="23"/>
      <c r="N2043" s="23"/>
      <c r="O2043" s="23"/>
      <c r="P2043" s="23"/>
      <c r="Q2043" s="23"/>
      <c r="R2043" s="23"/>
      <c r="S2043" s="23"/>
      <c r="T2043" s="23"/>
    </row>
    <row r="2044" spans="1:20" x14ac:dyDescent="0.35">
      <c r="A2044" s="23"/>
      <c r="B2044" s="23"/>
      <c r="C2044" s="23"/>
      <c r="D2044" s="23"/>
      <c r="E2044" s="23"/>
      <c r="F2044" s="23"/>
      <c r="G2044" s="23"/>
      <c r="H2044" s="23"/>
      <c r="I2044" s="23"/>
      <c r="J2044" s="23"/>
      <c r="K2044" s="23"/>
      <c r="L2044" s="23"/>
      <c r="M2044" s="23"/>
      <c r="N2044" s="23"/>
      <c r="O2044" s="23"/>
      <c r="P2044" s="23"/>
      <c r="Q2044" s="23"/>
      <c r="R2044" s="23"/>
      <c r="S2044" s="23"/>
      <c r="T2044" s="23"/>
    </row>
    <row r="2045" spans="1:20" x14ac:dyDescent="0.35">
      <c r="A2045" s="23"/>
      <c r="B2045" s="23"/>
      <c r="C2045" s="23"/>
      <c r="D2045" s="23"/>
      <c r="E2045" s="23"/>
      <c r="F2045" s="23"/>
      <c r="G2045" s="23"/>
      <c r="H2045" s="23"/>
      <c r="I2045" s="23"/>
      <c r="J2045" s="23"/>
      <c r="K2045" s="23"/>
      <c r="L2045" s="23"/>
      <c r="M2045" s="23"/>
      <c r="N2045" s="23"/>
      <c r="O2045" s="23"/>
      <c r="P2045" s="23"/>
      <c r="Q2045" s="23"/>
      <c r="R2045" s="23"/>
      <c r="S2045" s="23"/>
      <c r="T2045" s="23"/>
    </row>
    <row r="2046" spans="1:20" x14ac:dyDescent="0.35">
      <c r="A2046" s="23"/>
      <c r="B2046" s="23"/>
      <c r="C2046" s="23"/>
      <c r="D2046" s="23"/>
      <c r="E2046" s="23"/>
      <c r="F2046" s="23"/>
      <c r="G2046" s="23"/>
      <c r="H2046" s="23"/>
      <c r="I2046" s="23"/>
      <c r="J2046" s="23"/>
      <c r="K2046" s="23"/>
      <c r="L2046" s="23"/>
      <c r="M2046" s="23"/>
      <c r="N2046" s="23"/>
      <c r="O2046" s="23"/>
      <c r="P2046" s="23"/>
      <c r="Q2046" s="23"/>
      <c r="R2046" s="23"/>
      <c r="S2046" s="23"/>
      <c r="T2046" s="23"/>
    </row>
    <row r="2047" spans="1:20" x14ac:dyDescent="0.35">
      <c r="A2047" s="23"/>
      <c r="B2047" s="23"/>
      <c r="C2047" s="23"/>
      <c r="D2047" s="23"/>
      <c r="E2047" s="23"/>
      <c r="F2047" s="23"/>
      <c r="G2047" s="23"/>
      <c r="H2047" s="23"/>
      <c r="I2047" s="23"/>
      <c r="J2047" s="23"/>
      <c r="K2047" s="23"/>
      <c r="L2047" s="23"/>
      <c r="M2047" s="23"/>
      <c r="N2047" s="23"/>
      <c r="O2047" s="23"/>
      <c r="P2047" s="23"/>
      <c r="Q2047" s="23"/>
      <c r="R2047" s="23"/>
      <c r="S2047" s="23"/>
      <c r="T2047" s="23"/>
    </row>
    <row r="2048" spans="1:20" x14ac:dyDescent="0.35">
      <c r="A2048" s="23"/>
      <c r="B2048" s="23"/>
      <c r="C2048" s="23"/>
      <c r="D2048" s="23"/>
      <c r="E2048" s="23"/>
      <c r="F2048" s="23"/>
      <c r="G2048" s="23"/>
      <c r="H2048" s="23"/>
      <c r="I2048" s="23"/>
      <c r="J2048" s="23"/>
      <c r="K2048" s="23"/>
      <c r="L2048" s="23"/>
      <c r="M2048" s="23"/>
      <c r="N2048" s="23"/>
      <c r="O2048" s="23"/>
      <c r="P2048" s="23"/>
      <c r="Q2048" s="23"/>
      <c r="R2048" s="23"/>
      <c r="S2048" s="23"/>
      <c r="T2048" s="23"/>
    </row>
    <row r="2049" spans="1:20" x14ac:dyDescent="0.35">
      <c r="A2049" s="23"/>
      <c r="B2049" s="23"/>
      <c r="C2049" s="23"/>
      <c r="D2049" s="23"/>
      <c r="E2049" s="23"/>
      <c r="F2049" s="23"/>
      <c r="G2049" s="23"/>
      <c r="H2049" s="23"/>
      <c r="I2049" s="23"/>
      <c r="J2049" s="23"/>
      <c r="K2049" s="23"/>
      <c r="L2049" s="23"/>
      <c r="M2049" s="23"/>
      <c r="N2049" s="23"/>
      <c r="O2049" s="23"/>
      <c r="P2049" s="23"/>
      <c r="Q2049" s="23"/>
      <c r="R2049" s="23"/>
      <c r="S2049" s="23"/>
      <c r="T2049" s="23"/>
    </row>
    <row r="2050" spans="1:20" x14ac:dyDescent="0.35">
      <c r="A2050" s="23"/>
      <c r="B2050" s="23"/>
      <c r="C2050" s="23"/>
      <c r="D2050" s="23"/>
      <c r="E2050" s="23"/>
      <c r="F2050" s="23"/>
      <c r="G2050" s="23"/>
      <c r="H2050" s="23"/>
      <c r="I2050" s="23"/>
      <c r="J2050" s="23"/>
      <c r="K2050" s="23"/>
      <c r="L2050" s="23"/>
      <c r="M2050" s="23"/>
      <c r="N2050" s="23"/>
      <c r="O2050" s="23"/>
      <c r="P2050" s="23"/>
      <c r="Q2050" s="23"/>
      <c r="R2050" s="23"/>
      <c r="S2050" s="23"/>
      <c r="T2050" s="23"/>
    </row>
    <row r="2051" spans="1:20" x14ac:dyDescent="0.35">
      <c r="A2051" s="23"/>
      <c r="B2051" s="23"/>
      <c r="C2051" s="23"/>
      <c r="D2051" s="23"/>
      <c r="E2051" s="23"/>
      <c r="F2051" s="23"/>
      <c r="G2051" s="23"/>
      <c r="H2051" s="23"/>
      <c r="I2051" s="23"/>
      <c r="J2051" s="23"/>
      <c r="K2051" s="23"/>
      <c r="L2051" s="23"/>
      <c r="M2051" s="23"/>
      <c r="N2051" s="23"/>
      <c r="O2051" s="23"/>
      <c r="P2051" s="23"/>
      <c r="Q2051" s="23"/>
      <c r="R2051" s="23"/>
      <c r="S2051" s="23"/>
      <c r="T2051" s="23"/>
    </row>
    <row r="2052" spans="1:20" x14ac:dyDescent="0.35">
      <c r="A2052" s="23"/>
      <c r="B2052" s="23"/>
      <c r="C2052" s="23"/>
      <c r="D2052" s="23"/>
      <c r="E2052" s="23"/>
      <c r="F2052" s="23"/>
      <c r="G2052" s="23"/>
      <c r="H2052" s="23"/>
      <c r="I2052" s="23"/>
      <c r="J2052" s="23"/>
      <c r="K2052" s="23"/>
      <c r="L2052" s="23"/>
      <c r="M2052" s="23"/>
      <c r="N2052" s="23"/>
      <c r="O2052" s="23"/>
      <c r="P2052" s="23"/>
      <c r="Q2052" s="23"/>
      <c r="R2052" s="23"/>
      <c r="S2052" s="23"/>
      <c r="T2052" s="23"/>
    </row>
    <row r="2053" spans="1:20" x14ac:dyDescent="0.35">
      <c r="A2053" s="23"/>
      <c r="B2053" s="23"/>
      <c r="C2053" s="23"/>
      <c r="D2053" s="23"/>
      <c r="E2053" s="23"/>
      <c r="F2053" s="23"/>
      <c r="G2053" s="23"/>
      <c r="H2053" s="23"/>
      <c r="I2053" s="23"/>
      <c r="J2053" s="23"/>
      <c r="K2053" s="23"/>
      <c r="L2053" s="23"/>
      <c r="M2053" s="23"/>
      <c r="N2053" s="23"/>
      <c r="O2053" s="23"/>
      <c r="P2053" s="23"/>
      <c r="Q2053" s="23"/>
      <c r="R2053" s="23"/>
      <c r="S2053" s="23"/>
      <c r="T2053" s="23"/>
    </row>
    <row r="2054" spans="1:20" x14ac:dyDescent="0.35">
      <c r="A2054" s="23"/>
      <c r="B2054" s="23"/>
      <c r="C2054" s="23"/>
      <c r="D2054" s="23"/>
      <c r="E2054" s="23"/>
      <c r="F2054" s="23"/>
      <c r="G2054" s="23"/>
      <c r="H2054" s="23"/>
      <c r="I2054" s="23"/>
      <c r="J2054" s="23"/>
      <c r="K2054" s="23"/>
      <c r="L2054" s="23"/>
      <c r="M2054" s="23"/>
      <c r="N2054" s="23"/>
      <c r="O2054" s="23"/>
      <c r="P2054" s="23"/>
      <c r="Q2054" s="23"/>
      <c r="R2054" s="23"/>
      <c r="S2054" s="23"/>
      <c r="T2054" s="23"/>
    </row>
    <row r="2055" spans="1:20" x14ac:dyDescent="0.35">
      <c r="A2055" s="23"/>
      <c r="B2055" s="23"/>
      <c r="C2055" s="23"/>
      <c r="D2055" s="23"/>
      <c r="E2055" s="23"/>
      <c r="F2055" s="23"/>
      <c r="G2055" s="23"/>
      <c r="H2055" s="23"/>
      <c r="I2055" s="23"/>
      <c r="J2055" s="23"/>
      <c r="K2055" s="23"/>
      <c r="L2055" s="23"/>
      <c r="M2055" s="23"/>
      <c r="N2055" s="23"/>
      <c r="O2055" s="23"/>
      <c r="P2055" s="23"/>
      <c r="Q2055" s="23"/>
      <c r="R2055" s="23"/>
      <c r="S2055" s="23"/>
      <c r="T2055" s="23"/>
    </row>
    <row r="2056" spans="1:20" x14ac:dyDescent="0.35">
      <c r="A2056" s="23"/>
      <c r="B2056" s="23"/>
      <c r="C2056" s="23"/>
      <c r="D2056" s="23"/>
      <c r="E2056" s="23"/>
      <c r="F2056" s="23"/>
      <c r="G2056" s="23"/>
      <c r="H2056" s="23"/>
      <c r="I2056" s="23"/>
      <c r="J2056" s="23"/>
      <c r="K2056" s="23"/>
      <c r="L2056" s="23"/>
      <c r="M2056" s="23"/>
      <c r="N2056" s="23"/>
      <c r="O2056" s="23"/>
      <c r="P2056" s="23"/>
      <c r="Q2056" s="23"/>
      <c r="R2056" s="23"/>
      <c r="S2056" s="23"/>
      <c r="T2056" s="23"/>
    </row>
    <row r="2057" spans="1:20" x14ac:dyDescent="0.35">
      <c r="A2057" s="23"/>
      <c r="B2057" s="23"/>
      <c r="C2057" s="23"/>
      <c r="D2057" s="23"/>
      <c r="E2057" s="23"/>
      <c r="F2057" s="23"/>
      <c r="G2057" s="23"/>
      <c r="H2057" s="23"/>
      <c r="I2057" s="23"/>
      <c r="J2057" s="23"/>
      <c r="K2057" s="23"/>
      <c r="L2057" s="23"/>
      <c r="M2057" s="23"/>
      <c r="N2057" s="23"/>
      <c r="O2057" s="23"/>
      <c r="P2057" s="23"/>
      <c r="Q2057" s="23"/>
      <c r="R2057" s="23"/>
      <c r="S2057" s="23"/>
      <c r="T2057" s="23"/>
    </row>
    <row r="2058" spans="1:20" x14ac:dyDescent="0.35">
      <c r="A2058" s="23"/>
      <c r="B2058" s="23"/>
      <c r="C2058" s="23"/>
      <c r="D2058" s="23"/>
      <c r="E2058" s="23"/>
      <c r="F2058" s="23"/>
      <c r="G2058" s="23"/>
      <c r="H2058" s="23"/>
      <c r="I2058" s="23"/>
      <c r="J2058" s="23"/>
      <c r="K2058" s="23"/>
      <c r="L2058" s="23"/>
      <c r="M2058" s="23"/>
      <c r="N2058" s="23"/>
      <c r="O2058" s="23"/>
      <c r="P2058" s="23"/>
      <c r="Q2058" s="23"/>
      <c r="R2058" s="23"/>
      <c r="S2058" s="23"/>
      <c r="T2058" s="23"/>
    </row>
    <row r="2059" spans="1:20" x14ac:dyDescent="0.35">
      <c r="A2059" s="23"/>
      <c r="B2059" s="23"/>
      <c r="C2059" s="23"/>
      <c r="D2059" s="23"/>
      <c r="E2059" s="23"/>
      <c r="F2059" s="23"/>
      <c r="G2059" s="23"/>
      <c r="H2059" s="23"/>
      <c r="I2059" s="23"/>
      <c r="J2059" s="23"/>
      <c r="K2059" s="23"/>
      <c r="L2059" s="23"/>
      <c r="M2059" s="23"/>
      <c r="N2059" s="23"/>
      <c r="O2059" s="23"/>
      <c r="P2059" s="23"/>
      <c r="Q2059" s="23"/>
      <c r="R2059" s="23"/>
      <c r="S2059" s="23"/>
      <c r="T2059" s="23"/>
    </row>
    <row r="2060" spans="1:20" x14ac:dyDescent="0.35">
      <c r="A2060" s="23"/>
      <c r="B2060" s="23"/>
      <c r="C2060" s="23"/>
      <c r="D2060" s="23"/>
      <c r="E2060" s="23"/>
      <c r="F2060" s="23"/>
      <c r="G2060" s="23"/>
      <c r="H2060" s="23"/>
      <c r="I2060" s="23"/>
      <c r="J2060" s="23"/>
      <c r="K2060" s="23"/>
      <c r="L2060" s="23"/>
      <c r="M2060" s="23"/>
      <c r="N2060" s="23"/>
      <c r="O2060" s="23"/>
      <c r="P2060" s="23"/>
      <c r="Q2060" s="23"/>
      <c r="R2060" s="23"/>
      <c r="S2060" s="23"/>
      <c r="T2060" s="23"/>
    </row>
    <row r="2061" spans="1:20" x14ac:dyDescent="0.35">
      <c r="A2061" s="23"/>
      <c r="B2061" s="23"/>
      <c r="C2061" s="23"/>
      <c r="D2061" s="23"/>
      <c r="E2061" s="23"/>
      <c r="F2061" s="23"/>
      <c r="G2061" s="23"/>
      <c r="H2061" s="23"/>
      <c r="I2061" s="23"/>
      <c r="J2061" s="23"/>
      <c r="K2061" s="23"/>
      <c r="L2061" s="23"/>
      <c r="M2061" s="23"/>
      <c r="N2061" s="23"/>
      <c r="O2061" s="23"/>
      <c r="P2061" s="23"/>
      <c r="Q2061" s="23"/>
      <c r="R2061" s="23"/>
      <c r="S2061" s="23"/>
      <c r="T2061" s="23"/>
    </row>
    <row r="2062" spans="1:20" x14ac:dyDescent="0.35">
      <c r="A2062" s="23"/>
      <c r="B2062" s="23"/>
      <c r="C2062" s="23"/>
      <c r="D2062" s="23"/>
      <c r="E2062" s="23"/>
      <c r="F2062" s="23"/>
      <c r="G2062" s="23"/>
      <c r="H2062" s="23"/>
      <c r="I2062" s="23"/>
      <c r="J2062" s="23"/>
      <c r="K2062" s="23"/>
      <c r="L2062" s="23"/>
      <c r="M2062" s="23"/>
      <c r="N2062" s="23"/>
      <c r="O2062" s="23"/>
      <c r="P2062" s="23"/>
      <c r="Q2062" s="23"/>
      <c r="R2062" s="23"/>
      <c r="S2062" s="23"/>
      <c r="T2062" s="23"/>
    </row>
    <row r="2063" spans="1:20" x14ac:dyDescent="0.35">
      <c r="A2063" s="23"/>
      <c r="B2063" s="23"/>
      <c r="C2063" s="23"/>
      <c r="D2063" s="23"/>
      <c r="E2063" s="23"/>
      <c r="F2063" s="23"/>
      <c r="G2063" s="23"/>
      <c r="H2063" s="23"/>
      <c r="I2063" s="23"/>
      <c r="J2063" s="23"/>
      <c r="K2063" s="23"/>
      <c r="L2063" s="23"/>
      <c r="M2063" s="23"/>
      <c r="N2063" s="23"/>
      <c r="O2063" s="23"/>
      <c r="P2063" s="23"/>
      <c r="Q2063" s="23"/>
      <c r="R2063" s="23"/>
      <c r="S2063" s="23"/>
      <c r="T2063" s="23"/>
    </row>
    <row r="2064" spans="1:20" x14ac:dyDescent="0.35">
      <c r="A2064" s="23"/>
      <c r="B2064" s="23"/>
      <c r="C2064" s="23"/>
      <c r="D2064" s="23"/>
      <c r="E2064" s="23"/>
      <c r="F2064" s="23"/>
      <c r="G2064" s="23"/>
      <c r="H2064" s="23"/>
      <c r="I2064" s="23"/>
      <c r="J2064" s="23"/>
      <c r="K2064" s="23"/>
      <c r="L2064" s="23"/>
      <c r="M2064" s="23"/>
      <c r="N2064" s="23"/>
      <c r="O2064" s="23"/>
      <c r="P2064" s="23"/>
      <c r="Q2064" s="23"/>
      <c r="R2064" s="23"/>
      <c r="S2064" s="23"/>
      <c r="T2064" s="23"/>
    </row>
    <row r="2065" spans="1:20" x14ac:dyDescent="0.35">
      <c r="A2065" s="23"/>
      <c r="B2065" s="23"/>
      <c r="C2065" s="23"/>
      <c r="D2065" s="23"/>
      <c r="E2065" s="23"/>
      <c r="F2065" s="23"/>
      <c r="G2065" s="23"/>
      <c r="H2065" s="23"/>
      <c r="I2065" s="23"/>
      <c r="J2065" s="23"/>
      <c r="K2065" s="23"/>
      <c r="L2065" s="23"/>
      <c r="M2065" s="23"/>
      <c r="N2065" s="23"/>
      <c r="O2065" s="23"/>
      <c r="P2065" s="23"/>
      <c r="Q2065" s="23"/>
      <c r="R2065" s="23"/>
      <c r="S2065" s="23"/>
      <c r="T2065" s="23"/>
    </row>
    <row r="2066" spans="1:20" x14ac:dyDescent="0.35">
      <c r="A2066" s="23"/>
      <c r="B2066" s="23"/>
      <c r="C2066" s="23"/>
      <c r="D2066" s="23"/>
      <c r="E2066" s="23"/>
      <c r="F2066" s="23"/>
      <c r="G2066" s="23"/>
      <c r="H2066" s="23"/>
      <c r="I2066" s="23"/>
      <c r="J2066" s="23"/>
      <c r="K2066" s="23"/>
      <c r="L2066" s="23"/>
      <c r="M2066" s="23"/>
      <c r="N2066" s="23"/>
      <c r="O2066" s="23"/>
      <c r="P2066" s="23"/>
      <c r="Q2066" s="23"/>
      <c r="R2066" s="23"/>
      <c r="S2066" s="23"/>
      <c r="T2066" s="23"/>
    </row>
    <row r="2067" spans="1:20" x14ac:dyDescent="0.35">
      <c r="A2067" s="23"/>
      <c r="B2067" s="23"/>
      <c r="C2067" s="23"/>
      <c r="D2067" s="23"/>
      <c r="E2067" s="23"/>
      <c r="F2067" s="23"/>
      <c r="G2067" s="23"/>
      <c r="H2067" s="23"/>
      <c r="I2067" s="23"/>
      <c r="J2067" s="23"/>
      <c r="K2067" s="23"/>
      <c r="L2067" s="23"/>
      <c r="M2067" s="23"/>
      <c r="N2067" s="23"/>
      <c r="O2067" s="23"/>
      <c r="P2067" s="23"/>
      <c r="Q2067" s="23"/>
      <c r="R2067" s="23"/>
      <c r="S2067" s="23"/>
      <c r="T2067" s="23"/>
    </row>
    <row r="2068" spans="1:20" x14ac:dyDescent="0.35">
      <c r="A2068" s="23"/>
      <c r="B2068" s="23"/>
      <c r="C2068" s="23"/>
      <c r="D2068" s="23"/>
      <c r="E2068" s="23"/>
      <c r="F2068" s="23"/>
      <c r="G2068" s="23"/>
      <c r="H2068" s="23"/>
      <c r="I2068" s="23"/>
      <c r="J2068" s="23"/>
      <c r="K2068" s="23"/>
      <c r="L2068" s="23"/>
      <c r="M2068" s="23"/>
      <c r="N2068" s="23"/>
      <c r="O2068" s="23"/>
      <c r="P2068" s="23"/>
      <c r="Q2068" s="23"/>
      <c r="R2068" s="23"/>
      <c r="S2068" s="23"/>
      <c r="T2068" s="23"/>
    </row>
    <row r="2069" spans="1:20" x14ac:dyDescent="0.35">
      <c r="A2069" s="23"/>
      <c r="B2069" s="23"/>
      <c r="C2069" s="23"/>
      <c r="D2069" s="23"/>
      <c r="E2069" s="23"/>
      <c r="F2069" s="23"/>
      <c r="G2069" s="23"/>
      <c r="H2069" s="23"/>
      <c r="I2069" s="23"/>
      <c r="J2069" s="23"/>
      <c r="K2069" s="23"/>
      <c r="L2069" s="23"/>
      <c r="M2069" s="23"/>
      <c r="N2069" s="23"/>
      <c r="O2069" s="23"/>
      <c r="P2069" s="23"/>
      <c r="Q2069" s="23"/>
      <c r="R2069" s="23"/>
      <c r="S2069" s="23"/>
      <c r="T2069" s="23"/>
    </row>
    <row r="2070" spans="1:20" x14ac:dyDescent="0.35">
      <c r="A2070" s="23"/>
      <c r="B2070" s="23"/>
      <c r="C2070" s="23"/>
      <c r="D2070" s="23"/>
      <c r="E2070" s="23"/>
      <c r="F2070" s="23"/>
      <c r="G2070" s="23"/>
      <c r="H2070" s="23"/>
      <c r="I2070" s="23"/>
      <c r="J2070" s="23"/>
      <c r="K2070" s="23"/>
      <c r="L2070" s="23"/>
      <c r="M2070" s="23"/>
      <c r="N2070" s="23"/>
      <c r="O2070" s="23"/>
      <c r="P2070" s="23"/>
      <c r="Q2070" s="23"/>
      <c r="R2070" s="23"/>
      <c r="S2070" s="23"/>
      <c r="T2070" s="23"/>
    </row>
    <row r="2071" spans="1:20" x14ac:dyDescent="0.35">
      <c r="A2071" s="23"/>
      <c r="B2071" s="23"/>
      <c r="C2071" s="23"/>
      <c r="D2071" s="23"/>
      <c r="E2071" s="23"/>
      <c r="F2071" s="23"/>
      <c r="G2071" s="23"/>
      <c r="H2071" s="23"/>
      <c r="I2071" s="23"/>
      <c r="J2071" s="23"/>
      <c r="K2071" s="23"/>
      <c r="L2071" s="23"/>
      <c r="M2071" s="23"/>
      <c r="N2071" s="23"/>
      <c r="O2071" s="23"/>
      <c r="P2071" s="23"/>
      <c r="Q2071" s="23"/>
      <c r="R2071" s="23"/>
      <c r="S2071" s="23"/>
      <c r="T2071" s="23"/>
    </row>
    <row r="2072" spans="1:20" x14ac:dyDescent="0.35">
      <c r="A2072" s="23"/>
      <c r="B2072" s="23"/>
      <c r="C2072" s="23"/>
      <c r="D2072" s="23"/>
      <c r="E2072" s="23"/>
      <c r="F2072" s="23"/>
      <c r="G2072" s="23"/>
      <c r="H2072" s="23"/>
      <c r="I2072" s="23"/>
      <c r="J2072" s="23"/>
      <c r="K2072" s="23"/>
      <c r="L2072" s="23"/>
      <c r="M2072" s="23"/>
      <c r="N2072" s="23"/>
      <c r="O2072" s="23"/>
      <c r="P2072" s="23"/>
      <c r="Q2072" s="23"/>
      <c r="R2072" s="23"/>
      <c r="S2072" s="23"/>
      <c r="T2072" s="23"/>
    </row>
    <row r="2073" spans="1:20" x14ac:dyDescent="0.35">
      <c r="A2073" s="23"/>
      <c r="B2073" s="23"/>
      <c r="C2073" s="23"/>
      <c r="D2073" s="23"/>
      <c r="E2073" s="23"/>
      <c r="F2073" s="23"/>
      <c r="G2073" s="23"/>
      <c r="H2073" s="23"/>
      <c r="I2073" s="23"/>
      <c r="J2073" s="23"/>
      <c r="K2073" s="23"/>
      <c r="L2073" s="23"/>
      <c r="M2073" s="23"/>
      <c r="N2073" s="23"/>
      <c r="O2073" s="23"/>
      <c r="P2073" s="23"/>
      <c r="Q2073" s="23"/>
      <c r="R2073" s="23"/>
      <c r="S2073" s="23"/>
      <c r="T2073" s="23"/>
    </row>
    <row r="2074" spans="1:20" x14ac:dyDescent="0.35">
      <c r="A2074" s="23"/>
      <c r="B2074" s="23"/>
      <c r="C2074" s="23"/>
      <c r="D2074" s="23"/>
      <c r="E2074" s="23"/>
      <c r="F2074" s="23"/>
      <c r="G2074" s="23"/>
      <c r="H2074" s="23"/>
      <c r="I2074" s="23"/>
      <c r="J2074" s="23"/>
      <c r="K2074" s="23"/>
      <c r="L2074" s="23"/>
      <c r="M2074" s="23"/>
      <c r="N2074" s="23"/>
      <c r="O2074" s="23"/>
      <c r="P2074" s="23"/>
      <c r="Q2074" s="23"/>
      <c r="R2074" s="23"/>
      <c r="S2074" s="23"/>
      <c r="T2074" s="23"/>
    </row>
    <row r="2075" spans="1:20" x14ac:dyDescent="0.35">
      <c r="A2075" s="23"/>
      <c r="B2075" s="23"/>
      <c r="C2075" s="23"/>
      <c r="D2075" s="23"/>
      <c r="E2075" s="23"/>
      <c r="F2075" s="23"/>
      <c r="G2075" s="23"/>
      <c r="H2075" s="23"/>
      <c r="I2075" s="23"/>
      <c r="J2075" s="23"/>
      <c r="K2075" s="23"/>
      <c r="L2075" s="23"/>
      <c r="M2075" s="23"/>
      <c r="N2075" s="23"/>
      <c r="O2075" s="23"/>
      <c r="P2075" s="23"/>
      <c r="Q2075" s="23"/>
      <c r="R2075" s="23"/>
      <c r="S2075" s="23"/>
      <c r="T2075" s="23"/>
    </row>
    <row r="2076" spans="1:20" x14ac:dyDescent="0.35">
      <c r="A2076" s="23"/>
      <c r="B2076" s="23"/>
      <c r="C2076" s="23"/>
      <c r="D2076" s="23"/>
      <c r="E2076" s="23"/>
      <c r="F2076" s="23"/>
      <c r="G2076" s="23"/>
      <c r="H2076" s="23"/>
      <c r="I2076" s="23"/>
      <c r="J2076" s="23"/>
      <c r="K2076" s="23"/>
      <c r="L2076" s="23"/>
      <c r="M2076" s="23"/>
      <c r="N2076" s="23"/>
      <c r="O2076" s="23"/>
      <c r="P2076" s="23"/>
      <c r="Q2076" s="23"/>
      <c r="R2076" s="23"/>
      <c r="S2076" s="23"/>
      <c r="T2076" s="23"/>
    </row>
    <row r="2077" spans="1:20" x14ac:dyDescent="0.35">
      <c r="A2077" s="23"/>
      <c r="B2077" s="23"/>
      <c r="C2077" s="23"/>
      <c r="D2077" s="23"/>
      <c r="E2077" s="23"/>
      <c r="F2077" s="23"/>
      <c r="G2077" s="23"/>
      <c r="H2077" s="23"/>
      <c r="I2077" s="23"/>
      <c r="J2077" s="23"/>
      <c r="K2077" s="23"/>
      <c r="L2077" s="23"/>
      <c r="M2077" s="23"/>
      <c r="N2077" s="23"/>
      <c r="O2077" s="23"/>
      <c r="P2077" s="23"/>
      <c r="Q2077" s="23"/>
      <c r="R2077" s="23"/>
      <c r="S2077" s="23"/>
      <c r="T2077" s="23"/>
    </row>
    <row r="2078" spans="1:20" x14ac:dyDescent="0.35">
      <c r="A2078" s="23"/>
      <c r="B2078" s="23"/>
      <c r="C2078" s="23"/>
      <c r="D2078" s="23"/>
      <c r="E2078" s="23"/>
      <c r="F2078" s="23"/>
      <c r="G2078" s="23"/>
      <c r="H2078" s="23"/>
      <c r="I2078" s="23"/>
      <c r="J2078" s="23"/>
      <c r="K2078" s="23"/>
      <c r="L2078" s="23"/>
      <c r="M2078" s="23"/>
      <c r="N2078" s="23"/>
      <c r="O2078" s="23"/>
      <c r="P2078" s="23"/>
      <c r="Q2078" s="23"/>
      <c r="R2078" s="23"/>
      <c r="S2078" s="23"/>
      <c r="T2078" s="23"/>
    </row>
    <row r="2079" spans="1:20" x14ac:dyDescent="0.35">
      <c r="A2079" s="23"/>
      <c r="B2079" s="23"/>
      <c r="C2079" s="23"/>
      <c r="D2079" s="23"/>
      <c r="E2079" s="23"/>
      <c r="F2079" s="23"/>
      <c r="G2079" s="23"/>
      <c r="H2079" s="23"/>
      <c r="I2079" s="23"/>
      <c r="J2079" s="23"/>
      <c r="K2079" s="23"/>
      <c r="L2079" s="23"/>
      <c r="M2079" s="23"/>
      <c r="N2079" s="23"/>
      <c r="O2079" s="23"/>
      <c r="P2079" s="23"/>
      <c r="Q2079" s="23"/>
      <c r="R2079" s="23"/>
      <c r="S2079" s="23"/>
      <c r="T2079" s="23"/>
    </row>
    <row r="2080" spans="1:20" x14ac:dyDescent="0.35">
      <c r="A2080" s="23"/>
      <c r="B2080" s="23"/>
      <c r="C2080" s="23"/>
      <c r="D2080" s="23"/>
      <c r="E2080" s="23"/>
      <c r="F2080" s="23"/>
      <c r="G2080" s="23"/>
      <c r="H2080" s="23"/>
      <c r="I2080" s="23"/>
      <c r="J2080" s="23"/>
      <c r="K2080" s="23"/>
      <c r="L2080" s="23"/>
      <c r="M2080" s="23"/>
      <c r="N2080" s="23"/>
      <c r="O2080" s="23"/>
      <c r="P2080" s="23"/>
      <c r="Q2080" s="23"/>
      <c r="R2080" s="23"/>
      <c r="S2080" s="23"/>
      <c r="T2080" s="23"/>
    </row>
    <row r="2081" spans="1:20" x14ac:dyDescent="0.35">
      <c r="A2081" s="23"/>
      <c r="B2081" s="23"/>
      <c r="C2081" s="23"/>
      <c r="D2081" s="23"/>
      <c r="E2081" s="23"/>
      <c r="F2081" s="23"/>
      <c r="G2081" s="23"/>
      <c r="H2081" s="23"/>
      <c r="I2081" s="23"/>
      <c r="J2081" s="23"/>
      <c r="K2081" s="23"/>
      <c r="L2081" s="23"/>
      <c r="M2081" s="23"/>
      <c r="N2081" s="23"/>
      <c r="O2081" s="23"/>
      <c r="P2081" s="23"/>
      <c r="Q2081" s="23"/>
      <c r="R2081" s="23"/>
      <c r="S2081" s="23"/>
      <c r="T2081" s="23"/>
    </row>
    <row r="2082" spans="1:20" x14ac:dyDescent="0.35">
      <c r="A2082" s="23"/>
      <c r="B2082" s="23"/>
      <c r="C2082" s="23"/>
      <c r="D2082" s="23"/>
      <c r="E2082" s="23"/>
      <c r="F2082" s="23"/>
      <c r="G2082" s="23"/>
      <c r="H2082" s="23"/>
      <c r="I2082" s="23"/>
      <c r="J2082" s="23"/>
      <c r="K2082" s="23"/>
      <c r="L2082" s="23"/>
      <c r="M2082" s="23"/>
      <c r="N2082" s="23"/>
      <c r="O2082" s="23"/>
      <c r="P2082" s="23"/>
      <c r="Q2082" s="23"/>
      <c r="R2082" s="23"/>
      <c r="S2082" s="23"/>
      <c r="T2082" s="23"/>
    </row>
    <row r="2083" spans="1:20" x14ac:dyDescent="0.35">
      <c r="A2083" s="23"/>
      <c r="B2083" s="23"/>
      <c r="C2083" s="23"/>
      <c r="D2083" s="23"/>
      <c r="E2083" s="23"/>
      <c r="F2083" s="23"/>
      <c r="G2083" s="23"/>
      <c r="H2083" s="23"/>
      <c r="I2083" s="23"/>
      <c r="J2083" s="23"/>
      <c r="K2083" s="23"/>
      <c r="L2083" s="23"/>
      <c r="M2083" s="23"/>
      <c r="N2083" s="23"/>
      <c r="O2083" s="23"/>
      <c r="P2083" s="23"/>
      <c r="Q2083" s="23"/>
      <c r="R2083" s="23"/>
      <c r="S2083" s="23"/>
      <c r="T2083" s="23"/>
    </row>
    <row r="2084" spans="1:20" x14ac:dyDescent="0.35">
      <c r="A2084" s="23"/>
      <c r="B2084" s="23"/>
      <c r="C2084" s="23"/>
      <c r="D2084" s="23"/>
      <c r="E2084" s="23"/>
      <c r="F2084" s="23"/>
      <c r="G2084" s="23"/>
      <c r="H2084" s="23"/>
      <c r="I2084" s="23"/>
      <c r="J2084" s="23"/>
      <c r="K2084" s="23"/>
      <c r="L2084" s="23"/>
      <c r="M2084" s="23"/>
      <c r="N2084" s="23"/>
      <c r="O2084" s="23"/>
      <c r="P2084" s="23"/>
      <c r="Q2084" s="23"/>
      <c r="R2084" s="23"/>
      <c r="S2084" s="23"/>
      <c r="T2084" s="23"/>
    </row>
    <row r="2085" spans="1:20" x14ac:dyDescent="0.35">
      <c r="A2085" s="23"/>
      <c r="B2085" s="23"/>
      <c r="C2085" s="23"/>
      <c r="D2085" s="23"/>
      <c r="E2085" s="23"/>
      <c r="F2085" s="23"/>
      <c r="G2085" s="23"/>
      <c r="H2085" s="23"/>
      <c r="I2085" s="23"/>
      <c r="J2085" s="23"/>
      <c r="K2085" s="23"/>
      <c r="L2085" s="23"/>
      <c r="M2085" s="23"/>
      <c r="N2085" s="23"/>
      <c r="O2085" s="23"/>
      <c r="P2085" s="23"/>
      <c r="Q2085" s="23"/>
      <c r="R2085" s="23"/>
      <c r="S2085" s="23"/>
      <c r="T2085" s="23"/>
    </row>
    <row r="2086" spans="1:20" x14ac:dyDescent="0.35">
      <c r="A2086" s="23"/>
      <c r="B2086" s="23"/>
      <c r="C2086" s="23"/>
      <c r="D2086" s="23"/>
      <c r="E2086" s="23"/>
      <c r="F2086" s="23"/>
      <c r="G2086" s="23"/>
      <c r="H2086" s="23"/>
      <c r="I2086" s="23"/>
      <c r="J2086" s="23"/>
      <c r="K2086" s="23"/>
      <c r="L2086" s="23"/>
      <c r="M2086" s="23"/>
      <c r="N2086" s="23"/>
      <c r="O2086" s="23"/>
      <c r="P2086" s="23"/>
      <c r="Q2086" s="23"/>
      <c r="R2086" s="23"/>
      <c r="S2086" s="23"/>
      <c r="T2086" s="23"/>
    </row>
    <row r="2087" spans="1:20" x14ac:dyDescent="0.35">
      <c r="A2087" s="23"/>
      <c r="B2087" s="23"/>
      <c r="C2087" s="23"/>
      <c r="D2087" s="23"/>
      <c r="E2087" s="23"/>
      <c r="F2087" s="23"/>
      <c r="G2087" s="23"/>
      <c r="H2087" s="23"/>
      <c r="I2087" s="23"/>
      <c r="J2087" s="23"/>
      <c r="K2087" s="23"/>
      <c r="L2087" s="23"/>
      <c r="M2087" s="23"/>
      <c r="N2087" s="23"/>
      <c r="O2087" s="23"/>
      <c r="P2087" s="23"/>
      <c r="Q2087" s="23"/>
      <c r="R2087" s="23"/>
      <c r="S2087" s="23"/>
      <c r="T2087" s="23"/>
    </row>
    <row r="2088" spans="1:20" x14ac:dyDescent="0.35">
      <c r="A2088" s="23"/>
      <c r="B2088" s="23"/>
      <c r="C2088" s="23"/>
      <c r="D2088" s="23"/>
      <c r="E2088" s="23"/>
      <c r="F2088" s="23"/>
      <c r="G2088" s="23"/>
      <c r="H2088" s="23"/>
      <c r="I2088" s="23"/>
      <c r="J2088" s="23"/>
      <c r="K2088" s="23"/>
      <c r="L2088" s="23"/>
      <c r="M2088" s="23"/>
      <c r="N2088" s="23"/>
      <c r="O2088" s="23"/>
      <c r="P2088" s="23"/>
      <c r="Q2088" s="23"/>
      <c r="R2088" s="23"/>
      <c r="S2088" s="23"/>
      <c r="T2088" s="23"/>
    </row>
    <row r="2089" spans="1:20" x14ac:dyDescent="0.35">
      <c r="A2089" s="23"/>
      <c r="B2089" s="23"/>
      <c r="C2089" s="23"/>
      <c r="D2089" s="23"/>
      <c r="E2089" s="23"/>
      <c r="F2089" s="23"/>
      <c r="G2089" s="23"/>
      <c r="H2089" s="23"/>
      <c r="I2089" s="23"/>
      <c r="J2089" s="23"/>
      <c r="K2089" s="23"/>
      <c r="L2089" s="23"/>
      <c r="M2089" s="23"/>
      <c r="N2089" s="23"/>
      <c r="O2089" s="23"/>
      <c r="P2089" s="23"/>
      <c r="Q2089" s="23"/>
      <c r="R2089" s="23"/>
      <c r="S2089" s="23"/>
      <c r="T2089" s="23"/>
    </row>
    <row r="2090" spans="1:20" x14ac:dyDescent="0.35">
      <c r="A2090" s="23"/>
      <c r="B2090" s="23"/>
      <c r="C2090" s="23"/>
      <c r="D2090" s="23"/>
      <c r="E2090" s="23"/>
      <c r="F2090" s="23"/>
      <c r="G2090" s="23"/>
      <c r="H2090" s="23"/>
      <c r="I2090" s="23"/>
      <c r="J2090" s="23"/>
      <c r="K2090" s="23"/>
      <c r="L2090" s="23"/>
      <c r="M2090" s="23"/>
      <c r="N2090" s="23"/>
      <c r="O2090" s="23"/>
      <c r="P2090" s="23"/>
      <c r="Q2090" s="23"/>
      <c r="R2090" s="23"/>
      <c r="S2090" s="23"/>
      <c r="T2090" s="23"/>
    </row>
    <row r="2091" spans="1:20" x14ac:dyDescent="0.35">
      <c r="A2091" s="23"/>
      <c r="B2091" s="23"/>
      <c r="C2091" s="23"/>
      <c r="D2091" s="23"/>
      <c r="E2091" s="23"/>
      <c r="F2091" s="23"/>
      <c r="G2091" s="23"/>
      <c r="H2091" s="23"/>
      <c r="I2091" s="23"/>
      <c r="J2091" s="23"/>
      <c r="K2091" s="23"/>
      <c r="L2091" s="23"/>
      <c r="M2091" s="23"/>
      <c r="N2091" s="23"/>
      <c r="O2091" s="23"/>
      <c r="P2091" s="23"/>
      <c r="Q2091" s="23"/>
      <c r="R2091" s="23"/>
      <c r="S2091" s="23"/>
      <c r="T2091" s="23"/>
    </row>
    <row r="2092" spans="1:20" x14ac:dyDescent="0.35">
      <c r="A2092" s="23"/>
      <c r="B2092" s="23"/>
      <c r="C2092" s="23"/>
      <c r="D2092" s="23"/>
      <c r="E2092" s="23"/>
      <c r="F2092" s="23"/>
      <c r="G2092" s="23"/>
      <c r="H2092" s="23"/>
      <c r="I2092" s="23"/>
      <c r="J2092" s="23"/>
      <c r="K2092" s="23"/>
      <c r="L2092" s="23"/>
      <c r="M2092" s="23"/>
      <c r="N2092" s="23"/>
      <c r="O2092" s="23"/>
      <c r="P2092" s="23"/>
      <c r="Q2092" s="23"/>
      <c r="R2092" s="23"/>
      <c r="S2092" s="23"/>
      <c r="T2092" s="23"/>
    </row>
    <row r="2093" spans="1:20" x14ac:dyDescent="0.35">
      <c r="A2093" s="23"/>
      <c r="B2093" s="23"/>
      <c r="C2093" s="23"/>
      <c r="D2093" s="23"/>
      <c r="E2093" s="23"/>
      <c r="F2093" s="23"/>
      <c r="G2093" s="23"/>
      <c r="H2093" s="23"/>
      <c r="I2093" s="23"/>
      <c r="J2093" s="23"/>
      <c r="K2093" s="23"/>
      <c r="L2093" s="23"/>
      <c r="M2093" s="23"/>
      <c r="N2093" s="23"/>
      <c r="O2093" s="23"/>
      <c r="P2093" s="23"/>
      <c r="Q2093" s="23"/>
      <c r="R2093" s="23"/>
      <c r="S2093" s="23"/>
      <c r="T2093" s="23"/>
    </row>
    <row r="2094" spans="1:20" x14ac:dyDescent="0.35">
      <c r="A2094" s="23"/>
      <c r="B2094" s="23"/>
      <c r="C2094" s="23"/>
      <c r="D2094" s="23"/>
      <c r="E2094" s="23"/>
      <c r="F2094" s="23"/>
      <c r="G2094" s="23"/>
      <c r="H2094" s="23"/>
      <c r="I2094" s="23"/>
      <c r="J2094" s="23"/>
      <c r="K2094" s="23"/>
      <c r="L2094" s="23"/>
      <c r="M2094" s="23"/>
      <c r="N2094" s="23"/>
      <c r="O2094" s="23"/>
      <c r="P2094" s="23"/>
      <c r="Q2094" s="23"/>
      <c r="R2094" s="23"/>
      <c r="S2094" s="23"/>
      <c r="T2094" s="23"/>
    </row>
    <row r="2095" spans="1:20" x14ac:dyDescent="0.35">
      <c r="A2095" s="23"/>
      <c r="B2095" s="23"/>
      <c r="C2095" s="23"/>
      <c r="D2095" s="23"/>
      <c r="E2095" s="23"/>
      <c r="F2095" s="23"/>
      <c r="G2095" s="23"/>
      <c r="H2095" s="23"/>
      <c r="I2095" s="23"/>
      <c r="J2095" s="23"/>
      <c r="K2095" s="23"/>
      <c r="L2095" s="23"/>
      <c r="M2095" s="23"/>
      <c r="N2095" s="23"/>
      <c r="O2095" s="23"/>
      <c r="P2095" s="23"/>
      <c r="Q2095" s="23"/>
      <c r="R2095" s="23"/>
      <c r="S2095" s="23"/>
      <c r="T2095" s="23"/>
    </row>
    <row r="2096" spans="1:20" x14ac:dyDescent="0.35">
      <c r="A2096" s="23"/>
      <c r="B2096" s="23"/>
      <c r="C2096" s="23"/>
      <c r="D2096" s="23"/>
      <c r="E2096" s="23"/>
      <c r="F2096" s="23"/>
      <c r="G2096" s="23"/>
      <c r="H2096" s="23"/>
      <c r="I2096" s="23"/>
      <c r="J2096" s="23"/>
      <c r="K2096" s="23"/>
      <c r="L2096" s="23"/>
      <c r="M2096" s="23"/>
      <c r="N2096" s="23"/>
      <c r="O2096" s="23"/>
      <c r="P2096" s="23"/>
      <c r="Q2096" s="23"/>
      <c r="R2096" s="23"/>
      <c r="S2096" s="23"/>
      <c r="T2096" s="23"/>
    </row>
    <row r="2097" spans="1:20" x14ac:dyDescent="0.35">
      <c r="A2097" s="23"/>
      <c r="B2097" s="23"/>
      <c r="C2097" s="23"/>
      <c r="D2097" s="23"/>
      <c r="E2097" s="23"/>
      <c r="F2097" s="23"/>
      <c r="G2097" s="23"/>
      <c r="H2097" s="23"/>
      <c r="I2097" s="23"/>
      <c r="J2097" s="23"/>
      <c r="K2097" s="23"/>
      <c r="L2097" s="23"/>
      <c r="M2097" s="23"/>
      <c r="N2097" s="23"/>
      <c r="O2097" s="23"/>
      <c r="P2097" s="23"/>
      <c r="Q2097" s="23"/>
      <c r="R2097" s="23"/>
      <c r="S2097" s="23"/>
      <c r="T2097" s="23"/>
    </row>
    <row r="2098" spans="1:20" x14ac:dyDescent="0.35">
      <c r="A2098" s="23"/>
      <c r="B2098" s="23"/>
      <c r="C2098" s="23"/>
      <c r="D2098" s="23"/>
      <c r="E2098" s="23"/>
      <c r="F2098" s="23"/>
      <c r="G2098" s="23"/>
      <c r="H2098" s="23"/>
      <c r="I2098" s="23"/>
      <c r="J2098" s="23"/>
      <c r="K2098" s="23"/>
      <c r="L2098" s="23"/>
      <c r="M2098" s="23"/>
      <c r="N2098" s="23"/>
      <c r="O2098" s="23"/>
      <c r="P2098" s="23"/>
      <c r="Q2098" s="23"/>
      <c r="R2098" s="23"/>
      <c r="S2098" s="23"/>
      <c r="T2098" s="23"/>
    </row>
    <row r="2099" spans="1:20" x14ac:dyDescent="0.35">
      <c r="A2099" s="23"/>
      <c r="B2099" s="23"/>
      <c r="C2099" s="23"/>
      <c r="D2099" s="23"/>
      <c r="E2099" s="23"/>
      <c r="F2099" s="23"/>
      <c r="G2099" s="23"/>
      <c r="H2099" s="23"/>
      <c r="I2099" s="23"/>
      <c r="J2099" s="23"/>
      <c r="K2099" s="23"/>
      <c r="L2099" s="23"/>
      <c r="M2099" s="23"/>
      <c r="N2099" s="23"/>
      <c r="O2099" s="23"/>
      <c r="P2099" s="23"/>
      <c r="Q2099" s="23"/>
      <c r="R2099" s="23"/>
      <c r="S2099" s="23"/>
      <c r="T2099" s="23"/>
    </row>
    <row r="2100" spans="1:20" x14ac:dyDescent="0.35">
      <c r="A2100" s="23"/>
      <c r="B2100" s="23"/>
      <c r="C2100" s="23"/>
      <c r="D2100" s="23"/>
      <c r="E2100" s="23"/>
      <c r="F2100" s="23"/>
      <c r="G2100" s="23"/>
      <c r="H2100" s="23"/>
      <c r="I2100" s="23"/>
      <c r="J2100" s="23"/>
      <c r="K2100" s="23"/>
      <c r="L2100" s="23"/>
      <c r="M2100" s="23"/>
      <c r="N2100" s="23"/>
      <c r="O2100" s="23"/>
      <c r="P2100" s="23"/>
      <c r="Q2100" s="23"/>
      <c r="R2100" s="23"/>
      <c r="S2100" s="23"/>
      <c r="T2100" s="23"/>
    </row>
    <row r="2101" spans="1:20" x14ac:dyDescent="0.35">
      <c r="A2101" s="23"/>
      <c r="B2101" s="23"/>
      <c r="C2101" s="23"/>
      <c r="D2101" s="23"/>
      <c r="E2101" s="23"/>
      <c r="F2101" s="23"/>
      <c r="G2101" s="23"/>
      <c r="H2101" s="23"/>
      <c r="I2101" s="23"/>
      <c r="J2101" s="23"/>
      <c r="K2101" s="23"/>
      <c r="L2101" s="23"/>
      <c r="M2101" s="23"/>
      <c r="N2101" s="23"/>
      <c r="O2101" s="23"/>
      <c r="P2101" s="23"/>
      <c r="Q2101" s="23"/>
      <c r="R2101" s="23"/>
      <c r="S2101" s="23"/>
      <c r="T2101" s="23"/>
    </row>
    <row r="2102" spans="1:20" x14ac:dyDescent="0.35">
      <c r="A2102" s="23"/>
      <c r="B2102" s="23"/>
      <c r="C2102" s="23"/>
      <c r="D2102" s="23"/>
      <c r="E2102" s="23"/>
      <c r="F2102" s="23"/>
      <c r="G2102" s="23"/>
      <c r="H2102" s="23"/>
      <c r="I2102" s="23"/>
      <c r="J2102" s="23"/>
      <c r="K2102" s="23"/>
      <c r="L2102" s="23"/>
      <c r="M2102" s="23"/>
      <c r="N2102" s="23"/>
      <c r="O2102" s="23"/>
      <c r="P2102" s="23"/>
      <c r="Q2102" s="23"/>
      <c r="R2102" s="23"/>
      <c r="S2102" s="23"/>
      <c r="T2102" s="23"/>
    </row>
    <row r="2103" spans="1:20" x14ac:dyDescent="0.35">
      <c r="A2103" s="23"/>
      <c r="B2103" s="23"/>
      <c r="C2103" s="23"/>
      <c r="D2103" s="23"/>
      <c r="E2103" s="23"/>
      <c r="F2103" s="23"/>
      <c r="G2103" s="23"/>
      <c r="H2103" s="23"/>
      <c r="I2103" s="23"/>
      <c r="J2103" s="23"/>
      <c r="K2103" s="23"/>
      <c r="L2103" s="23"/>
      <c r="M2103" s="23"/>
      <c r="N2103" s="23"/>
      <c r="O2103" s="23"/>
      <c r="P2103" s="23"/>
      <c r="Q2103" s="23"/>
      <c r="R2103" s="23"/>
      <c r="S2103" s="23"/>
      <c r="T2103" s="23"/>
    </row>
    <row r="2104" spans="1:20" x14ac:dyDescent="0.35">
      <c r="A2104" s="23"/>
      <c r="B2104" s="23"/>
      <c r="C2104" s="23"/>
      <c r="D2104" s="23"/>
      <c r="E2104" s="23"/>
      <c r="F2104" s="23"/>
      <c r="G2104" s="23"/>
      <c r="H2104" s="23"/>
      <c r="I2104" s="23"/>
      <c r="J2104" s="23"/>
      <c r="K2104" s="23"/>
      <c r="L2104" s="23"/>
      <c r="M2104" s="23"/>
      <c r="N2104" s="23"/>
      <c r="O2104" s="23"/>
      <c r="P2104" s="23"/>
      <c r="Q2104" s="23"/>
      <c r="R2104" s="23"/>
      <c r="S2104" s="23"/>
      <c r="T2104" s="23"/>
    </row>
    <row r="2105" spans="1:20" x14ac:dyDescent="0.35">
      <c r="A2105" s="23"/>
      <c r="B2105" s="23"/>
      <c r="C2105" s="23"/>
      <c r="D2105" s="23"/>
      <c r="E2105" s="23"/>
      <c r="F2105" s="23"/>
      <c r="G2105" s="23"/>
      <c r="H2105" s="23"/>
      <c r="I2105" s="23"/>
      <c r="J2105" s="23"/>
      <c r="K2105" s="23"/>
      <c r="L2105" s="23"/>
      <c r="M2105" s="23"/>
      <c r="N2105" s="23"/>
      <c r="O2105" s="23"/>
      <c r="P2105" s="23"/>
      <c r="Q2105" s="23"/>
      <c r="R2105" s="23"/>
      <c r="S2105" s="23"/>
      <c r="T2105" s="23"/>
    </row>
    <row r="2106" spans="1:20" x14ac:dyDescent="0.35">
      <c r="A2106" s="23"/>
      <c r="B2106" s="23"/>
      <c r="C2106" s="23"/>
      <c r="D2106" s="23"/>
      <c r="E2106" s="23"/>
      <c r="F2106" s="23"/>
      <c r="G2106" s="23"/>
      <c r="H2106" s="23"/>
      <c r="I2106" s="23"/>
      <c r="J2106" s="23"/>
      <c r="K2106" s="23"/>
      <c r="L2106" s="23"/>
      <c r="M2106" s="23"/>
      <c r="N2106" s="23"/>
      <c r="O2106" s="23"/>
      <c r="P2106" s="23"/>
      <c r="Q2106" s="23"/>
      <c r="R2106" s="23"/>
      <c r="S2106" s="23"/>
      <c r="T2106" s="23"/>
    </row>
    <row r="2107" spans="1:20" x14ac:dyDescent="0.35">
      <c r="A2107" s="23"/>
      <c r="B2107" s="23"/>
      <c r="C2107" s="23"/>
      <c r="D2107" s="23"/>
      <c r="E2107" s="23"/>
      <c r="F2107" s="23"/>
      <c r="G2107" s="23"/>
      <c r="H2107" s="23"/>
      <c r="I2107" s="23"/>
      <c r="J2107" s="23"/>
      <c r="K2107" s="23"/>
      <c r="L2107" s="23"/>
      <c r="M2107" s="23"/>
      <c r="N2107" s="23"/>
      <c r="O2107" s="23"/>
      <c r="P2107" s="23"/>
      <c r="Q2107" s="23"/>
      <c r="R2107" s="23"/>
      <c r="S2107" s="23"/>
      <c r="T2107" s="23"/>
    </row>
    <row r="2108" spans="1:20" x14ac:dyDescent="0.35">
      <c r="A2108" s="23"/>
      <c r="B2108" s="23"/>
      <c r="C2108" s="23"/>
      <c r="D2108" s="23"/>
      <c r="E2108" s="23"/>
      <c r="F2108" s="23"/>
      <c r="G2108" s="23"/>
      <c r="H2108" s="23"/>
      <c r="I2108" s="23"/>
      <c r="J2108" s="23"/>
      <c r="K2108" s="23"/>
      <c r="L2108" s="23"/>
      <c r="M2108" s="23"/>
      <c r="N2108" s="23"/>
      <c r="O2108" s="23"/>
      <c r="P2108" s="23"/>
      <c r="Q2108" s="23"/>
      <c r="R2108" s="23"/>
      <c r="S2108" s="23"/>
      <c r="T2108" s="23"/>
    </row>
    <row r="2109" spans="1:20" x14ac:dyDescent="0.35">
      <c r="A2109" s="23"/>
      <c r="B2109" s="23"/>
      <c r="C2109" s="23"/>
      <c r="D2109" s="23"/>
      <c r="E2109" s="23"/>
      <c r="F2109" s="23"/>
      <c r="G2109" s="23"/>
      <c r="H2109" s="23"/>
      <c r="I2109" s="23"/>
      <c r="J2109" s="23"/>
      <c r="K2109" s="23"/>
      <c r="L2109" s="23"/>
      <c r="M2109" s="23"/>
      <c r="N2109" s="23"/>
      <c r="O2109" s="23"/>
      <c r="P2109" s="23"/>
      <c r="Q2109" s="23"/>
      <c r="R2109" s="23"/>
      <c r="S2109" s="23"/>
      <c r="T2109" s="23"/>
    </row>
    <row r="2110" spans="1:20" x14ac:dyDescent="0.35">
      <c r="A2110" s="23"/>
      <c r="B2110" s="23"/>
      <c r="C2110" s="23"/>
      <c r="D2110" s="23"/>
      <c r="E2110" s="23"/>
      <c r="F2110" s="23"/>
      <c r="G2110" s="23"/>
      <c r="H2110" s="23"/>
      <c r="I2110" s="23"/>
      <c r="J2110" s="23"/>
      <c r="K2110" s="23"/>
      <c r="L2110" s="23"/>
      <c r="M2110" s="23"/>
      <c r="N2110" s="23"/>
      <c r="O2110" s="23"/>
      <c r="P2110" s="23"/>
      <c r="Q2110" s="23"/>
      <c r="R2110" s="23"/>
      <c r="S2110" s="23"/>
      <c r="T2110" s="23"/>
    </row>
    <row r="2111" spans="1:20" x14ac:dyDescent="0.35">
      <c r="A2111" s="23"/>
      <c r="B2111" s="23"/>
      <c r="C2111" s="23"/>
      <c r="D2111" s="23"/>
      <c r="E2111" s="23"/>
      <c r="F2111" s="23"/>
      <c r="G2111" s="23"/>
      <c r="H2111" s="23"/>
      <c r="I2111" s="23"/>
      <c r="J2111" s="23"/>
      <c r="K2111" s="23"/>
      <c r="L2111" s="23"/>
      <c r="M2111" s="23"/>
      <c r="N2111" s="23"/>
      <c r="O2111" s="23"/>
      <c r="P2111" s="23"/>
      <c r="Q2111" s="23"/>
      <c r="R2111" s="23"/>
      <c r="S2111" s="23"/>
      <c r="T2111" s="23"/>
    </row>
    <row r="2112" spans="1:20" x14ac:dyDescent="0.35">
      <c r="A2112" s="23"/>
      <c r="B2112" s="23"/>
      <c r="C2112" s="23"/>
      <c r="D2112" s="23"/>
      <c r="E2112" s="23"/>
      <c r="F2112" s="23"/>
      <c r="G2112" s="23"/>
      <c r="H2112" s="23"/>
      <c r="I2112" s="23"/>
      <c r="J2112" s="23"/>
      <c r="K2112" s="23"/>
      <c r="L2112" s="23"/>
      <c r="M2112" s="23"/>
      <c r="N2112" s="23"/>
      <c r="O2112" s="23"/>
      <c r="P2112" s="23"/>
      <c r="Q2112" s="23"/>
      <c r="R2112" s="23"/>
      <c r="S2112" s="23"/>
      <c r="T2112" s="23"/>
    </row>
    <row r="2113" spans="1:20" x14ac:dyDescent="0.35">
      <c r="A2113" s="23"/>
      <c r="B2113" s="23"/>
      <c r="C2113" s="23"/>
      <c r="D2113" s="23"/>
      <c r="E2113" s="23"/>
      <c r="F2113" s="23"/>
      <c r="G2113" s="23"/>
      <c r="H2113" s="23"/>
      <c r="I2113" s="23"/>
      <c r="J2113" s="23"/>
      <c r="K2113" s="23"/>
      <c r="L2113" s="23"/>
      <c r="M2113" s="23"/>
      <c r="N2113" s="23"/>
      <c r="O2113" s="23"/>
      <c r="P2113" s="23"/>
      <c r="Q2113" s="23"/>
      <c r="R2113" s="23"/>
      <c r="S2113" s="23"/>
      <c r="T2113" s="23"/>
    </row>
    <row r="2114" spans="1:20" x14ac:dyDescent="0.35">
      <c r="A2114" s="23"/>
      <c r="B2114" s="23"/>
      <c r="C2114" s="23"/>
      <c r="D2114" s="23"/>
      <c r="E2114" s="23"/>
      <c r="F2114" s="23"/>
      <c r="G2114" s="23"/>
      <c r="H2114" s="23"/>
      <c r="I2114" s="23"/>
      <c r="J2114" s="23"/>
      <c r="K2114" s="23"/>
      <c r="L2114" s="23"/>
      <c r="M2114" s="23"/>
      <c r="N2114" s="23"/>
      <c r="O2114" s="23"/>
      <c r="P2114" s="23"/>
      <c r="Q2114" s="23"/>
      <c r="R2114" s="23"/>
      <c r="S2114" s="23"/>
      <c r="T2114" s="23"/>
    </row>
    <row r="2115" spans="1:20" x14ac:dyDescent="0.35">
      <c r="A2115" s="23"/>
      <c r="B2115" s="23"/>
      <c r="C2115" s="23"/>
      <c r="D2115" s="23"/>
      <c r="E2115" s="23"/>
      <c r="F2115" s="23"/>
      <c r="G2115" s="23"/>
      <c r="H2115" s="23"/>
      <c r="I2115" s="23"/>
      <c r="J2115" s="23"/>
      <c r="K2115" s="23"/>
      <c r="L2115" s="23"/>
      <c r="M2115" s="23"/>
      <c r="N2115" s="23"/>
      <c r="O2115" s="23"/>
      <c r="P2115" s="23"/>
      <c r="Q2115" s="23"/>
      <c r="R2115" s="23"/>
      <c r="S2115" s="23"/>
      <c r="T2115" s="23"/>
    </row>
    <row r="2116" spans="1:20" x14ac:dyDescent="0.35">
      <c r="A2116" s="23"/>
      <c r="B2116" s="23"/>
      <c r="C2116" s="23"/>
      <c r="D2116" s="23"/>
      <c r="E2116" s="23"/>
      <c r="F2116" s="23"/>
      <c r="G2116" s="23"/>
      <c r="H2116" s="23"/>
      <c r="I2116" s="23"/>
      <c r="J2116" s="23"/>
      <c r="K2116" s="23"/>
      <c r="L2116" s="23"/>
      <c r="M2116" s="23"/>
      <c r="N2116" s="23"/>
      <c r="O2116" s="23"/>
      <c r="P2116" s="23"/>
      <c r="Q2116" s="23"/>
      <c r="R2116" s="23"/>
      <c r="S2116" s="23"/>
      <c r="T2116" s="23"/>
    </row>
    <row r="2117" spans="1:20" x14ac:dyDescent="0.35">
      <c r="A2117" s="23"/>
      <c r="B2117" s="23"/>
      <c r="C2117" s="23"/>
      <c r="D2117" s="23"/>
      <c r="E2117" s="23"/>
      <c r="F2117" s="23"/>
      <c r="G2117" s="23"/>
      <c r="H2117" s="23"/>
      <c r="I2117" s="23"/>
      <c r="J2117" s="23"/>
      <c r="K2117" s="23"/>
      <c r="L2117" s="23"/>
      <c r="M2117" s="23"/>
      <c r="N2117" s="23"/>
      <c r="O2117" s="23"/>
      <c r="P2117" s="23"/>
      <c r="Q2117" s="23"/>
      <c r="R2117" s="23"/>
      <c r="S2117" s="23"/>
      <c r="T2117" s="23"/>
    </row>
    <row r="2118" spans="1:20" x14ac:dyDescent="0.35">
      <c r="A2118" s="23"/>
      <c r="B2118" s="23"/>
      <c r="C2118" s="23"/>
      <c r="D2118" s="23"/>
      <c r="E2118" s="23"/>
      <c r="F2118" s="23"/>
      <c r="G2118" s="23"/>
      <c r="H2118" s="23"/>
      <c r="I2118" s="23"/>
      <c r="J2118" s="23"/>
      <c r="K2118" s="23"/>
      <c r="L2118" s="23"/>
      <c r="M2118" s="23"/>
      <c r="N2118" s="23"/>
      <c r="O2118" s="23"/>
      <c r="P2118" s="23"/>
      <c r="Q2118" s="23"/>
      <c r="R2118" s="23"/>
      <c r="S2118" s="23"/>
      <c r="T2118" s="23"/>
    </row>
    <row r="2119" spans="1:20" x14ac:dyDescent="0.35">
      <c r="A2119" s="23"/>
      <c r="B2119" s="23"/>
      <c r="C2119" s="23"/>
      <c r="D2119" s="23"/>
      <c r="E2119" s="23"/>
      <c r="F2119" s="23"/>
      <c r="G2119" s="23"/>
      <c r="H2119" s="23"/>
      <c r="I2119" s="23"/>
      <c r="J2119" s="23"/>
      <c r="K2119" s="23"/>
      <c r="L2119" s="23"/>
      <c r="M2119" s="23"/>
      <c r="N2119" s="23"/>
      <c r="O2119" s="23"/>
      <c r="P2119" s="23"/>
      <c r="Q2119" s="23"/>
      <c r="R2119" s="23"/>
      <c r="S2119" s="23"/>
      <c r="T2119" s="23"/>
    </row>
    <row r="2120" spans="1:20" x14ac:dyDescent="0.35">
      <c r="A2120" s="23"/>
      <c r="B2120" s="23"/>
      <c r="C2120" s="23"/>
      <c r="D2120" s="23"/>
      <c r="E2120" s="23"/>
      <c r="F2120" s="23"/>
      <c r="G2120" s="23"/>
      <c r="H2120" s="23"/>
      <c r="I2120" s="23"/>
      <c r="J2120" s="23"/>
      <c r="K2120" s="23"/>
      <c r="L2120" s="23"/>
      <c r="M2120" s="23"/>
      <c r="N2120" s="23"/>
      <c r="O2120" s="23"/>
      <c r="P2120" s="23"/>
      <c r="Q2120" s="23"/>
      <c r="R2120" s="23"/>
      <c r="S2120" s="23"/>
      <c r="T2120" s="23"/>
    </row>
    <row r="2121" spans="1:20" x14ac:dyDescent="0.35">
      <c r="A2121" s="23"/>
      <c r="B2121" s="23"/>
      <c r="C2121" s="23"/>
      <c r="D2121" s="23"/>
      <c r="E2121" s="23"/>
      <c r="F2121" s="23"/>
      <c r="G2121" s="23"/>
      <c r="H2121" s="23"/>
      <c r="I2121" s="23"/>
      <c r="J2121" s="23"/>
      <c r="K2121" s="23"/>
      <c r="L2121" s="23"/>
      <c r="M2121" s="23"/>
      <c r="N2121" s="23"/>
      <c r="O2121" s="23"/>
      <c r="P2121" s="23"/>
      <c r="Q2121" s="23"/>
      <c r="R2121" s="23"/>
      <c r="S2121" s="23"/>
      <c r="T2121" s="23"/>
    </row>
    <row r="2122" spans="1:20" x14ac:dyDescent="0.35">
      <c r="A2122" s="23"/>
      <c r="B2122" s="23"/>
      <c r="C2122" s="23"/>
      <c r="D2122" s="23"/>
      <c r="E2122" s="23"/>
      <c r="F2122" s="23"/>
      <c r="G2122" s="23"/>
      <c r="H2122" s="23"/>
      <c r="I2122" s="23"/>
      <c r="J2122" s="23"/>
      <c r="K2122" s="23"/>
      <c r="L2122" s="23"/>
      <c r="M2122" s="23"/>
      <c r="N2122" s="23"/>
      <c r="O2122" s="23"/>
      <c r="P2122" s="23"/>
      <c r="Q2122" s="23"/>
      <c r="R2122" s="23"/>
      <c r="S2122" s="23"/>
      <c r="T2122" s="23"/>
    </row>
    <row r="2123" spans="1:20" x14ac:dyDescent="0.35">
      <c r="A2123" s="23"/>
      <c r="B2123" s="23"/>
      <c r="C2123" s="23"/>
      <c r="D2123" s="23"/>
      <c r="E2123" s="23"/>
      <c r="F2123" s="23"/>
      <c r="G2123" s="23"/>
      <c r="H2123" s="23"/>
      <c r="I2123" s="23"/>
      <c r="J2123" s="23"/>
      <c r="K2123" s="23"/>
      <c r="L2123" s="23"/>
      <c r="M2123" s="23"/>
      <c r="N2123" s="23"/>
      <c r="O2123" s="23"/>
      <c r="P2123" s="23"/>
      <c r="Q2123" s="23"/>
      <c r="R2123" s="23"/>
      <c r="S2123" s="23"/>
      <c r="T2123" s="23"/>
    </row>
    <row r="2124" spans="1:20" x14ac:dyDescent="0.35">
      <c r="A2124" s="23"/>
      <c r="B2124" s="23"/>
      <c r="C2124" s="23"/>
      <c r="D2124" s="23"/>
      <c r="E2124" s="23"/>
      <c r="F2124" s="23"/>
      <c r="G2124" s="23"/>
      <c r="H2124" s="23"/>
      <c r="I2124" s="23"/>
      <c r="J2124" s="23"/>
      <c r="K2124" s="23"/>
      <c r="L2124" s="23"/>
      <c r="M2124" s="23"/>
      <c r="N2124" s="23"/>
      <c r="O2124" s="23"/>
      <c r="P2124" s="23"/>
      <c r="Q2124" s="23"/>
      <c r="R2124" s="23"/>
      <c r="S2124" s="23"/>
      <c r="T2124" s="23"/>
    </row>
    <row r="2125" spans="1:20" x14ac:dyDescent="0.35">
      <c r="A2125" s="23"/>
      <c r="B2125" s="23"/>
      <c r="C2125" s="23"/>
      <c r="D2125" s="23"/>
      <c r="E2125" s="23"/>
      <c r="F2125" s="23"/>
      <c r="G2125" s="23"/>
      <c r="H2125" s="23"/>
      <c r="I2125" s="23"/>
      <c r="J2125" s="23"/>
      <c r="K2125" s="23"/>
      <c r="L2125" s="23"/>
      <c r="M2125" s="23"/>
      <c r="N2125" s="23"/>
      <c r="O2125" s="23"/>
      <c r="P2125" s="23"/>
      <c r="Q2125" s="23"/>
      <c r="R2125" s="23"/>
      <c r="S2125" s="23"/>
      <c r="T2125" s="23"/>
    </row>
    <row r="2126" spans="1:20" x14ac:dyDescent="0.35">
      <c r="A2126" s="23"/>
      <c r="B2126" s="23"/>
      <c r="C2126" s="23"/>
      <c r="D2126" s="23"/>
      <c r="E2126" s="23"/>
      <c r="F2126" s="23"/>
      <c r="G2126" s="23"/>
      <c r="H2126" s="23"/>
      <c r="I2126" s="23"/>
      <c r="J2126" s="23"/>
      <c r="K2126" s="23"/>
      <c r="L2126" s="23"/>
      <c r="M2126" s="23"/>
      <c r="N2126" s="23"/>
      <c r="O2126" s="23"/>
      <c r="P2126" s="23"/>
      <c r="Q2126" s="23"/>
      <c r="R2126" s="23"/>
      <c r="S2126" s="23"/>
      <c r="T2126" s="23"/>
    </row>
    <row r="2127" spans="1:20" x14ac:dyDescent="0.35">
      <c r="A2127" s="23"/>
      <c r="B2127" s="23"/>
      <c r="C2127" s="23"/>
      <c r="D2127" s="23"/>
      <c r="E2127" s="23"/>
      <c r="F2127" s="23"/>
      <c r="G2127" s="23"/>
      <c r="H2127" s="23"/>
      <c r="I2127" s="23"/>
      <c r="J2127" s="23"/>
      <c r="K2127" s="23"/>
      <c r="L2127" s="23"/>
      <c r="M2127" s="23"/>
      <c r="N2127" s="23"/>
      <c r="O2127" s="23"/>
      <c r="P2127" s="23"/>
      <c r="Q2127" s="23"/>
      <c r="R2127" s="23"/>
      <c r="S2127" s="23"/>
      <c r="T2127" s="23"/>
    </row>
    <row r="2128" spans="1:20" x14ac:dyDescent="0.35">
      <c r="A2128" s="23"/>
      <c r="B2128" s="23"/>
      <c r="C2128" s="23"/>
      <c r="D2128" s="23"/>
      <c r="E2128" s="23"/>
      <c r="F2128" s="23"/>
      <c r="G2128" s="23"/>
      <c r="H2128" s="23"/>
      <c r="I2128" s="23"/>
      <c r="J2128" s="23"/>
      <c r="K2128" s="23"/>
      <c r="L2128" s="23"/>
      <c r="M2128" s="23"/>
      <c r="N2128" s="23"/>
      <c r="O2128" s="23"/>
      <c r="P2128" s="23"/>
      <c r="Q2128" s="23"/>
      <c r="R2128" s="23"/>
      <c r="S2128" s="23"/>
      <c r="T2128" s="23"/>
    </row>
    <row r="2129" spans="1:20" x14ac:dyDescent="0.35">
      <c r="A2129" s="23"/>
      <c r="B2129" s="23"/>
      <c r="C2129" s="23"/>
      <c r="D2129" s="23"/>
      <c r="E2129" s="23"/>
      <c r="F2129" s="23"/>
      <c r="G2129" s="23"/>
      <c r="H2129" s="23"/>
      <c r="I2129" s="23"/>
      <c r="J2129" s="23"/>
      <c r="K2129" s="23"/>
      <c r="L2129" s="23"/>
      <c r="M2129" s="23"/>
      <c r="N2129" s="23"/>
      <c r="O2129" s="23"/>
      <c r="P2129" s="23"/>
      <c r="Q2129" s="23"/>
      <c r="R2129" s="23"/>
      <c r="S2129" s="23"/>
      <c r="T2129" s="23"/>
    </row>
    <row r="2130" spans="1:20" x14ac:dyDescent="0.35">
      <c r="A2130" s="23"/>
      <c r="B2130" s="23"/>
      <c r="C2130" s="23"/>
      <c r="D2130" s="23"/>
      <c r="E2130" s="23"/>
      <c r="F2130" s="23"/>
      <c r="G2130" s="23"/>
      <c r="H2130" s="23"/>
      <c r="I2130" s="23"/>
      <c r="J2130" s="23"/>
      <c r="K2130" s="23"/>
      <c r="L2130" s="23"/>
      <c r="M2130" s="23"/>
      <c r="N2130" s="23"/>
      <c r="O2130" s="23"/>
      <c r="P2130" s="23"/>
      <c r="Q2130" s="23"/>
      <c r="R2130" s="23"/>
      <c r="S2130" s="23"/>
      <c r="T2130" s="23"/>
    </row>
    <row r="2131" spans="1:20" x14ac:dyDescent="0.35">
      <c r="A2131" s="23"/>
      <c r="B2131" s="23"/>
      <c r="C2131" s="23"/>
      <c r="D2131" s="23"/>
      <c r="E2131" s="23"/>
      <c r="F2131" s="23"/>
      <c r="G2131" s="23"/>
      <c r="H2131" s="23"/>
      <c r="I2131" s="23"/>
      <c r="J2131" s="23"/>
      <c r="K2131" s="23"/>
      <c r="L2131" s="23"/>
      <c r="M2131" s="23"/>
      <c r="N2131" s="23"/>
      <c r="O2131" s="23"/>
      <c r="P2131" s="23"/>
      <c r="Q2131" s="23"/>
      <c r="R2131" s="23"/>
      <c r="S2131" s="23"/>
      <c r="T2131" s="23"/>
    </row>
    <row r="2132" spans="1:20" x14ac:dyDescent="0.35">
      <c r="A2132" s="23"/>
      <c r="B2132" s="23"/>
      <c r="C2132" s="23"/>
      <c r="D2132" s="23"/>
      <c r="E2132" s="23"/>
      <c r="F2132" s="23"/>
      <c r="G2132" s="23"/>
      <c r="H2132" s="23"/>
      <c r="I2132" s="23"/>
      <c r="J2132" s="23"/>
      <c r="K2132" s="23"/>
      <c r="L2132" s="23"/>
      <c r="M2132" s="23"/>
      <c r="N2132" s="23"/>
      <c r="O2132" s="23"/>
      <c r="P2132" s="23"/>
      <c r="Q2132" s="23"/>
      <c r="R2132" s="23"/>
      <c r="S2132" s="23"/>
      <c r="T2132" s="23"/>
    </row>
    <row r="2133" spans="1:20" x14ac:dyDescent="0.35">
      <c r="A2133" s="23"/>
      <c r="B2133" s="23"/>
      <c r="C2133" s="23"/>
      <c r="D2133" s="23"/>
      <c r="E2133" s="23"/>
      <c r="F2133" s="23"/>
      <c r="G2133" s="23"/>
      <c r="H2133" s="23"/>
      <c r="I2133" s="23"/>
      <c r="J2133" s="23"/>
      <c r="K2133" s="23"/>
      <c r="L2133" s="23"/>
      <c r="M2133" s="23"/>
      <c r="N2133" s="23"/>
      <c r="O2133" s="23"/>
      <c r="P2133" s="23"/>
      <c r="Q2133" s="23"/>
      <c r="R2133" s="23"/>
      <c r="S2133" s="23"/>
      <c r="T2133" s="23"/>
    </row>
    <row r="2134" spans="1:20" x14ac:dyDescent="0.35">
      <c r="A2134" s="23"/>
      <c r="B2134" s="23"/>
      <c r="C2134" s="23"/>
      <c r="D2134" s="23"/>
      <c r="E2134" s="23"/>
      <c r="F2134" s="23"/>
      <c r="G2134" s="23"/>
      <c r="H2134" s="23"/>
      <c r="I2134" s="23"/>
      <c r="J2134" s="23"/>
      <c r="K2134" s="23"/>
      <c r="L2134" s="23"/>
      <c r="M2134" s="23"/>
      <c r="N2134" s="23"/>
      <c r="O2134" s="23"/>
      <c r="P2134" s="23"/>
      <c r="Q2134" s="23"/>
      <c r="R2134" s="23"/>
      <c r="S2134" s="23"/>
      <c r="T2134" s="23"/>
    </row>
    <row r="2135" spans="1:20" x14ac:dyDescent="0.35">
      <c r="A2135" s="23"/>
      <c r="B2135" s="23"/>
      <c r="C2135" s="23"/>
      <c r="D2135" s="23"/>
      <c r="E2135" s="23"/>
      <c r="F2135" s="23"/>
      <c r="G2135" s="23"/>
      <c r="H2135" s="23"/>
      <c r="I2135" s="23"/>
      <c r="J2135" s="23"/>
      <c r="K2135" s="23"/>
      <c r="L2135" s="23"/>
      <c r="M2135" s="23"/>
      <c r="N2135" s="23"/>
      <c r="O2135" s="23"/>
      <c r="P2135" s="23"/>
      <c r="Q2135" s="23"/>
      <c r="R2135" s="23"/>
      <c r="S2135" s="23"/>
      <c r="T2135" s="23"/>
    </row>
    <row r="2136" spans="1:20" x14ac:dyDescent="0.35">
      <c r="A2136" s="23"/>
      <c r="B2136" s="23"/>
      <c r="C2136" s="23"/>
      <c r="D2136" s="23"/>
      <c r="E2136" s="23"/>
      <c r="F2136" s="23"/>
      <c r="G2136" s="23"/>
      <c r="H2136" s="23"/>
      <c r="I2136" s="23"/>
      <c r="J2136" s="23"/>
      <c r="K2136" s="23"/>
      <c r="L2136" s="23"/>
      <c r="M2136" s="23"/>
      <c r="N2136" s="23"/>
      <c r="O2136" s="23"/>
      <c r="P2136" s="23"/>
      <c r="Q2136" s="23"/>
      <c r="R2136" s="23"/>
      <c r="S2136" s="23"/>
      <c r="T2136" s="23"/>
    </row>
    <row r="2137" spans="1:20" x14ac:dyDescent="0.35">
      <c r="A2137" s="23"/>
      <c r="B2137" s="23"/>
      <c r="C2137" s="23"/>
      <c r="D2137" s="23"/>
      <c r="E2137" s="23"/>
      <c r="F2137" s="23"/>
      <c r="G2137" s="23"/>
      <c r="H2137" s="23"/>
      <c r="I2137" s="23"/>
      <c r="J2137" s="23"/>
      <c r="K2137" s="23"/>
      <c r="L2137" s="23"/>
      <c r="M2137" s="23"/>
      <c r="N2137" s="23"/>
      <c r="O2137" s="23"/>
      <c r="P2137" s="23"/>
      <c r="Q2137" s="23"/>
      <c r="R2137" s="23"/>
      <c r="S2137" s="23"/>
      <c r="T2137" s="23"/>
    </row>
    <row r="2138" spans="1:20" x14ac:dyDescent="0.35">
      <c r="A2138" s="23"/>
      <c r="B2138" s="23"/>
      <c r="C2138" s="23"/>
      <c r="D2138" s="23"/>
      <c r="E2138" s="23"/>
      <c r="F2138" s="23"/>
      <c r="G2138" s="23"/>
      <c r="H2138" s="23"/>
      <c r="I2138" s="23"/>
      <c r="J2138" s="23"/>
      <c r="K2138" s="23"/>
      <c r="L2138" s="23"/>
      <c r="M2138" s="23"/>
      <c r="N2138" s="23"/>
      <c r="O2138" s="23"/>
      <c r="P2138" s="23"/>
      <c r="Q2138" s="23"/>
      <c r="R2138" s="23"/>
      <c r="S2138" s="23"/>
      <c r="T2138" s="23"/>
    </row>
    <row r="2139" spans="1:20" x14ac:dyDescent="0.35">
      <c r="A2139" s="23"/>
      <c r="B2139" s="23"/>
      <c r="C2139" s="23"/>
      <c r="D2139" s="23"/>
      <c r="E2139" s="23"/>
      <c r="F2139" s="23"/>
      <c r="G2139" s="23"/>
      <c r="H2139" s="23"/>
      <c r="I2139" s="23"/>
      <c r="J2139" s="23"/>
      <c r="K2139" s="23"/>
      <c r="L2139" s="23"/>
      <c r="M2139" s="23"/>
      <c r="N2139" s="23"/>
      <c r="O2139" s="23"/>
      <c r="P2139" s="23"/>
      <c r="Q2139" s="23"/>
      <c r="R2139" s="23"/>
      <c r="S2139" s="23"/>
      <c r="T2139" s="23"/>
    </row>
    <row r="2140" spans="1:20" x14ac:dyDescent="0.35">
      <c r="A2140" s="23"/>
      <c r="B2140" s="23"/>
      <c r="C2140" s="23"/>
      <c r="D2140" s="23"/>
      <c r="E2140" s="23"/>
      <c r="F2140" s="23"/>
      <c r="G2140" s="23"/>
      <c r="H2140" s="23"/>
      <c r="I2140" s="23"/>
      <c r="J2140" s="23"/>
      <c r="K2140" s="23"/>
      <c r="L2140" s="23"/>
      <c r="M2140" s="23"/>
      <c r="N2140" s="23"/>
      <c r="O2140" s="23"/>
      <c r="P2140" s="23"/>
      <c r="Q2140" s="23"/>
      <c r="R2140" s="23"/>
      <c r="S2140" s="23"/>
      <c r="T2140" s="23"/>
    </row>
    <row r="2141" spans="1:20" x14ac:dyDescent="0.35">
      <c r="A2141" s="23"/>
      <c r="B2141" s="23"/>
      <c r="C2141" s="23"/>
      <c r="D2141" s="23"/>
      <c r="E2141" s="23"/>
      <c r="F2141" s="23"/>
      <c r="G2141" s="23"/>
      <c r="H2141" s="23"/>
      <c r="I2141" s="23"/>
      <c r="J2141" s="23"/>
      <c r="K2141" s="23"/>
      <c r="L2141" s="23"/>
      <c r="M2141" s="23"/>
      <c r="N2141" s="23"/>
      <c r="O2141" s="23"/>
      <c r="P2141" s="23"/>
      <c r="Q2141" s="23"/>
      <c r="R2141" s="23"/>
      <c r="S2141" s="23"/>
      <c r="T2141" s="23"/>
    </row>
    <row r="2142" spans="1:20" x14ac:dyDescent="0.35">
      <c r="A2142" s="23"/>
      <c r="B2142" s="23"/>
      <c r="C2142" s="23"/>
      <c r="D2142" s="23"/>
      <c r="E2142" s="23"/>
      <c r="F2142" s="23"/>
      <c r="G2142" s="23"/>
      <c r="H2142" s="23"/>
      <c r="I2142" s="23"/>
      <c r="J2142" s="23"/>
      <c r="K2142" s="23"/>
      <c r="L2142" s="23"/>
      <c r="M2142" s="23"/>
      <c r="N2142" s="23"/>
      <c r="O2142" s="23"/>
      <c r="P2142" s="23"/>
      <c r="Q2142" s="23"/>
      <c r="R2142" s="23"/>
      <c r="S2142" s="23"/>
      <c r="T2142" s="23"/>
    </row>
    <row r="2143" spans="1:20" x14ac:dyDescent="0.35">
      <c r="A2143" s="23"/>
      <c r="B2143" s="23"/>
      <c r="C2143" s="23"/>
      <c r="D2143" s="23"/>
      <c r="E2143" s="23"/>
      <c r="F2143" s="23"/>
      <c r="G2143" s="23"/>
      <c r="H2143" s="23"/>
      <c r="I2143" s="23"/>
      <c r="J2143" s="23"/>
      <c r="K2143" s="23"/>
      <c r="L2143" s="23"/>
      <c r="M2143" s="23"/>
      <c r="N2143" s="23"/>
      <c r="O2143" s="23"/>
      <c r="P2143" s="23"/>
      <c r="Q2143" s="23"/>
      <c r="R2143" s="23"/>
      <c r="S2143" s="23"/>
      <c r="T2143" s="23"/>
    </row>
    <row r="2144" spans="1:20" x14ac:dyDescent="0.35">
      <c r="A2144" s="23"/>
      <c r="B2144" s="23"/>
      <c r="C2144" s="23"/>
      <c r="D2144" s="23"/>
      <c r="E2144" s="23"/>
      <c r="F2144" s="23"/>
      <c r="G2144" s="23"/>
      <c r="H2144" s="23"/>
      <c r="I2144" s="23"/>
      <c r="J2144" s="23"/>
      <c r="K2144" s="23"/>
      <c r="L2144" s="23"/>
      <c r="M2144" s="23"/>
      <c r="N2144" s="23"/>
      <c r="O2144" s="23"/>
      <c r="P2144" s="23"/>
      <c r="Q2144" s="23"/>
      <c r="R2144" s="23"/>
      <c r="S2144" s="23"/>
      <c r="T2144" s="23"/>
    </row>
    <row r="2145" spans="1:20" x14ac:dyDescent="0.35">
      <c r="A2145" s="23"/>
      <c r="B2145" s="23"/>
      <c r="C2145" s="23"/>
      <c r="D2145" s="23"/>
      <c r="E2145" s="23"/>
      <c r="F2145" s="23"/>
      <c r="G2145" s="23"/>
      <c r="H2145" s="23"/>
      <c r="I2145" s="23"/>
      <c r="J2145" s="23"/>
      <c r="K2145" s="23"/>
      <c r="L2145" s="23"/>
      <c r="M2145" s="23"/>
      <c r="N2145" s="23"/>
      <c r="O2145" s="23"/>
      <c r="P2145" s="23"/>
      <c r="Q2145" s="23"/>
      <c r="R2145" s="23"/>
      <c r="S2145" s="23"/>
      <c r="T2145" s="23"/>
    </row>
    <row r="2146" spans="1:20" x14ac:dyDescent="0.35">
      <c r="A2146" s="23"/>
      <c r="B2146" s="23"/>
      <c r="C2146" s="23"/>
      <c r="D2146" s="23"/>
      <c r="E2146" s="23"/>
      <c r="F2146" s="23"/>
      <c r="G2146" s="23"/>
      <c r="H2146" s="23"/>
      <c r="I2146" s="23"/>
      <c r="J2146" s="23"/>
      <c r="K2146" s="23"/>
      <c r="L2146" s="23"/>
      <c r="M2146" s="23"/>
      <c r="N2146" s="23"/>
      <c r="O2146" s="23"/>
      <c r="P2146" s="23"/>
      <c r="Q2146" s="23"/>
      <c r="R2146" s="23"/>
      <c r="S2146" s="23"/>
      <c r="T2146" s="23"/>
    </row>
    <row r="2147" spans="1:20" x14ac:dyDescent="0.35">
      <c r="A2147" s="23"/>
      <c r="B2147" s="23"/>
      <c r="C2147" s="23"/>
      <c r="D2147" s="23"/>
      <c r="E2147" s="23"/>
      <c r="F2147" s="23"/>
      <c r="G2147" s="23"/>
      <c r="H2147" s="23"/>
      <c r="I2147" s="23"/>
      <c r="J2147" s="23"/>
      <c r="K2147" s="23"/>
      <c r="L2147" s="23"/>
      <c r="M2147" s="23"/>
      <c r="N2147" s="23"/>
      <c r="O2147" s="23"/>
      <c r="P2147" s="23"/>
      <c r="Q2147" s="23"/>
      <c r="R2147" s="23"/>
      <c r="S2147" s="23"/>
      <c r="T2147" s="23"/>
    </row>
    <row r="2148" spans="1:20" x14ac:dyDescent="0.35">
      <c r="A2148" s="23"/>
      <c r="B2148" s="23"/>
      <c r="C2148" s="23"/>
      <c r="D2148" s="23"/>
      <c r="E2148" s="23"/>
      <c r="F2148" s="23"/>
      <c r="G2148" s="23"/>
      <c r="H2148" s="23"/>
      <c r="I2148" s="23"/>
      <c r="J2148" s="23"/>
      <c r="K2148" s="23"/>
      <c r="L2148" s="23"/>
      <c r="M2148" s="23"/>
      <c r="N2148" s="23"/>
      <c r="O2148" s="23"/>
      <c r="P2148" s="23"/>
      <c r="Q2148" s="23"/>
      <c r="R2148" s="23"/>
      <c r="S2148" s="23"/>
      <c r="T2148" s="23"/>
    </row>
    <row r="2149" spans="1:20" x14ac:dyDescent="0.35">
      <c r="A2149" s="23"/>
      <c r="B2149" s="23"/>
      <c r="C2149" s="23"/>
      <c r="D2149" s="23"/>
      <c r="E2149" s="23"/>
      <c r="F2149" s="23"/>
      <c r="G2149" s="23"/>
      <c r="H2149" s="23"/>
      <c r="I2149" s="23"/>
      <c r="J2149" s="23"/>
      <c r="K2149" s="23"/>
      <c r="L2149" s="23"/>
      <c r="M2149" s="23"/>
      <c r="N2149" s="23"/>
      <c r="O2149" s="23"/>
      <c r="P2149" s="23"/>
      <c r="Q2149" s="23"/>
      <c r="R2149" s="23"/>
      <c r="S2149" s="23"/>
      <c r="T2149" s="23"/>
    </row>
    <row r="2150" spans="1:20" x14ac:dyDescent="0.35">
      <c r="A2150" s="23"/>
      <c r="B2150" s="23"/>
      <c r="C2150" s="23"/>
      <c r="D2150" s="23"/>
      <c r="E2150" s="23"/>
      <c r="F2150" s="23"/>
      <c r="G2150" s="23"/>
      <c r="H2150" s="23"/>
      <c r="I2150" s="23"/>
      <c r="J2150" s="23"/>
      <c r="K2150" s="23"/>
      <c r="L2150" s="23"/>
      <c r="M2150" s="23"/>
      <c r="N2150" s="23"/>
      <c r="O2150" s="23"/>
      <c r="P2150" s="23"/>
      <c r="Q2150" s="23"/>
      <c r="R2150" s="23"/>
      <c r="S2150" s="23"/>
      <c r="T2150" s="23"/>
    </row>
    <row r="2151" spans="1:20" x14ac:dyDescent="0.35">
      <c r="A2151" s="23"/>
      <c r="B2151" s="23"/>
      <c r="C2151" s="23"/>
      <c r="D2151" s="23"/>
      <c r="E2151" s="23"/>
      <c r="F2151" s="23"/>
      <c r="G2151" s="23"/>
      <c r="H2151" s="23"/>
      <c r="I2151" s="23"/>
      <c r="J2151" s="23"/>
      <c r="K2151" s="23"/>
      <c r="L2151" s="23"/>
      <c r="M2151" s="23"/>
      <c r="N2151" s="23"/>
      <c r="O2151" s="23"/>
      <c r="P2151" s="23"/>
      <c r="Q2151" s="23"/>
      <c r="R2151" s="23"/>
      <c r="S2151" s="23"/>
      <c r="T2151" s="23"/>
    </row>
    <row r="2152" spans="1:20" x14ac:dyDescent="0.35">
      <c r="A2152" s="23"/>
      <c r="B2152" s="23"/>
      <c r="C2152" s="23"/>
      <c r="D2152" s="23"/>
      <c r="E2152" s="23"/>
      <c r="F2152" s="23"/>
      <c r="G2152" s="23"/>
      <c r="H2152" s="23"/>
      <c r="I2152" s="23"/>
      <c r="J2152" s="23"/>
      <c r="K2152" s="23"/>
      <c r="L2152" s="23"/>
      <c r="M2152" s="23"/>
      <c r="N2152" s="23"/>
      <c r="O2152" s="23"/>
      <c r="P2152" s="23"/>
      <c r="Q2152" s="23"/>
      <c r="R2152" s="23"/>
      <c r="S2152" s="23"/>
      <c r="T2152" s="23"/>
    </row>
    <row r="2153" spans="1:20" x14ac:dyDescent="0.35">
      <c r="A2153" s="23"/>
      <c r="B2153" s="23"/>
      <c r="C2153" s="23"/>
      <c r="D2153" s="23"/>
      <c r="E2153" s="23"/>
      <c r="F2153" s="23"/>
      <c r="G2153" s="23"/>
      <c r="H2153" s="23"/>
      <c r="I2153" s="23"/>
      <c r="J2153" s="23"/>
      <c r="K2153" s="23"/>
      <c r="L2153" s="23"/>
      <c r="M2153" s="23"/>
      <c r="N2153" s="23"/>
      <c r="O2153" s="23"/>
      <c r="P2153" s="23"/>
      <c r="Q2153" s="23"/>
      <c r="R2153" s="23"/>
      <c r="S2153" s="23"/>
      <c r="T2153" s="23"/>
    </row>
    <row r="2154" spans="1:20" x14ac:dyDescent="0.35">
      <c r="A2154" s="23"/>
      <c r="B2154" s="23"/>
      <c r="C2154" s="23"/>
      <c r="D2154" s="23"/>
      <c r="E2154" s="23"/>
      <c r="F2154" s="23"/>
      <c r="G2154" s="23"/>
      <c r="H2154" s="23"/>
      <c r="I2154" s="23"/>
      <c r="J2154" s="23"/>
      <c r="K2154" s="23"/>
      <c r="L2154" s="23"/>
      <c r="M2154" s="23"/>
      <c r="N2154" s="23"/>
      <c r="O2154" s="23"/>
      <c r="P2154" s="23"/>
      <c r="Q2154" s="23"/>
      <c r="R2154" s="23"/>
      <c r="S2154" s="23"/>
      <c r="T2154" s="23"/>
    </row>
    <row r="2155" spans="1:20" x14ac:dyDescent="0.35">
      <c r="A2155" s="23"/>
      <c r="B2155" s="23"/>
      <c r="C2155" s="23"/>
      <c r="D2155" s="23"/>
      <c r="E2155" s="23"/>
      <c r="F2155" s="23"/>
      <c r="G2155" s="23"/>
      <c r="H2155" s="23"/>
      <c r="I2155" s="23"/>
      <c r="J2155" s="23"/>
      <c r="K2155" s="23"/>
      <c r="L2155" s="23"/>
      <c r="M2155" s="23"/>
      <c r="N2155" s="23"/>
      <c r="O2155" s="23"/>
      <c r="P2155" s="23"/>
      <c r="Q2155" s="23"/>
      <c r="R2155" s="23"/>
      <c r="S2155" s="23"/>
      <c r="T2155" s="23"/>
    </row>
    <row r="2156" spans="1:20" x14ac:dyDescent="0.35">
      <c r="A2156" s="23"/>
      <c r="B2156" s="23"/>
      <c r="C2156" s="23"/>
      <c r="D2156" s="23"/>
      <c r="E2156" s="23"/>
      <c r="F2156" s="23"/>
      <c r="G2156" s="23"/>
      <c r="H2156" s="23"/>
      <c r="I2156" s="23"/>
      <c r="J2156" s="23"/>
      <c r="K2156" s="23"/>
      <c r="L2156" s="23"/>
      <c r="M2156" s="23"/>
      <c r="N2156" s="23"/>
      <c r="O2156" s="23"/>
      <c r="P2156" s="23"/>
      <c r="Q2156" s="23"/>
      <c r="R2156" s="23"/>
      <c r="S2156" s="23"/>
      <c r="T2156" s="23"/>
    </row>
    <row r="2157" spans="1:20" x14ac:dyDescent="0.35">
      <c r="A2157" s="23"/>
      <c r="B2157" s="23"/>
      <c r="C2157" s="23"/>
      <c r="D2157" s="23"/>
      <c r="E2157" s="23"/>
      <c r="F2157" s="23"/>
      <c r="G2157" s="23"/>
      <c r="H2157" s="23"/>
      <c r="I2157" s="23"/>
      <c r="J2157" s="23"/>
      <c r="K2157" s="23"/>
      <c r="L2157" s="23"/>
      <c r="M2157" s="23"/>
      <c r="N2157" s="23"/>
      <c r="O2157" s="23"/>
      <c r="P2157" s="23"/>
      <c r="Q2157" s="23"/>
      <c r="R2157" s="23"/>
      <c r="S2157" s="23"/>
      <c r="T2157" s="23"/>
    </row>
    <row r="2158" spans="1:20" x14ac:dyDescent="0.35">
      <c r="A2158" s="23"/>
      <c r="B2158" s="23"/>
      <c r="C2158" s="23"/>
      <c r="D2158" s="23"/>
      <c r="E2158" s="23"/>
      <c r="F2158" s="23"/>
      <c r="G2158" s="23"/>
      <c r="H2158" s="23"/>
      <c r="I2158" s="23"/>
      <c r="J2158" s="23"/>
      <c r="K2158" s="23"/>
      <c r="L2158" s="23"/>
      <c r="M2158" s="23"/>
      <c r="N2158" s="23"/>
      <c r="O2158" s="23"/>
      <c r="P2158" s="23"/>
      <c r="Q2158" s="23"/>
      <c r="R2158" s="23"/>
      <c r="S2158" s="23"/>
      <c r="T2158" s="23"/>
    </row>
    <row r="2159" spans="1:20" x14ac:dyDescent="0.35">
      <c r="A2159" s="23"/>
      <c r="B2159" s="23"/>
      <c r="C2159" s="23"/>
      <c r="D2159" s="23"/>
      <c r="E2159" s="23"/>
      <c r="F2159" s="23"/>
      <c r="G2159" s="23"/>
      <c r="H2159" s="23"/>
      <c r="I2159" s="23"/>
      <c r="J2159" s="23"/>
      <c r="K2159" s="23"/>
      <c r="L2159" s="23"/>
      <c r="M2159" s="23"/>
      <c r="N2159" s="23"/>
      <c r="O2159" s="23"/>
      <c r="P2159" s="23"/>
      <c r="Q2159" s="23"/>
      <c r="R2159" s="23"/>
      <c r="S2159" s="23"/>
      <c r="T2159" s="23"/>
    </row>
    <row r="2160" spans="1:20" x14ac:dyDescent="0.35">
      <c r="A2160" s="23"/>
      <c r="B2160" s="23"/>
      <c r="C2160" s="23"/>
      <c r="D2160" s="23"/>
      <c r="E2160" s="23"/>
      <c r="F2160" s="23"/>
      <c r="G2160" s="23"/>
      <c r="H2160" s="23"/>
      <c r="I2160" s="23"/>
      <c r="J2160" s="23"/>
      <c r="K2160" s="23"/>
      <c r="L2160" s="23"/>
      <c r="M2160" s="23"/>
      <c r="N2160" s="23"/>
      <c r="O2160" s="23"/>
      <c r="P2160" s="23"/>
      <c r="Q2160" s="23"/>
      <c r="R2160" s="23"/>
      <c r="S2160" s="23"/>
      <c r="T2160" s="23"/>
    </row>
    <row r="2161" spans="1:20" x14ac:dyDescent="0.35">
      <c r="A2161" s="23"/>
      <c r="B2161" s="23"/>
      <c r="C2161" s="23"/>
      <c r="D2161" s="23"/>
      <c r="E2161" s="23"/>
      <c r="F2161" s="23"/>
      <c r="G2161" s="23"/>
      <c r="H2161" s="23"/>
      <c r="I2161" s="23"/>
      <c r="J2161" s="23"/>
      <c r="K2161" s="23"/>
      <c r="L2161" s="23"/>
      <c r="M2161" s="23"/>
      <c r="N2161" s="23"/>
      <c r="O2161" s="23"/>
      <c r="P2161" s="23"/>
      <c r="Q2161" s="23"/>
      <c r="R2161" s="23"/>
      <c r="S2161" s="23"/>
      <c r="T2161" s="23"/>
    </row>
    <row r="2162" spans="1:20" x14ac:dyDescent="0.35">
      <c r="A2162" s="23"/>
      <c r="B2162" s="23"/>
      <c r="C2162" s="23"/>
      <c r="D2162" s="23"/>
      <c r="E2162" s="23"/>
      <c r="F2162" s="23"/>
      <c r="G2162" s="23"/>
      <c r="H2162" s="23"/>
      <c r="I2162" s="23"/>
      <c r="J2162" s="23"/>
      <c r="K2162" s="23"/>
      <c r="L2162" s="23"/>
      <c r="M2162" s="23"/>
      <c r="N2162" s="23"/>
      <c r="O2162" s="23"/>
      <c r="P2162" s="23"/>
      <c r="Q2162" s="23"/>
      <c r="R2162" s="23"/>
      <c r="S2162" s="23"/>
      <c r="T2162" s="23"/>
    </row>
    <row r="2163" spans="1:20" x14ac:dyDescent="0.35">
      <c r="A2163" s="23"/>
      <c r="B2163" s="23"/>
      <c r="C2163" s="23"/>
      <c r="D2163" s="23"/>
      <c r="E2163" s="23"/>
      <c r="F2163" s="23"/>
      <c r="G2163" s="23"/>
      <c r="H2163" s="23"/>
      <c r="I2163" s="23"/>
      <c r="J2163" s="23"/>
      <c r="K2163" s="23"/>
      <c r="L2163" s="23"/>
      <c r="M2163" s="23"/>
      <c r="N2163" s="23"/>
      <c r="O2163" s="23"/>
      <c r="P2163" s="23"/>
      <c r="Q2163" s="23"/>
      <c r="R2163" s="23"/>
      <c r="S2163" s="23"/>
      <c r="T2163" s="23"/>
    </row>
    <row r="2164" spans="1:20" x14ac:dyDescent="0.35">
      <c r="A2164" s="23"/>
      <c r="B2164" s="23"/>
      <c r="C2164" s="23"/>
      <c r="D2164" s="23"/>
      <c r="E2164" s="23"/>
      <c r="F2164" s="23"/>
      <c r="G2164" s="23"/>
      <c r="H2164" s="23"/>
      <c r="I2164" s="23"/>
      <c r="J2164" s="23"/>
      <c r="K2164" s="23"/>
      <c r="L2164" s="23"/>
      <c r="M2164" s="23"/>
      <c r="N2164" s="23"/>
      <c r="O2164" s="23"/>
      <c r="P2164" s="23"/>
      <c r="Q2164" s="23"/>
      <c r="R2164" s="23"/>
      <c r="S2164" s="23"/>
      <c r="T2164" s="23"/>
    </row>
    <row r="2165" spans="1:20" x14ac:dyDescent="0.35">
      <c r="A2165" s="23"/>
      <c r="B2165" s="23"/>
      <c r="C2165" s="23"/>
      <c r="D2165" s="23"/>
      <c r="E2165" s="23"/>
      <c r="F2165" s="23"/>
      <c r="G2165" s="23"/>
      <c r="H2165" s="23"/>
      <c r="I2165" s="23"/>
      <c r="J2165" s="23"/>
      <c r="K2165" s="23"/>
      <c r="L2165" s="23"/>
      <c r="M2165" s="23"/>
      <c r="N2165" s="23"/>
      <c r="O2165" s="23"/>
      <c r="P2165" s="23"/>
      <c r="Q2165" s="23"/>
      <c r="R2165" s="23"/>
      <c r="S2165" s="23"/>
      <c r="T2165" s="23"/>
    </row>
    <row r="2166" spans="1:20" x14ac:dyDescent="0.35">
      <c r="A2166" s="23"/>
      <c r="B2166" s="23"/>
      <c r="C2166" s="23"/>
      <c r="D2166" s="23"/>
      <c r="E2166" s="23"/>
      <c r="F2166" s="23"/>
      <c r="G2166" s="23"/>
      <c r="H2166" s="23"/>
      <c r="I2166" s="23"/>
      <c r="J2166" s="23"/>
      <c r="K2166" s="23"/>
      <c r="L2166" s="23"/>
      <c r="M2166" s="23"/>
      <c r="N2166" s="23"/>
      <c r="O2166" s="23"/>
      <c r="P2166" s="23"/>
      <c r="Q2166" s="23"/>
      <c r="R2166" s="23"/>
      <c r="S2166" s="23"/>
      <c r="T2166" s="23"/>
    </row>
    <row r="2167" spans="1:20" x14ac:dyDescent="0.35">
      <c r="A2167" s="23"/>
      <c r="B2167" s="23"/>
      <c r="C2167" s="23"/>
      <c r="D2167" s="23"/>
      <c r="E2167" s="23"/>
      <c r="F2167" s="23"/>
      <c r="G2167" s="23"/>
      <c r="H2167" s="23"/>
      <c r="I2167" s="23"/>
      <c r="J2167" s="23"/>
      <c r="K2167" s="23"/>
      <c r="L2167" s="23"/>
      <c r="M2167" s="23"/>
      <c r="N2167" s="23"/>
      <c r="O2167" s="23"/>
      <c r="P2167" s="23"/>
      <c r="Q2167" s="23"/>
      <c r="R2167" s="23"/>
      <c r="S2167" s="23"/>
      <c r="T2167" s="23"/>
    </row>
    <row r="2168" spans="1:20" x14ac:dyDescent="0.35">
      <c r="A2168" s="23"/>
      <c r="B2168" s="23"/>
      <c r="C2168" s="23"/>
      <c r="D2168" s="23"/>
      <c r="E2168" s="23"/>
      <c r="F2168" s="23"/>
      <c r="G2168" s="23"/>
      <c r="H2168" s="23"/>
      <c r="I2168" s="23"/>
      <c r="J2168" s="23"/>
      <c r="K2168" s="23"/>
      <c r="L2168" s="23"/>
      <c r="M2168" s="23"/>
      <c r="N2168" s="23"/>
      <c r="O2168" s="23"/>
      <c r="P2168" s="23"/>
      <c r="Q2168" s="23"/>
      <c r="R2168" s="23"/>
      <c r="S2168" s="23"/>
      <c r="T2168" s="23"/>
    </row>
    <row r="2169" spans="1:20" x14ac:dyDescent="0.35">
      <c r="A2169" s="23"/>
      <c r="B2169" s="23"/>
      <c r="C2169" s="23"/>
      <c r="D2169" s="23"/>
      <c r="E2169" s="23"/>
      <c r="F2169" s="23"/>
      <c r="G2169" s="23"/>
      <c r="H2169" s="23"/>
      <c r="I2169" s="23"/>
      <c r="J2169" s="23"/>
      <c r="K2169" s="23"/>
      <c r="L2169" s="23"/>
      <c r="M2169" s="23"/>
      <c r="N2169" s="23"/>
      <c r="O2169" s="23"/>
      <c r="P2169" s="23"/>
      <c r="Q2169" s="23"/>
      <c r="R2169" s="23"/>
      <c r="S2169" s="23"/>
      <c r="T2169" s="23"/>
    </row>
    <row r="2170" spans="1:20" x14ac:dyDescent="0.35">
      <c r="A2170" s="23"/>
      <c r="B2170" s="23"/>
      <c r="C2170" s="23"/>
      <c r="D2170" s="23"/>
      <c r="E2170" s="23"/>
      <c r="F2170" s="23"/>
      <c r="G2170" s="23"/>
      <c r="H2170" s="23"/>
      <c r="I2170" s="23"/>
      <c r="J2170" s="23"/>
      <c r="K2170" s="23"/>
      <c r="L2170" s="23"/>
      <c r="M2170" s="23"/>
      <c r="N2170" s="23"/>
      <c r="O2170" s="23"/>
      <c r="P2170" s="23"/>
      <c r="Q2170" s="23"/>
      <c r="R2170" s="23"/>
      <c r="S2170" s="23"/>
      <c r="T2170" s="23"/>
    </row>
    <row r="2171" spans="1:20" x14ac:dyDescent="0.35">
      <c r="A2171" s="23"/>
      <c r="B2171" s="23"/>
      <c r="C2171" s="23"/>
      <c r="D2171" s="23"/>
      <c r="E2171" s="23"/>
      <c r="F2171" s="23"/>
      <c r="G2171" s="23"/>
      <c r="H2171" s="23"/>
      <c r="I2171" s="23"/>
      <c r="J2171" s="23"/>
      <c r="K2171" s="23"/>
      <c r="L2171" s="23"/>
      <c r="M2171" s="23"/>
      <c r="N2171" s="23"/>
      <c r="O2171" s="23"/>
      <c r="P2171" s="23"/>
      <c r="Q2171" s="23"/>
      <c r="R2171" s="23"/>
      <c r="S2171" s="23"/>
      <c r="T2171" s="23"/>
    </row>
    <row r="2172" spans="1:20" x14ac:dyDescent="0.35">
      <c r="A2172" s="23"/>
      <c r="B2172" s="23"/>
      <c r="C2172" s="23"/>
      <c r="D2172" s="23"/>
      <c r="E2172" s="23"/>
      <c r="F2172" s="23"/>
      <c r="G2172" s="23"/>
      <c r="H2172" s="23"/>
      <c r="I2172" s="23"/>
      <c r="J2172" s="23"/>
      <c r="K2172" s="23"/>
      <c r="L2172" s="23"/>
      <c r="M2172" s="23"/>
      <c r="N2172" s="23"/>
      <c r="O2172" s="23"/>
      <c r="P2172" s="23"/>
      <c r="Q2172" s="23"/>
      <c r="R2172" s="23"/>
      <c r="S2172" s="23"/>
      <c r="T2172" s="23"/>
    </row>
    <row r="2173" spans="1:20" x14ac:dyDescent="0.35">
      <c r="A2173" s="23"/>
      <c r="B2173" s="23"/>
      <c r="C2173" s="23"/>
      <c r="D2173" s="23"/>
      <c r="E2173" s="23"/>
      <c r="F2173" s="23"/>
      <c r="G2173" s="23"/>
      <c r="H2173" s="23"/>
      <c r="I2173" s="23"/>
      <c r="J2173" s="23"/>
      <c r="K2173" s="23"/>
      <c r="L2173" s="23"/>
      <c r="M2173" s="23"/>
      <c r="N2173" s="23"/>
      <c r="O2173" s="23"/>
      <c r="P2173" s="23"/>
      <c r="Q2173" s="23"/>
      <c r="R2173" s="23"/>
      <c r="S2173" s="23"/>
      <c r="T2173" s="23"/>
    </row>
    <row r="2174" spans="1:20" x14ac:dyDescent="0.35">
      <c r="A2174" s="23"/>
      <c r="B2174" s="23"/>
      <c r="C2174" s="23"/>
      <c r="D2174" s="23"/>
      <c r="E2174" s="23"/>
      <c r="F2174" s="23"/>
      <c r="G2174" s="23"/>
      <c r="H2174" s="23"/>
      <c r="I2174" s="23"/>
      <c r="J2174" s="23"/>
      <c r="K2174" s="23"/>
      <c r="L2174" s="23"/>
      <c r="M2174" s="23"/>
      <c r="N2174" s="23"/>
      <c r="O2174" s="23"/>
      <c r="P2174" s="23"/>
      <c r="Q2174" s="23"/>
      <c r="R2174" s="23"/>
      <c r="S2174" s="23"/>
      <c r="T2174" s="23"/>
    </row>
    <row r="2175" spans="1:20" x14ac:dyDescent="0.35">
      <c r="A2175" s="23"/>
      <c r="B2175" s="23"/>
      <c r="C2175" s="23"/>
      <c r="D2175" s="23"/>
      <c r="E2175" s="23"/>
      <c r="F2175" s="23"/>
      <c r="G2175" s="23"/>
      <c r="H2175" s="23"/>
      <c r="I2175" s="23"/>
      <c r="J2175" s="23"/>
      <c r="K2175" s="23"/>
      <c r="L2175" s="23"/>
      <c r="M2175" s="23"/>
      <c r="N2175" s="23"/>
      <c r="O2175" s="23"/>
      <c r="P2175" s="23"/>
      <c r="Q2175" s="23"/>
      <c r="R2175" s="23"/>
      <c r="S2175" s="23"/>
      <c r="T2175" s="23"/>
    </row>
    <row r="2176" spans="1:20" x14ac:dyDescent="0.35">
      <c r="A2176" s="23"/>
      <c r="B2176" s="23"/>
      <c r="C2176" s="23"/>
      <c r="D2176" s="23"/>
      <c r="E2176" s="23"/>
      <c r="F2176" s="23"/>
      <c r="G2176" s="23"/>
      <c r="H2176" s="23"/>
      <c r="I2176" s="23"/>
      <c r="J2176" s="23"/>
      <c r="K2176" s="23"/>
      <c r="L2176" s="23"/>
      <c r="M2176" s="23"/>
      <c r="N2176" s="23"/>
      <c r="O2176" s="23"/>
      <c r="P2176" s="23"/>
      <c r="Q2176" s="23"/>
      <c r="R2176" s="23"/>
      <c r="S2176" s="23"/>
      <c r="T2176" s="23"/>
    </row>
    <row r="2177" spans="1:20" x14ac:dyDescent="0.35">
      <c r="A2177" s="23"/>
      <c r="B2177" s="23"/>
      <c r="C2177" s="23"/>
      <c r="D2177" s="23"/>
      <c r="E2177" s="23"/>
      <c r="F2177" s="23"/>
      <c r="G2177" s="23"/>
      <c r="H2177" s="23"/>
      <c r="I2177" s="23"/>
      <c r="J2177" s="23"/>
      <c r="K2177" s="23"/>
      <c r="L2177" s="23"/>
      <c r="M2177" s="23"/>
      <c r="N2177" s="23"/>
      <c r="O2177" s="23"/>
      <c r="P2177" s="23"/>
      <c r="Q2177" s="23"/>
      <c r="R2177" s="23"/>
      <c r="S2177" s="23"/>
      <c r="T2177" s="23"/>
    </row>
    <row r="2178" spans="1:20" x14ac:dyDescent="0.35">
      <c r="A2178" s="23"/>
      <c r="B2178" s="23"/>
      <c r="C2178" s="23"/>
      <c r="D2178" s="23"/>
      <c r="E2178" s="23"/>
      <c r="F2178" s="23"/>
      <c r="G2178" s="23"/>
      <c r="H2178" s="23"/>
      <c r="I2178" s="23"/>
      <c r="J2178" s="23"/>
      <c r="K2178" s="23"/>
      <c r="L2178" s="23"/>
      <c r="M2178" s="23"/>
      <c r="N2178" s="23"/>
      <c r="O2178" s="23"/>
      <c r="P2178" s="23"/>
      <c r="Q2178" s="23"/>
      <c r="R2178" s="23"/>
      <c r="S2178" s="23"/>
      <c r="T2178" s="23"/>
    </row>
    <row r="2179" spans="1:20" x14ac:dyDescent="0.35">
      <c r="A2179" s="23"/>
      <c r="B2179" s="23"/>
      <c r="C2179" s="23"/>
      <c r="D2179" s="23"/>
      <c r="E2179" s="23"/>
      <c r="F2179" s="23"/>
      <c r="G2179" s="23"/>
      <c r="H2179" s="23"/>
      <c r="I2179" s="23"/>
      <c r="J2179" s="23"/>
      <c r="K2179" s="23"/>
      <c r="L2179" s="23"/>
      <c r="M2179" s="23"/>
      <c r="N2179" s="23"/>
      <c r="O2179" s="23"/>
      <c r="P2179" s="23"/>
      <c r="Q2179" s="23"/>
      <c r="R2179" s="23"/>
      <c r="S2179" s="23"/>
      <c r="T2179" s="23"/>
    </row>
    <row r="2180" spans="1:20" x14ac:dyDescent="0.35">
      <c r="A2180" s="23"/>
      <c r="B2180" s="23"/>
      <c r="C2180" s="23"/>
      <c r="D2180" s="23"/>
      <c r="E2180" s="23"/>
      <c r="F2180" s="23"/>
      <c r="G2180" s="23"/>
      <c r="H2180" s="23"/>
      <c r="I2180" s="23"/>
      <c r="J2180" s="23"/>
      <c r="K2180" s="23"/>
      <c r="L2180" s="23"/>
      <c r="M2180" s="23"/>
      <c r="N2180" s="23"/>
      <c r="O2180" s="23"/>
      <c r="P2180" s="23"/>
      <c r="Q2180" s="23"/>
      <c r="R2180" s="23"/>
      <c r="S2180" s="23"/>
      <c r="T2180" s="23"/>
    </row>
    <row r="2181" spans="1:20" x14ac:dyDescent="0.35">
      <c r="A2181" s="23"/>
      <c r="B2181" s="23"/>
      <c r="C2181" s="23"/>
      <c r="D2181" s="23"/>
      <c r="E2181" s="23"/>
      <c r="F2181" s="23"/>
      <c r="G2181" s="23"/>
      <c r="H2181" s="23"/>
      <c r="I2181" s="23"/>
      <c r="J2181" s="23"/>
      <c r="K2181" s="23"/>
      <c r="L2181" s="23"/>
      <c r="M2181" s="23"/>
      <c r="N2181" s="23"/>
      <c r="O2181" s="23"/>
      <c r="P2181" s="23"/>
      <c r="Q2181" s="23"/>
      <c r="R2181" s="23"/>
      <c r="S2181" s="23"/>
      <c r="T2181" s="23"/>
    </row>
    <row r="2182" spans="1:20" x14ac:dyDescent="0.35">
      <c r="A2182" s="23"/>
      <c r="B2182" s="23"/>
      <c r="C2182" s="23"/>
      <c r="D2182" s="23"/>
      <c r="E2182" s="23"/>
      <c r="F2182" s="23"/>
      <c r="G2182" s="23"/>
      <c r="H2182" s="23"/>
      <c r="I2182" s="23"/>
      <c r="J2182" s="23"/>
      <c r="K2182" s="23"/>
      <c r="L2182" s="23"/>
      <c r="M2182" s="23"/>
      <c r="N2182" s="23"/>
      <c r="O2182" s="23"/>
      <c r="P2182" s="23"/>
      <c r="Q2182" s="23"/>
      <c r="R2182" s="23"/>
      <c r="S2182" s="23"/>
      <c r="T2182" s="23"/>
    </row>
    <row r="2183" spans="1:20" x14ac:dyDescent="0.35">
      <c r="A2183" s="23"/>
      <c r="B2183" s="23"/>
      <c r="C2183" s="23"/>
      <c r="D2183" s="23"/>
      <c r="E2183" s="23"/>
      <c r="F2183" s="23"/>
      <c r="G2183" s="23"/>
      <c r="H2183" s="23"/>
      <c r="I2183" s="23"/>
      <c r="J2183" s="23"/>
      <c r="K2183" s="23"/>
      <c r="L2183" s="23"/>
      <c r="M2183" s="23"/>
      <c r="N2183" s="23"/>
      <c r="O2183" s="23"/>
      <c r="P2183" s="23"/>
      <c r="Q2183" s="23"/>
      <c r="R2183" s="23"/>
      <c r="S2183" s="23"/>
      <c r="T2183" s="23"/>
    </row>
    <row r="2184" spans="1:20" x14ac:dyDescent="0.35">
      <c r="A2184" s="23"/>
      <c r="B2184" s="23"/>
      <c r="C2184" s="23"/>
      <c r="D2184" s="23"/>
      <c r="E2184" s="23"/>
      <c r="F2184" s="23"/>
      <c r="G2184" s="23"/>
      <c r="H2184" s="23"/>
      <c r="I2184" s="23"/>
      <c r="J2184" s="23"/>
      <c r="K2184" s="23"/>
      <c r="L2184" s="23"/>
      <c r="M2184" s="23"/>
      <c r="N2184" s="23"/>
      <c r="O2184" s="23"/>
      <c r="P2184" s="23"/>
      <c r="Q2184" s="23"/>
      <c r="R2184" s="23"/>
      <c r="S2184" s="23"/>
      <c r="T2184" s="23"/>
    </row>
    <row r="2185" spans="1:20" x14ac:dyDescent="0.35">
      <c r="A2185" s="23"/>
      <c r="B2185" s="23"/>
      <c r="C2185" s="23"/>
      <c r="D2185" s="23"/>
      <c r="E2185" s="23"/>
      <c r="F2185" s="23"/>
      <c r="G2185" s="23"/>
      <c r="H2185" s="23"/>
      <c r="I2185" s="23"/>
      <c r="J2185" s="23"/>
      <c r="K2185" s="23"/>
      <c r="L2185" s="23"/>
      <c r="M2185" s="23"/>
      <c r="N2185" s="23"/>
      <c r="O2185" s="23"/>
      <c r="P2185" s="23"/>
      <c r="Q2185" s="23"/>
      <c r="R2185" s="23"/>
      <c r="S2185" s="23"/>
      <c r="T2185" s="23"/>
    </row>
    <row r="2186" spans="1:20" x14ac:dyDescent="0.35">
      <c r="A2186" s="23"/>
      <c r="B2186" s="23"/>
      <c r="C2186" s="23"/>
      <c r="D2186" s="23"/>
      <c r="E2186" s="23"/>
      <c r="F2186" s="23"/>
      <c r="G2186" s="23"/>
      <c r="H2186" s="23"/>
      <c r="I2186" s="23"/>
      <c r="J2186" s="23"/>
      <c r="K2186" s="23"/>
      <c r="L2186" s="23"/>
      <c r="M2186" s="23"/>
      <c r="N2186" s="23"/>
      <c r="O2186" s="23"/>
      <c r="P2186" s="23"/>
      <c r="Q2186" s="23"/>
      <c r="R2186" s="23"/>
      <c r="S2186" s="23"/>
      <c r="T2186" s="23"/>
    </row>
    <row r="2187" spans="1:20" x14ac:dyDescent="0.35">
      <c r="A2187" s="23"/>
      <c r="B2187" s="23"/>
      <c r="C2187" s="23"/>
      <c r="D2187" s="23"/>
      <c r="E2187" s="23"/>
      <c r="F2187" s="23"/>
      <c r="G2187" s="23"/>
      <c r="H2187" s="23"/>
      <c r="I2187" s="23"/>
      <c r="J2187" s="23"/>
      <c r="K2187" s="23"/>
      <c r="L2187" s="23"/>
      <c r="M2187" s="23"/>
      <c r="N2187" s="23"/>
      <c r="O2187" s="23"/>
      <c r="P2187" s="23"/>
      <c r="Q2187" s="23"/>
      <c r="R2187" s="23"/>
      <c r="S2187" s="23"/>
      <c r="T2187" s="23"/>
    </row>
    <row r="2188" spans="1:20" x14ac:dyDescent="0.35">
      <c r="A2188" s="23"/>
      <c r="B2188" s="23"/>
      <c r="C2188" s="23"/>
      <c r="D2188" s="23"/>
      <c r="E2188" s="23"/>
      <c r="F2188" s="23"/>
      <c r="G2188" s="23"/>
      <c r="H2188" s="23"/>
      <c r="I2188" s="23"/>
      <c r="J2188" s="23"/>
      <c r="K2188" s="23"/>
      <c r="L2188" s="23"/>
      <c r="M2188" s="23"/>
      <c r="N2188" s="23"/>
      <c r="O2188" s="23"/>
      <c r="P2188" s="23"/>
      <c r="Q2188" s="23"/>
      <c r="R2188" s="23"/>
      <c r="S2188" s="23"/>
      <c r="T2188" s="23"/>
    </row>
    <row r="2189" spans="1:20" x14ac:dyDescent="0.35">
      <c r="A2189" s="23"/>
      <c r="B2189" s="23"/>
      <c r="C2189" s="23"/>
      <c r="D2189" s="23"/>
      <c r="E2189" s="23"/>
      <c r="F2189" s="23"/>
      <c r="G2189" s="23"/>
      <c r="H2189" s="23"/>
      <c r="I2189" s="23"/>
      <c r="J2189" s="23"/>
      <c r="K2189" s="23"/>
      <c r="L2189" s="23"/>
      <c r="M2189" s="23"/>
      <c r="N2189" s="23"/>
      <c r="O2189" s="23"/>
      <c r="P2189" s="23"/>
      <c r="Q2189" s="23"/>
      <c r="R2189" s="23"/>
      <c r="S2189" s="23"/>
      <c r="T2189" s="23"/>
    </row>
    <row r="2190" spans="1:20" x14ac:dyDescent="0.35">
      <c r="A2190" s="23"/>
      <c r="B2190" s="23"/>
      <c r="C2190" s="23"/>
      <c r="D2190" s="23"/>
      <c r="E2190" s="23"/>
      <c r="F2190" s="23"/>
      <c r="G2190" s="23"/>
      <c r="H2190" s="23"/>
      <c r="I2190" s="23"/>
      <c r="J2190" s="23"/>
      <c r="K2190" s="23"/>
      <c r="L2190" s="23"/>
      <c r="M2190" s="23"/>
      <c r="N2190" s="23"/>
      <c r="O2190" s="23"/>
      <c r="P2190" s="23"/>
      <c r="Q2190" s="23"/>
      <c r="R2190" s="23"/>
      <c r="S2190" s="23"/>
      <c r="T2190" s="23"/>
    </row>
    <row r="2191" spans="1:20" x14ac:dyDescent="0.35">
      <c r="A2191" s="23"/>
      <c r="B2191" s="23"/>
      <c r="C2191" s="23"/>
      <c r="D2191" s="23"/>
      <c r="E2191" s="23"/>
      <c r="F2191" s="23"/>
      <c r="G2191" s="23"/>
      <c r="H2191" s="23"/>
      <c r="I2191" s="23"/>
      <c r="J2191" s="23"/>
      <c r="K2191" s="23"/>
      <c r="L2191" s="23"/>
      <c r="M2191" s="23"/>
      <c r="N2191" s="23"/>
      <c r="O2191" s="23"/>
      <c r="P2191" s="23"/>
      <c r="Q2191" s="23"/>
      <c r="R2191" s="23"/>
      <c r="S2191" s="23"/>
      <c r="T2191" s="23"/>
    </row>
    <row r="2192" spans="1:20" x14ac:dyDescent="0.35">
      <c r="A2192" s="23"/>
      <c r="B2192" s="23"/>
      <c r="C2192" s="23"/>
      <c r="D2192" s="23"/>
      <c r="E2192" s="23"/>
      <c r="F2192" s="23"/>
      <c r="G2192" s="23"/>
      <c r="H2192" s="23"/>
      <c r="I2192" s="23"/>
      <c r="J2192" s="23"/>
      <c r="K2192" s="23"/>
      <c r="L2192" s="23"/>
      <c r="M2192" s="23"/>
      <c r="N2192" s="23"/>
      <c r="O2192" s="23"/>
      <c r="P2192" s="23"/>
      <c r="Q2192" s="23"/>
      <c r="R2192" s="23"/>
      <c r="S2192" s="23"/>
      <c r="T2192" s="23"/>
    </row>
    <row r="2193" spans="1:20" x14ac:dyDescent="0.35">
      <c r="A2193" s="23"/>
      <c r="B2193" s="23"/>
      <c r="C2193" s="23"/>
      <c r="D2193" s="23"/>
      <c r="E2193" s="23"/>
      <c r="F2193" s="23"/>
      <c r="G2193" s="23"/>
      <c r="H2193" s="23"/>
      <c r="I2193" s="23"/>
      <c r="J2193" s="23"/>
      <c r="K2193" s="23"/>
      <c r="L2193" s="23"/>
      <c r="M2193" s="23"/>
      <c r="N2193" s="23"/>
      <c r="O2193" s="23"/>
      <c r="P2193" s="23"/>
      <c r="Q2193" s="23"/>
      <c r="R2193" s="23"/>
      <c r="S2193" s="23"/>
      <c r="T2193" s="23"/>
    </row>
    <row r="2194" spans="1:20" x14ac:dyDescent="0.35">
      <c r="A2194" s="23"/>
      <c r="B2194" s="23"/>
      <c r="C2194" s="23"/>
      <c r="D2194" s="23"/>
      <c r="E2194" s="23"/>
      <c r="F2194" s="23"/>
      <c r="G2194" s="23"/>
      <c r="H2194" s="23"/>
      <c r="I2194" s="23"/>
      <c r="J2194" s="23"/>
      <c r="K2194" s="23"/>
      <c r="L2194" s="23"/>
      <c r="M2194" s="23"/>
      <c r="N2194" s="23"/>
      <c r="O2194" s="23"/>
      <c r="P2194" s="23"/>
      <c r="Q2194" s="23"/>
      <c r="R2194" s="23"/>
      <c r="S2194" s="23"/>
      <c r="T2194" s="23"/>
    </row>
    <row r="2195" spans="1:20" x14ac:dyDescent="0.35">
      <c r="A2195" s="23"/>
      <c r="B2195" s="23"/>
      <c r="C2195" s="23"/>
      <c r="D2195" s="23"/>
      <c r="E2195" s="23"/>
      <c r="F2195" s="23"/>
      <c r="G2195" s="23"/>
      <c r="H2195" s="23"/>
      <c r="I2195" s="23"/>
      <c r="J2195" s="23"/>
      <c r="K2195" s="23"/>
      <c r="L2195" s="23"/>
      <c r="M2195" s="23"/>
      <c r="N2195" s="23"/>
      <c r="O2195" s="23"/>
      <c r="P2195" s="23"/>
      <c r="Q2195" s="23"/>
      <c r="R2195" s="23"/>
      <c r="S2195" s="23"/>
      <c r="T2195" s="23"/>
    </row>
    <row r="2196" spans="1:20" x14ac:dyDescent="0.35">
      <c r="A2196" s="23"/>
      <c r="B2196" s="23"/>
      <c r="C2196" s="23"/>
      <c r="D2196" s="23"/>
      <c r="E2196" s="23"/>
      <c r="F2196" s="23"/>
      <c r="G2196" s="23"/>
      <c r="H2196" s="23"/>
      <c r="I2196" s="23"/>
      <c r="J2196" s="23"/>
      <c r="K2196" s="23"/>
      <c r="L2196" s="23"/>
      <c r="M2196" s="23"/>
      <c r="N2196" s="23"/>
      <c r="O2196" s="23"/>
      <c r="P2196" s="23"/>
      <c r="Q2196" s="23"/>
      <c r="R2196" s="23"/>
      <c r="S2196" s="23"/>
      <c r="T2196" s="23"/>
    </row>
    <row r="2197" spans="1:20" x14ac:dyDescent="0.35">
      <c r="A2197" s="23"/>
      <c r="B2197" s="23"/>
      <c r="C2197" s="23"/>
      <c r="D2197" s="23"/>
      <c r="E2197" s="23"/>
      <c r="F2197" s="23"/>
      <c r="G2197" s="23"/>
      <c r="H2197" s="23"/>
      <c r="I2197" s="23"/>
      <c r="J2197" s="23"/>
      <c r="K2197" s="23"/>
      <c r="L2197" s="23"/>
      <c r="M2197" s="23"/>
      <c r="N2197" s="23"/>
      <c r="O2197" s="23"/>
      <c r="P2197" s="23"/>
      <c r="Q2197" s="23"/>
      <c r="R2197" s="23"/>
      <c r="S2197" s="23"/>
      <c r="T2197" s="23"/>
    </row>
    <row r="2198" spans="1:20" x14ac:dyDescent="0.35">
      <c r="A2198" s="23"/>
      <c r="B2198" s="23"/>
      <c r="C2198" s="23"/>
      <c r="D2198" s="23"/>
      <c r="E2198" s="23"/>
      <c r="F2198" s="23"/>
      <c r="G2198" s="23"/>
      <c r="H2198" s="23"/>
      <c r="I2198" s="23"/>
      <c r="J2198" s="23"/>
      <c r="K2198" s="23"/>
      <c r="L2198" s="23"/>
      <c r="M2198" s="23"/>
      <c r="N2198" s="23"/>
      <c r="O2198" s="23"/>
      <c r="P2198" s="23"/>
      <c r="Q2198" s="23"/>
      <c r="R2198" s="23"/>
      <c r="S2198" s="23"/>
      <c r="T2198" s="23"/>
    </row>
    <row r="2199" spans="1:20" x14ac:dyDescent="0.35">
      <c r="A2199" s="23"/>
      <c r="B2199" s="23"/>
      <c r="C2199" s="23"/>
      <c r="D2199" s="23"/>
      <c r="E2199" s="23"/>
      <c r="F2199" s="23"/>
      <c r="G2199" s="23"/>
      <c r="H2199" s="23"/>
      <c r="I2199" s="23"/>
      <c r="J2199" s="23"/>
      <c r="K2199" s="23"/>
      <c r="L2199" s="23"/>
      <c r="M2199" s="23"/>
      <c r="N2199" s="23"/>
      <c r="O2199" s="23"/>
      <c r="P2199" s="23"/>
      <c r="Q2199" s="23"/>
      <c r="R2199" s="23"/>
      <c r="S2199" s="23"/>
      <c r="T2199" s="23"/>
    </row>
    <row r="2200" spans="1:20" x14ac:dyDescent="0.35">
      <c r="A2200" s="23"/>
      <c r="B2200" s="23"/>
      <c r="C2200" s="23"/>
      <c r="D2200" s="23"/>
      <c r="E2200" s="23"/>
      <c r="F2200" s="23"/>
      <c r="G2200" s="23"/>
      <c r="H2200" s="23"/>
      <c r="I2200" s="23"/>
      <c r="J2200" s="23"/>
      <c r="K2200" s="23"/>
      <c r="L2200" s="23"/>
      <c r="M2200" s="23"/>
      <c r="N2200" s="23"/>
      <c r="O2200" s="23"/>
      <c r="P2200" s="23"/>
      <c r="Q2200" s="23"/>
      <c r="R2200" s="23"/>
      <c r="S2200" s="23"/>
      <c r="T2200" s="23"/>
    </row>
    <row r="2201" spans="1:20" x14ac:dyDescent="0.35">
      <c r="A2201" s="23"/>
      <c r="B2201" s="23"/>
      <c r="C2201" s="23"/>
      <c r="D2201" s="23"/>
      <c r="E2201" s="23"/>
      <c r="F2201" s="23"/>
      <c r="G2201" s="23"/>
      <c r="H2201" s="23"/>
      <c r="I2201" s="23"/>
      <c r="J2201" s="23"/>
      <c r="K2201" s="23"/>
      <c r="L2201" s="23"/>
      <c r="M2201" s="23"/>
      <c r="N2201" s="23"/>
      <c r="O2201" s="23"/>
      <c r="P2201" s="23"/>
      <c r="Q2201" s="23"/>
      <c r="R2201" s="23"/>
      <c r="S2201" s="23"/>
      <c r="T2201" s="23"/>
    </row>
    <row r="2202" spans="1:20" x14ac:dyDescent="0.35">
      <c r="A2202" s="23"/>
      <c r="B2202" s="23"/>
      <c r="C2202" s="23"/>
      <c r="D2202" s="23"/>
      <c r="E2202" s="23"/>
      <c r="F2202" s="23"/>
      <c r="G2202" s="23"/>
      <c r="H2202" s="23"/>
      <c r="I2202" s="23"/>
      <c r="J2202" s="23"/>
      <c r="K2202" s="23"/>
      <c r="L2202" s="23"/>
      <c r="M2202" s="23"/>
      <c r="N2202" s="23"/>
      <c r="O2202" s="23"/>
      <c r="P2202" s="23"/>
      <c r="Q2202" s="23"/>
      <c r="R2202" s="23"/>
      <c r="S2202" s="23"/>
      <c r="T2202" s="23"/>
    </row>
    <row r="2203" spans="1:20" x14ac:dyDescent="0.35">
      <c r="A2203" s="23"/>
      <c r="B2203" s="23"/>
      <c r="C2203" s="23"/>
      <c r="D2203" s="23"/>
      <c r="E2203" s="23"/>
      <c r="F2203" s="23"/>
      <c r="G2203" s="23"/>
      <c r="H2203" s="23"/>
      <c r="I2203" s="23"/>
      <c r="J2203" s="23"/>
      <c r="K2203" s="23"/>
      <c r="L2203" s="23"/>
      <c r="M2203" s="23"/>
      <c r="N2203" s="23"/>
      <c r="O2203" s="23"/>
      <c r="P2203" s="23"/>
      <c r="Q2203" s="23"/>
      <c r="R2203" s="23"/>
      <c r="S2203" s="23"/>
      <c r="T2203" s="23"/>
    </row>
    <row r="2204" spans="1:20" x14ac:dyDescent="0.35">
      <c r="A2204" s="23"/>
      <c r="B2204" s="23"/>
      <c r="C2204" s="23"/>
      <c r="D2204" s="23"/>
      <c r="E2204" s="23"/>
      <c r="F2204" s="23"/>
      <c r="G2204" s="23"/>
      <c r="H2204" s="23"/>
      <c r="I2204" s="23"/>
      <c r="J2204" s="23"/>
      <c r="K2204" s="23"/>
      <c r="L2204" s="23"/>
      <c r="M2204" s="23"/>
      <c r="N2204" s="23"/>
      <c r="O2204" s="23"/>
      <c r="P2204" s="23"/>
      <c r="Q2204" s="23"/>
      <c r="R2204" s="23"/>
      <c r="S2204" s="23"/>
      <c r="T2204" s="23"/>
    </row>
    <row r="2205" spans="1:20" x14ac:dyDescent="0.35">
      <c r="A2205" s="23"/>
      <c r="B2205" s="23"/>
      <c r="C2205" s="23"/>
      <c r="D2205" s="23"/>
      <c r="E2205" s="23"/>
      <c r="F2205" s="23"/>
      <c r="G2205" s="23"/>
      <c r="H2205" s="23"/>
      <c r="I2205" s="23"/>
      <c r="J2205" s="23"/>
      <c r="K2205" s="23"/>
      <c r="L2205" s="23"/>
      <c r="M2205" s="23"/>
      <c r="N2205" s="23"/>
      <c r="O2205" s="23"/>
      <c r="P2205" s="23"/>
      <c r="Q2205" s="23"/>
      <c r="R2205" s="23"/>
      <c r="S2205" s="23"/>
      <c r="T2205" s="23"/>
    </row>
    <row r="2206" spans="1:20" x14ac:dyDescent="0.35">
      <c r="A2206" s="23"/>
      <c r="B2206" s="23"/>
      <c r="C2206" s="23"/>
      <c r="D2206" s="23"/>
      <c r="E2206" s="23"/>
      <c r="F2206" s="23"/>
      <c r="G2206" s="23"/>
      <c r="H2206" s="23"/>
      <c r="I2206" s="23"/>
      <c r="J2206" s="23"/>
      <c r="K2206" s="23"/>
      <c r="L2206" s="23"/>
      <c r="M2206" s="23"/>
      <c r="N2206" s="23"/>
      <c r="O2206" s="23"/>
      <c r="P2206" s="23"/>
      <c r="Q2206" s="23"/>
      <c r="R2206" s="23"/>
      <c r="S2206" s="23"/>
      <c r="T2206" s="23"/>
    </row>
    <row r="2207" spans="1:20" x14ac:dyDescent="0.35">
      <c r="A2207" s="23"/>
      <c r="B2207" s="23"/>
      <c r="C2207" s="23"/>
      <c r="D2207" s="23"/>
      <c r="E2207" s="23"/>
      <c r="F2207" s="23"/>
      <c r="G2207" s="23"/>
      <c r="H2207" s="23"/>
      <c r="I2207" s="23"/>
      <c r="J2207" s="23"/>
      <c r="K2207" s="23"/>
      <c r="L2207" s="23"/>
      <c r="M2207" s="23"/>
      <c r="N2207" s="23"/>
      <c r="O2207" s="23"/>
      <c r="P2207" s="23"/>
      <c r="Q2207" s="23"/>
      <c r="R2207" s="23"/>
      <c r="S2207" s="23"/>
      <c r="T2207" s="23"/>
    </row>
    <row r="2208" spans="1:20" x14ac:dyDescent="0.35">
      <c r="A2208" s="23"/>
      <c r="B2208" s="23"/>
      <c r="C2208" s="23"/>
      <c r="D2208" s="23"/>
      <c r="E2208" s="23"/>
      <c r="F2208" s="23"/>
      <c r="G2208" s="23"/>
      <c r="H2208" s="23"/>
      <c r="I2208" s="23"/>
      <c r="J2208" s="23"/>
      <c r="K2208" s="23"/>
      <c r="L2208" s="23"/>
      <c r="M2208" s="23"/>
      <c r="N2208" s="23"/>
      <c r="O2208" s="23"/>
      <c r="P2208" s="23"/>
      <c r="Q2208" s="23"/>
      <c r="R2208" s="23"/>
      <c r="S2208" s="23"/>
      <c r="T2208" s="23"/>
    </row>
    <row r="2209" spans="1:20" x14ac:dyDescent="0.35">
      <c r="A2209" s="23"/>
      <c r="B2209" s="23"/>
      <c r="C2209" s="23"/>
      <c r="D2209" s="23"/>
      <c r="E2209" s="23"/>
      <c r="F2209" s="23"/>
      <c r="G2209" s="23"/>
      <c r="H2209" s="23"/>
      <c r="I2209" s="23"/>
      <c r="J2209" s="23"/>
      <c r="K2209" s="23"/>
      <c r="L2209" s="23"/>
      <c r="M2209" s="23"/>
      <c r="N2209" s="23"/>
      <c r="O2209" s="23"/>
      <c r="P2209" s="23"/>
      <c r="Q2209" s="23"/>
      <c r="R2209" s="23"/>
      <c r="S2209" s="23"/>
      <c r="T2209" s="23"/>
    </row>
    <row r="2210" spans="1:20" x14ac:dyDescent="0.35">
      <c r="A2210" s="23"/>
      <c r="B2210" s="23"/>
      <c r="C2210" s="23"/>
      <c r="D2210" s="23"/>
      <c r="E2210" s="23"/>
      <c r="F2210" s="23"/>
      <c r="G2210" s="23"/>
      <c r="H2210" s="23"/>
      <c r="I2210" s="23"/>
      <c r="J2210" s="23"/>
      <c r="K2210" s="23"/>
      <c r="L2210" s="23"/>
      <c r="M2210" s="23"/>
      <c r="N2210" s="23"/>
      <c r="O2210" s="23"/>
      <c r="P2210" s="23"/>
      <c r="Q2210" s="23"/>
      <c r="R2210" s="23"/>
      <c r="S2210" s="23"/>
      <c r="T2210" s="23"/>
    </row>
    <row r="2211" spans="1:20" x14ac:dyDescent="0.35">
      <c r="A2211" s="23"/>
      <c r="B2211" s="23"/>
      <c r="C2211" s="23"/>
      <c r="D2211" s="23"/>
      <c r="E2211" s="23"/>
      <c r="F2211" s="23"/>
      <c r="G2211" s="23"/>
      <c r="H2211" s="23"/>
      <c r="I2211" s="23"/>
      <c r="J2211" s="23"/>
      <c r="K2211" s="23"/>
      <c r="L2211" s="23"/>
      <c r="M2211" s="23"/>
      <c r="N2211" s="23"/>
      <c r="O2211" s="23"/>
      <c r="P2211" s="23"/>
      <c r="Q2211" s="23"/>
      <c r="R2211" s="23"/>
      <c r="S2211" s="23"/>
      <c r="T2211" s="23"/>
    </row>
    <row r="2212" spans="1:20" x14ac:dyDescent="0.35">
      <c r="A2212" s="23"/>
      <c r="B2212" s="23"/>
      <c r="C2212" s="23"/>
      <c r="D2212" s="23"/>
      <c r="E2212" s="23"/>
      <c r="F2212" s="23"/>
      <c r="G2212" s="23"/>
      <c r="H2212" s="23"/>
      <c r="I2212" s="23"/>
      <c r="J2212" s="23"/>
      <c r="K2212" s="23"/>
      <c r="L2212" s="23"/>
      <c r="M2212" s="23"/>
      <c r="N2212" s="23"/>
      <c r="O2212" s="23"/>
      <c r="P2212" s="23"/>
      <c r="Q2212" s="23"/>
      <c r="R2212" s="23"/>
      <c r="S2212" s="23"/>
      <c r="T2212" s="23"/>
    </row>
    <row r="2213" spans="1:20" x14ac:dyDescent="0.35">
      <c r="A2213" s="23"/>
      <c r="B2213" s="23"/>
      <c r="C2213" s="23"/>
      <c r="D2213" s="23"/>
      <c r="E2213" s="23"/>
      <c r="F2213" s="23"/>
      <c r="G2213" s="23"/>
      <c r="H2213" s="23"/>
      <c r="I2213" s="23"/>
      <c r="J2213" s="23"/>
      <c r="K2213" s="23"/>
      <c r="L2213" s="23"/>
      <c r="M2213" s="23"/>
      <c r="N2213" s="23"/>
      <c r="O2213" s="23"/>
      <c r="P2213" s="23"/>
      <c r="Q2213" s="23"/>
      <c r="R2213" s="23"/>
      <c r="S2213" s="23"/>
      <c r="T2213" s="23"/>
    </row>
    <row r="2214" spans="1:20" x14ac:dyDescent="0.35">
      <c r="A2214" s="23"/>
      <c r="B2214" s="23"/>
      <c r="C2214" s="23"/>
      <c r="D2214" s="23"/>
      <c r="E2214" s="23"/>
      <c r="F2214" s="23"/>
      <c r="G2214" s="23"/>
      <c r="H2214" s="23"/>
      <c r="I2214" s="23"/>
      <c r="J2214" s="23"/>
      <c r="K2214" s="23"/>
      <c r="L2214" s="23"/>
      <c r="M2214" s="23"/>
      <c r="N2214" s="23"/>
      <c r="O2214" s="23"/>
      <c r="P2214" s="23"/>
      <c r="Q2214" s="23"/>
      <c r="R2214" s="23"/>
      <c r="S2214" s="23"/>
      <c r="T2214" s="23"/>
    </row>
    <row r="2215" spans="1:20" x14ac:dyDescent="0.35">
      <c r="A2215" s="23"/>
      <c r="B2215" s="23"/>
      <c r="C2215" s="23"/>
      <c r="D2215" s="23"/>
      <c r="E2215" s="23"/>
      <c r="F2215" s="23"/>
      <c r="G2215" s="23"/>
      <c r="H2215" s="23"/>
      <c r="I2215" s="23"/>
      <c r="J2215" s="23"/>
      <c r="K2215" s="23"/>
      <c r="L2215" s="23"/>
      <c r="M2215" s="23"/>
      <c r="N2215" s="23"/>
      <c r="O2215" s="23"/>
      <c r="P2215" s="23"/>
      <c r="Q2215" s="23"/>
      <c r="R2215" s="23"/>
      <c r="S2215" s="23"/>
      <c r="T2215" s="23"/>
    </row>
    <row r="2216" spans="1:20" x14ac:dyDescent="0.35">
      <c r="A2216" s="23"/>
      <c r="B2216" s="23"/>
      <c r="C2216" s="23"/>
      <c r="D2216" s="23"/>
      <c r="E2216" s="23"/>
      <c r="F2216" s="23"/>
      <c r="G2216" s="23"/>
      <c r="H2216" s="23"/>
      <c r="I2216" s="23"/>
      <c r="J2216" s="23"/>
      <c r="K2216" s="23"/>
      <c r="L2216" s="23"/>
      <c r="M2216" s="23"/>
      <c r="N2216" s="23"/>
      <c r="O2216" s="23"/>
      <c r="P2216" s="23"/>
      <c r="Q2216" s="23"/>
      <c r="R2216" s="23"/>
      <c r="S2216" s="23"/>
      <c r="T2216" s="23"/>
    </row>
    <row r="2217" spans="1:20" x14ac:dyDescent="0.35">
      <c r="A2217" s="23"/>
      <c r="B2217" s="23"/>
      <c r="C2217" s="23"/>
      <c r="D2217" s="23"/>
      <c r="E2217" s="23"/>
      <c r="F2217" s="23"/>
      <c r="G2217" s="23"/>
      <c r="H2217" s="23"/>
      <c r="I2217" s="23"/>
      <c r="J2217" s="23"/>
      <c r="K2217" s="23"/>
      <c r="L2217" s="23"/>
      <c r="M2217" s="23"/>
      <c r="N2217" s="23"/>
      <c r="O2217" s="23"/>
      <c r="P2217" s="23"/>
      <c r="Q2217" s="23"/>
      <c r="R2217" s="23"/>
      <c r="S2217" s="23"/>
      <c r="T2217" s="23"/>
    </row>
    <row r="2218" spans="1:20" x14ac:dyDescent="0.35">
      <c r="A2218" s="23"/>
      <c r="B2218" s="23"/>
      <c r="C2218" s="23"/>
      <c r="D2218" s="23"/>
      <c r="E2218" s="23"/>
      <c r="F2218" s="23"/>
      <c r="G2218" s="23"/>
      <c r="H2218" s="23"/>
      <c r="I2218" s="23"/>
      <c r="J2218" s="23"/>
      <c r="K2218" s="23"/>
      <c r="L2218" s="23"/>
      <c r="M2218" s="23"/>
      <c r="N2218" s="23"/>
      <c r="O2218" s="23"/>
      <c r="P2218" s="23"/>
      <c r="Q2218" s="23"/>
      <c r="R2218" s="23"/>
      <c r="S2218" s="23"/>
      <c r="T2218" s="23"/>
    </row>
    <row r="2219" spans="1:20" x14ac:dyDescent="0.35">
      <c r="A2219" s="23"/>
      <c r="B2219" s="23"/>
      <c r="C2219" s="23"/>
      <c r="D2219" s="23"/>
      <c r="E2219" s="23"/>
      <c r="F2219" s="23"/>
      <c r="G2219" s="23"/>
      <c r="H2219" s="23"/>
      <c r="I2219" s="23"/>
      <c r="J2219" s="23"/>
      <c r="K2219" s="23"/>
      <c r="L2219" s="23"/>
      <c r="M2219" s="23"/>
      <c r="N2219" s="23"/>
      <c r="O2219" s="23"/>
      <c r="P2219" s="23"/>
      <c r="Q2219" s="23"/>
      <c r="R2219" s="23"/>
      <c r="S2219" s="23"/>
      <c r="T2219" s="23"/>
    </row>
    <row r="2220" spans="1:20" x14ac:dyDescent="0.35">
      <c r="A2220" s="23"/>
      <c r="B2220" s="23"/>
      <c r="C2220" s="23"/>
      <c r="D2220" s="23"/>
      <c r="E2220" s="23"/>
      <c r="F2220" s="23"/>
      <c r="G2220" s="23"/>
      <c r="H2220" s="23"/>
      <c r="I2220" s="23"/>
      <c r="J2220" s="23"/>
      <c r="K2220" s="23"/>
      <c r="L2220" s="23"/>
      <c r="M2220" s="23"/>
      <c r="N2220" s="23"/>
      <c r="O2220" s="23"/>
      <c r="P2220" s="23"/>
      <c r="Q2220" s="23"/>
      <c r="R2220" s="23"/>
      <c r="S2220" s="23"/>
      <c r="T2220" s="23"/>
    </row>
    <row r="2221" spans="1:20" x14ac:dyDescent="0.35">
      <c r="A2221" s="23"/>
      <c r="B2221" s="23"/>
      <c r="C2221" s="23"/>
      <c r="D2221" s="23"/>
      <c r="E2221" s="23"/>
      <c r="F2221" s="23"/>
      <c r="G2221" s="23"/>
      <c r="H2221" s="23"/>
      <c r="I2221" s="23"/>
      <c r="J2221" s="23"/>
      <c r="K2221" s="23"/>
      <c r="L2221" s="23"/>
      <c r="M2221" s="23"/>
      <c r="N2221" s="23"/>
      <c r="O2221" s="23"/>
      <c r="P2221" s="23"/>
      <c r="Q2221" s="23"/>
      <c r="R2221" s="23"/>
      <c r="S2221" s="23"/>
      <c r="T2221" s="23"/>
    </row>
    <row r="2222" spans="1:20" x14ac:dyDescent="0.35">
      <c r="A2222" s="23"/>
      <c r="B2222" s="23"/>
      <c r="C2222" s="23"/>
      <c r="D2222" s="23"/>
      <c r="E2222" s="23"/>
      <c r="F2222" s="23"/>
      <c r="G2222" s="23"/>
      <c r="H2222" s="23"/>
      <c r="I2222" s="23"/>
      <c r="J2222" s="23"/>
      <c r="K2222" s="23"/>
      <c r="L2222" s="23"/>
      <c r="M2222" s="23"/>
      <c r="N2222" s="23"/>
      <c r="O2222" s="23"/>
      <c r="P2222" s="23"/>
      <c r="Q2222" s="23"/>
      <c r="R2222" s="23"/>
      <c r="S2222" s="23"/>
      <c r="T2222" s="23"/>
    </row>
    <row r="2223" spans="1:20" x14ac:dyDescent="0.35">
      <c r="A2223" s="23"/>
      <c r="B2223" s="23"/>
      <c r="C2223" s="23"/>
      <c r="D2223" s="23"/>
      <c r="E2223" s="23"/>
      <c r="F2223" s="23"/>
      <c r="G2223" s="23"/>
      <c r="H2223" s="23"/>
      <c r="I2223" s="23"/>
      <c r="J2223" s="23"/>
      <c r="K2223" s="23"/>
      <c r="L2223" s="23"/>
      <c r="M2223" s="23"/>
      <c r="N2223" s="23"/>
      <c r="O2223" s="23"/>
      <c r="P2223" s="23"/>
      <c r="Q2223" s="23"/>
      <c r="R2223" s="23"/>
      <c r="S2223" s="23"/>
      <c r="T2223" s="23"/>
    </row>
    <row r="2224" spans="1:20" x14ac:dyDescent="0.35">
      <c r="A2224" s="23"/>
      <c r="B2224" s="23"/>
      <c r="C2224" s="23"/>
      <c r="D2224" s="23"/>
      <c r="E2224" s="23"/>
      <c r="F2224" s="23"/>
      <c r="G2224" s="23"/>
      <c r="H2224" s="23"/>
      <c r="I2224" s="23"/>
      <c r="J2224" s="23"/>
      <c r="K2224" s="23"/>
      <c r="L2224" s="23"/>
      <c r="M2224" s="23"/>
      <c r="N2224" s="23"/>
      <c r="O2224" s="23"/>
      <c r="P2224" s="23"/>
      <c r="Q2224" s="23"/>
      <c r="R2224" s="23"/>
      <c r="S2224" s="23"/>
      <c r="T2224" s="23"/>
    </row>
    <row r="2225" spans="1:20" x14ac:dyDescent="0.35">
      <c r="A2225" s="23"/>
      <c r="B2225" s="23"/>
      <c r="C2225" s="23"/>
      <c r="D2225" s="23"/>
      <c r="E2225" s="23"/>
      <c r="F2225" s="23"/>
      <c r="G2225" s="23"/>
      <c r="H2225" s="23"/>
      <c r="I2225" s="23"/>
      <c r="J2225" s="23"/>
      <c r="K2225" s="23"/>
      <c r="L2225" s="23"/>
      <c r="M2225" s="23"/>
      <c r="N2225" s="23"/>
      <c r="O2225" s="23"/>
      <c r="P2225" s="23"/>
      <c r="Q2225" s="23"/>
      <c r="R2225" s="23"/>
      <c r="S2225" s="23"/>
      <c r="T2225" s="23"/>
    </row>
    <row r="2226" spans="1:20" x14ac:dyDescent="0.35">
      <c r="A2226" s="23"/>
      <c r="B2226" s="23"/>
      <c r="C2226" s="23"/>
      <c r="D2226" s="23"/>
      <c r="E2226" s="23"/>
      <c r="F2226" s="23"/>
      <c r="G2226" s="23"/>
      <c r="H2226" s="23"/>
      <c r="I2226" s="23"/>
      <c r="J2226" s="23"/>
      <c r="K2226" s="23"/>
      <c r="L2226" s="23"/>
      <c r="M2226" s="23"/>
      <c r="N2226" s="23"/>
      <c r="O2226" s="23"/>
      <c r="P2226" s="23"/>
      <c r="Q2226" s="23"/>
      <c r="R2226" s="23"/>
      <c r="S2226" s="23"/>
      <c r="T2226" s="23"/>
    </row>
    <row r="2227" spans="1:20" x14ac:dyDescent="0.35">
      <c r="A2227" s="23"/>
      <c r="B2227" s="23"/>
      <c r="C2227" s="23"/>
      <c r="D2227" s="23"/>
      <c r="E2227" s="23"/>
      <c r="F2227" s="23"/>
      <c r="G2227" s="23"/>
      <c r="H2227" s="23"/>
      <c r="I2227" s="23"/>
      <c r="J2227" s="23"/>
      <c r="K2227" s="23"/>
      <c r="L2227" s="23"/>
      <c r="M2227" s="23"/>
      <c r="N2227" s="23"/>
      <c r="O2227" s="23"/>
      <c r="P2227" s="23"/>
      <c r="Q2227" s="23"/>
      <c r="R2227" s="23"/>
      <c r="S2227" s="23"/>
      <c r="T2227" s="23"/>
    </row>
    <row r="2228" spans="1:20" x14ac:dyDescent="0.35">
      <c r="A2228" s="23"/>
      <c r="B2228" s="23"/>
      <c r="C2228" s="23"/>
      <c r="D2228" s="23"/>
      <c r="E2228" s="23"/>
      <c r="F2228" s="23"/>
      <c r="G2228" s="23"/>
      <c r="H2228" s="23"/>
      <c r="I2228" s="23"/>
      <c r="J2228" s="23"/>
      <c r="K2228" s="23"/>
      <c r="L2228" s="23"/>
      <c r="M2228" s="23"/>
      <c r="N2228" s="23"/>
      <c r="O2228" s="23"/>
      <c r="P2228" s="23"/>
      <c r="Q2228" s="23"/>
      <c r="R2228" s="23"/>
      <c r="S2228" s="23"/>
      <c r="T2228" s="23"/>
    </row>
    <row r="2229" spans="1:20" x14ac:dyDescent="0.35">
      <c r="A2229" s="23"/>
      <c r="B2229" s="23"/>
      <c r="C2229" s="23"/>
      <c r="D2229" s="23"/>
      <c r="E2229" s="23"/>
      <c r="F2229" s="23"/>
      <c r="G2229" s="23"/>
      <c r="H2229" s="23"/>
      <c r="I2229" s="23"/>
      <c r="J2229" s="23"/>
      <c r="K2229" s="23"/>
      <c r="L2229" s="23"/>
      <c r="M2229" s="23"/>
      <c r="N2229" s="23"/>
      <c r="O2229" s="23"/>
      <c r="P2229" s="23"/>
      <c r="Q2229" s="23"/>
      <c r="R2229" s="23"/>
      <c r="S2229" s="23"/>
      <c r="T2229" s="23"/>
    </row>
    <row r="2230" spans="1:20" x14ac:dyDescent="0.35">
      <c r="A2230" s="23"/>
      <c r="B2230" s="23"/>
      <c r="C2230" s="23"/>
      <c r="D2230" s="23"/>
      <c r="E2230" s="23"/>
      <c r="F2230" s="23"/>
      <c r="G2230" s="23"/>
      <c r="H2230" s="23"/>
      <c r="I2230" s="23"/>
      <c r="J2230" s="23"/>
      <c r="K2230" s="23"/>
      <c r="L2230" s="23"/>
      <c r="M2230" s="23"/>
      <c r="N2230" s="23"/>
      <c r="O2230" s="23"/>
      <c r="P2230" s="23"/>
      <c r="Q2230" s="23"/>
      <c r="R2230" s="23"/>
      <c r="S2230" s="23"/>
      <c r="T2230" s="23"/>
    </row>
    <row r="2231" spans="1:20" x14ac:dyDescent="0.35">
      <c r="A2231" s="23"/>
      <c r="B2231" s="23"/>
      <c r="C2231" s="23"/>
      <c r="D2231" s="23"/>
      <c r="E2231" s="23"/>
      <c r="F2231" s="23"/>
      <c r="G2231" s="23"/>
      <c r="H2231" s="23"/>
      <c r="I2231" s="23"/>
      <c r="J2231" s="23"/>
      <c r="K2231" s="23"/>
      <c r="L2231" s="23"/>
      <c r="M2231" s="23"/>
      <c r="N2231" s="23"/>
      <c r="O2231" s="23"/>
      <c r="P2231" s="23"/>
      <c r="Q2231" s="23"/>
      <c r="R2231" s="23"/>
      <c r="S2231" s="23"/>
      <c r="T2231" s="23"/>
    </row>
    <row r="2232" spans="1:20" x14ac:dyDescent="0.35">
      <c r="A2232" s="23"/>
      <c r="B2232" s="23"/>
      <c r="C2232" s="23"/>
      <c r="D2232" s="23"/>
      <c r="E2232" s="23"/>
      <c r="F2232" s="23"/>
      <c r="G2232" s="23"/>
      <c r="H2232" s="23"/>
      <c r="I2232" s="23"/>
      <c r="J2232" s="23"/>
      <c r="K2232" s="23"/>
      <c r="L2232" s="23"/>
      <c r="M2232" s="23"/>
      <c r="N2232" s="23"/>
      <c r="O2232" s="23"/>
      <c r="P2232" s="23"/>
      <c r="Q2232" s="23"/>
      <c r="R2232" s="23"/>
      <c r="S2232" s="23"/>
      <c r="T2232" s="23"/>
    </row>
    <row r="2233" spans="1:20" x14ac:dyDescent="0.35">
      <c r="A2233" s="23"/>
      <c r="B2233" s="23"/>
      <c r="C2233" s="23"/>
      <c r="D2233" s="23"/>
      <c r="E2233" s="23"/>
      <c r="F2233" s="23"/>
      <c r="G2233" s="23"/>
      <c r="H2233" s="23"/>
      <c r="I2233" s="23"/>
      <c r="J2233" s="23"/>
      <c r="K2233" s="23"/>
      <c r="L2233" s="23"/>
      <c r="M2233" s="23"/>
      <c r="N2233" s="23"/>
      <c r="O2233" s="23"/>
      <c r="P2233" s="23"/>
      <c r="Q2233" s="23"/>
      <c r="R2233" s="23"/>
      <c r="S2233" s="23"/>
      <c r="T2233" s="23"/>
    </row>
    <row r="2234" spans="1:20" x14ac:dyDescent="0.35">
      <c r="A2234" s="23"/>
      <c r="B2234" s="23"/>
      <c r="C2234" s="23"/>
      <c r="D2234" s="23"/>
      <c r="E2234" s="23"/>
      <c r="F2234" s="23"/>
      <c r="G2234" s="23"/>
      <c r="H2234" s="23"/>
      <c r="I2234" s="23"/>
      <c r="J2234" s="23"/>
      <c r="K2234" s="23"/>
      <c r="L2234" s="23"/>
      <c r="M2234" s="23"/>
      <c r="N2234" s="23"/>
      <c r="O2234" s="23"/>
      <c r="P2234" s="23"/>
      <c r="Q2234" s="23"/>
      <c r="R2234" s="23"/>
      <c r="S2234" s="23"/>
      <c r="T2234" s="23"/>
    </row>
    <row r="2235" spans="1:20" x14ac:dyDescent="0.35">
      <c r="A2235" s="23"/>
      <c r="B2235" s="23"/>
      <c r="C2235" s="23"/>
      <c r="D2235" s="23"/>
      <c r="E2235" s="23"/>
      <c r="F2235" s="23"/>
      <c r="G2235" s="23"/>
      <c r="H2235" s="23"/>
      <c r="I2235" s="23"/>
      <c r="J2235" s="23"/>
      <c r="K2235" s="23"/>
      <c r="L2235" s="23"/>
      <c r="M2235" s="23"/>
      <c r="N2235" s="23"/>
      <c r="O2235" s="23"/>
      <c r="P2235" s="23"/>
      <c r="Q2235" s="23"/>
      <c r="R2235" s="23"/>
      <c r="S2235" s="23"/>
      <c r="T2235" s="23"/>
    </row>
    <row r="2236" spans="1:20" x14ac:dyDescent="0.35">
      <c r="A2236" s="23"/>
      <c r="B2236" s="23"/>
      <c r="C2236" s="23"/>
      <c r="D2236" s="23"/>
      <c r="E2236" s="23"/>
      <c r="F2236" s="23"/>
      <c r="G2236" s="23"/>
      <c r="H2236" s="23"/>
      <c r="I2236" s="23"/>
      <c r="J2236" s="23"/>
      <c r="K2236" s="23"/>
      <c r="L2236" s="23"/>
      <c r="M2236" s="23"/>
      <c r="N2236" s="23"/>
      <c r="O2236" s="23"/>
      <c r="P2236" s="23"/>
      <c r="Q2236" s="23"/>
      <c r="R2236" s="23"/>
      <c r="S2236" s="23"/>
      <c r="T2236" s="23"/>
    </row>
    <row r="2237" spans="1:20" x14ac:dyDescent="0.35">
      <c r="A2237" s="23"/>
      <c r="B2237" s="23"/>
      <c r="C2237" s="23"/>
      <c r="D2237" s="23"/>
      <c r="E2237" s="23"/>
      <c r="F2237" s="23"/>
      <c r="G2237" s="23"/>
      <c r="H2237" s="23"/>
      <c r="I2237" s="23"/>
      <c r="J2237" s="23"/>
      <c r="K2237" s="23"/>
      <c r="L2237" s="23"/>
      <c r="M2237" s="23"/>
      <c r="N2237" s="23"/>
      <c r="O2237" s="23"/>
      <c r="P2237" s="23"/>
      <c r="Q2237" s="23"/>
      <c r="R2237" s="23"/>
      <c r="S2237" s="23"/>
      <c r="T2237" s="23"/>
    </row>
    <row r="2238" spans="1:20" x14ac:dyDescent="0.35">
      <c r="A2238" s="23"/>
      <c r="B2238" s="23"/>
      <c r="C2238" s="23"/>
      <c r="D2238" s="23"/>
      <c r="E2238" s="23"/>
      <c r="F2238" s="23"/>
      <c r="G2238" s="23"/>
      <c r="H2238" s="23"/>
      <c r="I2238" s="23"/>
      <c r="J2238" s="23"/>
      <c r="K2238" s="23"/>
      <c r="L2238" s="23"/>
      <c r="M2238" s="23"/>
      <c r="N2238" s="23"/>
      <c r="O2238" s="23"/>
      <c r="P2238" s="23"/>
      <c r="Q2238" s="23"/>
      <c r="R2238" s="23"/>
      <c r="S2238" s="23"/>
      <c r="T2238" s="23"/>
    </row>
    <row r="2239" spans="1:20" x14ac:dyDescent="0.35">
      <c r="A2239" s="23"/>
      <c r="B2239" s="23"/>
      <c r="C2239" s="23"/>
      <c r="D2239" s="23"/>
      <c r="E2239" s="23"/>
      <c r="F2239" s="23"/>
      <c r="G2239" s="23"/>
      <c r="H2239" s="23"/>
      <c r="I2239" s="23"/>
      <c r="J2239" s="23"/>
      <c r="K2239" s="23"/>
      <c r="L2239" s="23"/>
      <c r="M2239" s="23"/>
      <c r="N2239" s="23"/>
      <c r="O2239" s="23"/>
      <c r="P2239" s="23"/>
      <c r="Q2239" s="23"/>
      <c r="R2239" s="23"/>
      <c r="S2239" s="23"/>
      <c r="T2239" s="23"/>
    </row>
    <row r="2240" spans="1:20" x14ac:dyDescent="0.35">
      <c r="A2240" s="23"/>
      <c r="B2240" s="23"/>
      <c r="C2240" s="23"/>
      <c r="D2240" s="23"/>
      <c r="E2240" s="23"/>
      <c r="F2240" s="23"/>
      <c r="G2240" s="23"/>
      <c r="H2240" s="23"/>
      <c r="I2240" s="23"/>
      <c r="J2240" s="23"/>
      <c r="K2240" s="23"/>
      <c r="L2240" s="23"/>
      <c r="M2240" s="23"/>
      <c r="N2240" s="23"/>
      <c r="O2240" s="23"/>
      <c r="P2240" s="23"/>
      <c r="Q2240" s="23"/>
      <c r="R2240" s="23"/>
      <c r="S2240" s="23"/>
      <c r="T2240" s="23"/>
    </row>
    <row r="2241" spans="1:20" x14ac:dyDescent="0.35">
      <c r="A2241" s="23"/>
      <c r="B2241" s="23"/>
      <c r="C2241" s="23"/>
      <c r="D2241" s="23"/>
      <c r="E2241" s="23"/>
      <c r="F2241" s="23"/>
      <c r="G2241" s="23"/>
      <c r="H2241" s="23"/>
      <c r="I2241" s="23"/>
      <c r="J2241" s="23"/>
      <c r="K2241" s="23"/>
      <c r="L2241" s="23"/>
      <c r="M2241" s="23"/>
      <c r="N2241" s="23"/>
      <c r="O2241" s="23"/>
      <c r="P2241" s="23"/>
      <c r="Q2241" s="23"/>
      <c r="R2241" s="23"/>
      <c r="S2241" s="23"/>
      <c r="T2241" s="23"/>
    </row>
    <row r="2242" spans="1:20" x14ac:dyDescent="0.35">
      <c r="A2242" s="23"/>
      <c r="B2242" s="23"/>
      <c r="C2242" s="23"/>
      <c r="D2242" s="23"/>
      <c r="E2242" s="23"/>
      <c r="F2242" s="23"/>
      <c r="G2242" s="23"/>
      <c r="H2242" s="23"/>
      <c r="I2242" s="23"/>
      <c r="J2242" s="23"/>
      <c r="K2242" s="23"/>
      <c r="L2242" s="23"/>
      <c r="M2242" s="23"/>
      <c r="N2242" s="23"/>
      <c r="O2242" s="23"/>
      <c r="P2242" s="23"/>
      <c r="Q2242" s="23"/>
      <c r="R2242" s="23"/>
      <c r="S2242" s="23"/>
      <c r="T2242" s="23"/>
    </row>
    <row r="2243" spans="1:20" x14ac:dyDescent="0.35">
      <c r="A2243" s="23"/>
      <c r="B2243" s="23"/>
      <c r="C2243" s="23"/>
      <c r="D2243" s="23"/>
      <c r="E2243" s="23"/>
      <c r="F2243" s="23"/>
      <c r="G2243" s="23"/>
      <c r="H2243" s="23"/>
      <c r="I2243" s="23"/>
      <c r="J2243" s="23"/>
      <c r="K2243" s="23"/>
      <c r="L2243" s="23"/>
      <c r="M2243" s="23"/>
      <c r="N2243" s="23"/>
      <c r="O2243" s="23"/>
      <c r="P2243" s="23"/>
      <c r="Q2243" s="23"/>
      <c r="R2243" s="23"/>
      <c r="S2243" s="23"/>
      <c r="T2243" s="23"/>
    </row>
    <row r="2244" spans="1:20" x14ac:dyDescent="0.35">
      <c r="A2244" s="23"/>
      <c r="B2244" s="23"/>
      <c r="C2244" s="23"/>
      <c r="D2244" s="23"/>
      <c r="E2244" s="23"/>
      <c r="F2244" s="23"/>
      <c r="G2244" s="23"/>
      <c r="H2244" s="23"/>
      <c r="I2244" s="23"/>
      <c r="J2244" s="23"/>
      <c r="K2244" s="23"/>
      <c r="L2244" s="23"/>
      <c r="M2244" s="23"/>
      <c r="N2244" s="23"/>
      <c r="O2244" s="23"/>
      <c r="P2244" s="23"/>
      <c r="Q2244" s="23"/>
      <c r="R2244" s="23"/>
      <c r="S2244" s="23"/>
      <c r="T2244" s="23"/>
    </row>
    <row r="2245" spans="1:20" x14ac:dyDescent="0.35">
      <c r="A2245" s="23"/>
      <c r="B2245" s="23"/>
      <c r="C2245" s="23"/>
      <c r="D2245" s="23"/>
      <c r="E2245" s="23"/>
      <c r="F2245" s="23"/>
      <c r="G2245" s="23"/>
      <c r="H2245" s="23"/>
      <c r="I2245" s="23"/>
      <c r="J2245" s="23"/>
      <c r="K2245" s="23"/>
      <c r="L2245" s="23"/>
      <c r="M2245" s="23"/>
      <c r="N2245" s="23"/>
      <c r="O2245" s="23"/>
      <c r="P2245" s="23"/>
      <c r="Q2245" s="23"/>
      <c r="R2245" s="23"/>
      <c r="S2245" s="23"/>
      <c r="T2245" s="23"/>
    </row>
    <row r="2246" spans="1:20" x14ac:dyDescent="0.35">
      <c r="A2246" s="23"/>
      <c r="B2246" s="23"/>
      <c r="C2246" s="23"/>
      <c r="D2246" s="23"/>
      <c r="E2246" s="23"/>
      <c r="F2246" s="23"/>
      <c r="G2246" s="23"/>
      <c r="H2246" s="23"/>
      <c r="I2246" s="23"/>
      <c r="J2246" s="23"/>
      <c r="K2246" s="23"/>
      <c r="L2246" s="23"/>
      <c r="M2246" s="23"/>
      <c r="N2246" s="23"/>
      <c r="O2246" s="23"/>
      <c r="P2246" s="23"/>
      <c r="Q2246" s="23"/>
      <c r="R2246" s="23"/>
      <c r="S2246" s="23"/>
      <c r="T2246" s="23"/>
    </row>
    <row r="2247" spans="1:20" x14ac:dyDescent="0.35">
      <c r="A2247" s="23"/>
      <c r="B2247" s="23"/>
      <c r="C2247" s="23"/>
      <c r="D2247" s="23"/>
      <c r="E2247" s="23"/>
      <c r="F2247" s="23"/>
      <c r="G2247" s="23"/>
      <c r="H2247" s="23"/>
      <c r="I2247" s="23"/>
      <c r="J2247" s="23"/>
      <c r="K2247" s="23"/>
      <c r="L2247" s="23"/>
      <c r="M2247" s="23"/>
      <c r="N2247" s="23"/>
      <c r="O2247" s="23"/>
      <c r="P2247" s="23"/>
      <c r="Q2247" s="23"/>
      <c r="R2247" s="23"/>
      <c r="S2247" s="23"/>
      <c r="T2247" s="23"/>
    </row>
    <row r="2248" spans="1:20" x14ac:dyDescent="0.35">
      <c r="A2248" s="23"/>
      <c r="B2248" s="23"/>
      <c r="C2248" s="23"/>
      <c r="D2248" s="23"/>
      <c r="E2248" s="23"/>
      <c r="F2248" s="23"/>
      <c r="G2248" s="23"/>
      <c r="H2248" s="23"/>
      <c r="I2248" s="23"/>
      <c r="J2248" s="23"/>
      <c r="K2248" s="23"/>
      <c r="L2248" s="23"/>
      <c r="M2248" s="23"/>
      <c r="N2248" s="23"/>
      <c r="O2248" s="23"/>
      <c r="P2248" s="23"/>
      <c r="Q2248" s="23"/>
      <c r="R2248" s="23"/>
      <c r="S2248" s="23"/>
      <c r="T2248" s="23"/>
    </row>
    <row r="2249" spans="1:20" x14ac:dyDescent="0.35">
      <c r="A2249" s="23"/>
      <c r="B2249" s="23"/>
      <c r="C2249" s="23"/>
      <c r="D2249" s="23"/>
      <c r="E2249" s="23"/>
      <c r="F2249" s="23"/>
      <c r="G2249" s="23"/>
      <c r="H2249" s="23"/>
      <c r="I2249" s="23"/>
      <c r="J2249" s="23"/>
      <c r="K2249" s="23"/>
      <c r="L2249" s="23"/>
      <c r="M2249" s="23"/>
      <c r="N2249" s="23"/>
      <c r="O2249" s="23"/>
      <c r="P2249" s="23"/>
      <c r="Q2249" s="23"/>
      <c r="R2249" s="23"/>
      <c r="S2249" s="23"/>
      <c r="T2249" s="23"/>
    </row>
    <row r="2250" spans="1:20" x14ac:dyDescent="0.35">
      <c r="A2250" s="23"/>
      <c r="B2250" s="23"/>
      <c r="C2250" s="23"/>
      <c r="D2250" s="23"/>
      <c r="E2250" s="23"/>
      <c r="F2250" s="23"/>
      <c r="G2250" s="23"/>
      <c r="H2250" s="23"/>
      <c r="I2250" s="23"/>
      <c r="J2250" s="23"/>
      <c r="K2250" s="23"/>
      <c r="L2250" s="23"/>
      <c r="M2250" s="23"/>
      <c r="N2250" s="23"/>
      <c r="O2250" s="23"/>
      <c r="P2250" s="23"/>
      <c r="Q2250" s="23"/>
      <c r="R2250" s="23"/>
      <c r="S2250" s="23"/>
      <c r="T2250" s="23"/>
    </row>
    <row r="2251" spans="1:20" x14ac:dyDescent="0.35">
      <c r="A2251" s="23"/>
      <c r="B2251" s="23"/>
      <c r="C2251" s="23"/>
      <c r="D2251" s="23"/>
      <c r="E2251" s="23"/>
      <c r="F2251" s="23"/>
      <c r="G2251" s="23"/>
      <c r="H2251" s="23"/>
      <c r="I2251" s="23"/>
      <c r="J2251" s="23"/>
      <c r="K2251" s="23"/>
      <c r="L2251" s="23"/>
      <c r="M2251" s="23"/>
      <c r="N2251" s="23"/>
      <c r="O2251" s="23"/>
      <c r="P2251" s="23"/>
      <c r="Q2251" s="23"/>
      <c r="R2251" s="23"/>
      <c r="S2251" s="23"/>
      <c r="T2251" s="23"/>
    </row>
    <row r="2252" spans="1:20" x14ac:dyDescent="0.35">
      <c r="A2252" s="23"/>
      <c r="B2252" s="23"/>
      <c r="C2252" s="23"/>
      <c r="D2252" s="23"/>
      <c r="E2252" s="23"/>
      <c r="F2252" s="23"/>
      <c r="G2252" s="23"/>
      <c r="H2252" s="23"/>
      <c r="I2252" s="23"/>
      <c r="J2252" s="23"/>
      <c r="K2252" s="23"/>
      <c r="L2252" s="23"/>
      <c r="M2252" s="23"/>
      <c r="N2252" s="23"/>
      <c r="O2252" s="23"/>
      <c r="P2252" s="23"/>
      <c r="Q2252" s="23"/>
      <c r="R2252" s="23"/>
      <c r="S2252" s="23"/>
      <c r="T2252" s="23"/>
    </row>
    <row r="2253" spans="1:20" x14ac:dyDescent="0.35">
      <c r="A2253" s="23"/>
      <c r="B2253" s="23"/>
      <c r="C2253" s="23"/>
      <c r="D2253" s="23"/>
      <c r="E2253" s="23"/>
      <c r="F2253" s="23"/>
      <c r="G2253" s="23"/>
      <c r="H2253" s="23"/>
      <c r="I2253" s="23"/>
      <c r="J2253" s="23"/>
      <c r="K2253" s="23"/>
      <c r="L2253" s="23"/>
      <c r="M2253" s="23"/>
      <c r="N2253" s="23"/>
      <c r="O2253" s="23"/>
      <c r="P2253" s="23"/>
      <c r="Q2253" s="23"/>
      <c r="R2253" s="23"/>
      <c r="S2253" s="23"/>
      <c r="T2253" s="23"/>
    </row>
    <row r="2254" spans="1:20" x14ac:dyDescent="0.35">
      <c r="A2254" s="23"/>
      <c r="B2254" s="23"/>
      <c r="C2254" s="23"/>
      <c r="D2254" s="23"/>
      <c r="E2254" s="23"/>
      <c r="F2254" s="23"/>
      <c r="G2254" s="23"/>
      <c r="H2254" s="23"/>
      <c r="I2254" s="23"/>
      <c r="J2254" s="23"/>
      <c r="K2254" s="23"/>
      <c r="L2254" s="23"/>
      <c r="M2254" s="23"/>
      <c r="N2254" s="23"/>
      <c r="O2254" s="23"/>
      <c r="P2254" s="23"/>
      <c r="Q2254" s="23"/>
      <c r="R2254" s="23"/>
      <c r="S2254" s="23"/>
      <c r="T2254" s="23"/>
    </row>
    <row r="2255" spans="1:20" x14ac:dyDescent="0.35">
      <c r="A2255" s="23"/>
      <c r="B2255" s="23"/>
      <c r="C2255" s="23"/>
      <c r="D2255" s="23"/>
      <c r="E2255" s="23"/>
      <c r="F2255" s="23"/>
      <c r="G2255" s="23"/>
      <c r="H2255" s="23"/>
      <c r="I2255" s="23"/>
      <c r="J2255" s="23"/>
      <c r="K2255" s="23"/>
      <c r="L2255" s="23"/>
      <c r="M2255" s="23"/>
      <c r="N2255" s="23"/>
      <c r="O2255" s="23"/>
      <c r="P2255" s="23"/>
      <c r="Q2255" s="23"/>
      <c r="R2255" s="23"/>
      <c r="S2255" s="23"/>
      <c r="T2255" s="23"/>
    </row>
    <row r="2256" spans="1:20" x14ac:dyDescent="0.35">
      <c r="A2256" s="23"/>
      <c r="B2256" s="23"/>
      <c r="C2256" s="23"/>
      <c r="D2256" s="23"/>
      <c r="E2256" s="23"/>
      <c r="F2256" s="23"/>
      <c r="G2256" s="23"/>
      <c r="H2256" s="23"/>
      <c r="I2256" s="23"/>
      <c r="J2256" s="23"/>
      <c r="K2256" s="23"/>
      <c r="L2256" s="23"/>
      <c r="M2256" s="23"/>
      <c r="N2256" s="23"/>
      <c r="O2256" s="23"/>
      <c r="P2256" s="23"/>
      <c r="Q2256" s="23"/>
      <c r="R2256" s="23"/>
      <c r="S2256" s="23"/>
      <c r="T2256" s="23"/>
    </row>
    <row r="2257" spans="1:20" x14ac:dyDescent="0.35">
      <c r="A2257" s="23"/>
      <c r="B2257" s="23"/>
      <c r="C2257" s="23"/>
      <c r="D2257" s="23"/>
      <c r="E2257" s="23"/>
      <c r="F2257" s="23"/>
      <c r="G2257" s="23"/>
      <c r="H2257" s="23"/>
      <c r="I2257" s="23"/>
      <c r="J2257" s="23"/>
      <c r="K2257" s="23"/>
      <c r="L2257" s="23"/>
      <c r="M2257" s="23"/>
      <c r="N2257" s="23"/>
      <c r="O2257" s="23"/>
      <c r="P2257" s="23"/>
      <c r="Q2257" s="23"/>
      <c r="R2257" s="23"/>
      <c r="S2257" s="23"/>
      <c r="T2257" s="23"/>
    </row>
    <row r="2258" spans="1:20" x14ac:dyDescent="0.35">
      <c r="A2258" s="23"/>
      <c r="B2258" s="23"/>
      <c r="C2258" s="23"/>
      <c r="D2258" s="23"/>
      <c r="E2258" s="23"/>
      <c r="F2258" s="23"/>
      <c r="G2258" s="23"/>
      <c r="H2258" s="23"/>
      <c r="I2258" s="23"/>
      <c r="J2258" s="23"/>
      <c r="K2258" s="23"/>
      <c r="L2258" s="23"/>
      <c r="M2258" s="23"/>
      <c r="N2258" s="23"/>
      <c r="O2258" s="23"/>
      <c r="P2258" s="23"/>
      <c r="Q2258" s="23"/>
      <c r="R2258" s="23"/>
      <c r="S2258" s="23"/>
      <c r="T2258" s="23"/>
    </row>
    <row r="2259" spans="1:20" x14ac:dyDescent="0.35">
      <c r="A2259" s="23"/>
      <c r="B2259" s="23"/>
      <c r="C2259" s="23"/>
      <c r="D2259" s="23"/>
      <c r="E2259" s="23"/>
      <c r="F2259" s="23"/>
      <c r="G2259" s="23"/>
      <c r="H2259" s="23"/>
      <c r="I2259" s="23"/>
      <c r="J2259" s="23"/>
      <c r="K2259" s="23"/>
      <c r="L2259" s="23"/>
      <c r="M2259" s="23"/>
      <c r="N2259" s="23"/>
      <c r="O2259" s="23"/>
      <c r="P2259" s="23"/>
      <c r="Q2259" s="23"/>
      <c r="R2259" s="23"/>
      <c r="S2259" s="23"/>
      <c r="T2259" s="23"/>
    </row>
    <row r="2260" spans="1:20" x14ac:dyDescent="0.35">
      <c r="A2260" s="23"/>
      <c r="B2260" s="23"/>
      <c r="C2260" s="23"/>
      <c r="D2260" s="23"/>
      <c r="E2260" s="23"/>
      <c r="F2260" s="23"/>
      <c r="G2260" s="23"/>
      <c r="H2260" s="23"/>
      <c r="I2260" s="23"/>
      <c r="J2260" s="23"/>
      <c r="K2260" s="23"/>
      <c r="L2260" s="23"/>
      <c r="M2260" s="23"/>
      <c r="N2260" s="23"/>
      <c r="O2260" s="23"/>
      <c r="P2260" s="23"/>
      <c r="Q2260" s="23"/>
      <c r="R2260" s="23"/>
      <c r="S2260" s="23"/>
      <c r="T2260" s="23"/>
    </row>
    <row r="2261" spans="1:20" x14ac:dyDescent="0.35">
      <c r="A2261" s="23"/>
      <c r="B2261" s="23"/>
      <c r="C2261" s="23"/>
      <c r="D2261" s="23"/>
      <c r="E2261" s="23"/>
      <c r="F2261" s="23"/>
      <c r="G2261" s="23"/>
      <c r="H2261" s="23"/>
      <c r="I2261" s="23"/>
      <c r="J2261" s="23"/>
      <c r="K2261" s="23"/>
      <c r="L2261" s="23"/>
      <c r="M2261" s="23"/>
      <c r="N2261" s="23"/>
      <c r="O2261" s="23"/>
      <c r="P2261" s="23"/>
      <c r="Q2261" s="23"/>
      <c r="R2261" s="23"/>
      <c r="S2261" s="23"/>
      <c r="T2261" s="23"/>
    </row>
    <row r="2262" spans="1:20" x14ac:dyDescent="0.35">
      <c r="A2262" s="23"/>
      <c r="B2262" s="23"/>
      <c r="C2262" s="23"/>
      <c r="D2262" s="23"/>
      <c r="E2262" s="23"/>
      <c r="F2262" s="23"/>
      <c r="G2262" s="23"/>
      <c r="H2262" s="23"/>
      <c r="I2262" s="23"/>
      <c r="J2262" s="23"/>
      <c r="K2262" s="23"/>
      <c r="L2262" s="23"/>
      <c r="M2262" s="23"/>
      <c r="N2262" s="23"/>
      <c r="O2262" s="23"/>
      <c r="P2262" s="23"/>
      <c r="Q2262" s="23"/>
      <c r="R2262" s="23"/>
      <c r="S2262" s="23"/>
      <c r="T2262" s="23"/>
    </row>
    <row r="2263" spans="1:20" x14ac:dyDescent="0.35">
      <c r="A2263" s="23"/>
      <c r="B2263" s="23"/>
      <c r="C2263" s="23"/>
      <c r="D2263" s="23"/>
      <c r="E2263" s="23"/>
      <c r="F2263" s="23"/>
      <c r="G2263" s="23"/>
      <c r="H2263" s="23"/>
      <c r="I2263" s="23"/>
      <c r="J2263" s="23"/>
      <c r="K2263" s="23"/>
      <c r="L2263" s="23"/>
      <c r="M2263" s="23"/>
      <c r="N2263" s="23"/>
      <c r="O2263" s="23"/>
      <c r="P2263" s="23"/>
      <c r="Q2263" s="23"/>
      <c r="R2263" s="23"/>
      <c r="S2263" s="23"/>
      <c r="T2263" s="23"/>
    </row>
    <row r="2264" spans="1:20" x14ac:dyDescent="0.35">
      <c r="A2264" s="23"/>
      <c r="B2264" s="23"/>
      <c r="C2264" s="23"/>
      <c r="D2264" s="23"/>
      <c r="E2264" s="23"/>
      <c r="F2264" s="23"/>
      <c r="G2264" s="23"/>
      <c r="H2264" s="23"/>
      <c r="I2264" s="23"/>
      <c r="J2264" s="23"/>
      <c r="K2264" s="23"/>
      <c r="L2264" s="23"/>
      <c r="M2264" s="23"/>
      <c r="N2264" s="23"/>
      <c r="O2264" s="23"/>
      <c r="P2264" s="23"/>
      <c r="Q2264" s="23"/>
      <c r="R2264" s="23"/>
      <c r="S2264" s="23"/>
      <c r="T2264" s="23"/>
    </row>
    <row r="2265" spans="1:20" x14ac:dyDescent="0.35">
      <c r="A2265" s="23"/>
      <c r="B2265" s="23"/>
      <c r="C2265" s="23"/>
      <c r="D2265" s="23"/>
      <c r="E2265" s="23"/>
      <c r="F2265" s="23"/>
      <c r="G2265" s="23"/>
      <c r="H2265" s="23"/>
      <c r="I2265" s="23"/>
      <c r="J2265" s="23"/>
      <c r="K2265" s="23"/>
      <c r="L2265" s="23"/>
      <c r="M2265" s="23"/>
      <c r="N2265" s="23"/>
      <c r="O2265" s="23"/>
      <c r="P2265" s="23"/>
      <c r="Q2265" s="23"/>
      <c r="R2265" s="23"/>
      <c r="S2265" s="23"/>
      <c r="T2265" s="23"/>
    </row>
    <row r="2266" spans="1:20" x14ac:dyDescent="0.35">
      <c r="A2266" s="23"/>
      <c r="B2266" s="23"/>
      <c r="C2266" s="23"/>
      <c r="D2266" s="23"/>
      <c r="E2266" s="23"/>
      <c r="F2266" s="23"/>
      <c r="G2266" s="23"/>
      <c r="H2266" s="23"/>
      <c r="I2266" s="23"/>
      <c r="J2266" s="23"/>
      <c r="K2266" s="23"/>
      <c r="L2266" s="23"/>
      <c r="M2266" s="23"/>
      <c r="N2266" s="23"/>
      <c r="O2266" s="23"/>
      <c r="P2266" s="23"/>
      <c r="Q2266" s="23"/>
      <c r="R2266" s="23"/>
      <c r="S2266" s="23"/>
      <c r="T2266" s="23"/>
    </row>
    <row r="2267" spans="1:20" x14ac:dyDescent="0.35">
      <c r="A2267" s="23"/>
      <c r="B2267" s="23"/>
      <c r="C2267" s="23"/>
      <c r="D2267" s="23"/>
      <c r="E2267" s="23"/>
      <c r="F2267" s="23"/>
      <c r="G2267" s="23"/>
      <c r="H2267" s="23"/>
      <c r="I2267" s="23"/>
      <c r="J2267" s="23"/>
      <c r="K2267" s="23"/>
      <c r="L2267" s="23"/>
      <c r="M2267" s="23"/>
      <c r="N2267" s="23"/>
      <c r="O2267" s="23"/>
      <c r="P2267" s="23"/>
      <c r="Q2267" s="23"/>
      <c r="R2267" s="23"/>
      <c r="S2267" s="23"/>
      <c r="T2267" s="23"/>
    </row>
    <row r="2268" spans="1:20" x14ac:dyDescent="0.35">
      <c r="A2268" s="23"/>
      <c r="B2268" s="23"/>
      <c r="C2268" s="23"/>
      <c r="D2268" s="23"/>
      <c r="E2268" s="23"/>
      <c r="F2268" s="23"/>
      <c r="G2268" s="23"/>
      <c r="H2268" s="23"/>
      <c r="I2268" s="23"/>
      <c r="J2268" s="23"/>
      <c r="K2268" s="23"/>
      <c r="L2268" s="23"/>
      <c r="M2268" s="23"/>
      <c r="N2268" s="23"/>
      <c r="O2268" s="23"/>
      <c r="P2268" s="23"/>
      <c r="Q2268" s="23"/>
      <c r="R2268" s="23"/>
      <c r="S2268" s="23"/>
      <c r="T2268" s="23"/>
    </row>
    <row r="2269" spans="1:20" x14ac:dyDescent="0.35">
      <c r="A2269" s="23"/>
      <c r="B2269" s="23"/>
      <c r="C2269" s="23"/>
      <c r="D2269" s="23"/>
      <c r="E2269" s="23"/>
      <c r="F2269" s="23"/>
      <c r="G2269" s="23"/>
      <c r="H2269" s="23"/>
      <c r="I2269" s="23"/>
      <c r="J2269" s="23"/>
      <c r="K2269" s="23"/>
      <c r="L2269" s="23"/>
      <c r="M2269" s="23"/>
      <c r="N2269" s="23"/>
      <c r="O2269" s="23"/>
      <c r="P2269" s="23"/>
      <c r="Q2269" s="23"/>
      <c r="R2269" s="23"/>
      <c r="S2269" s="23"/>
      <c r="T2269" s="23"/>
    </row>
    <row r="2270" spans="1:20" x14ac:dyDescent="0.35">
      <c r="A2270" s="23"/>
      <c r="B2270" s="23"/>
      <c r="C2270" s="23"/>
      <c r="D2270" s="23"/>
      <c r="E2270" s="23"/>
      <c r="F2270" s="23"/>
      <c r="G2270" s="23"/>
      <c r="H2270" s="23"/>
      <c r="I2270" s="23"/>
      <c r="J2270" s="23"/>
      <c r="K2270" s="23"/>
      <c r="L2270" s="23"/>
      <c r="M2270" s="23"/>
      <c r="N2270" s="23"/>
      <c r="O2270" s="23"/>
      <c r="P2270" s="23"/>
      <c r="Q2270" s="23"/>
      <c r="R2270" s="23"/>
      <c r="S2270" s="23"/>
      <c r="T2270" s="23"/>
    </row>
    <row r="2271" spans="1:20" x14ac:dyDescent="0.35">
      <c r="A2271" s="23"/>
      <c r="B2271" s="23"/>
      <c r="C2271" s="23"/>
      <c r="D2271" s="23"/>
      <c r="E2271" s="23"/>
      <c r="F2271" s="23"/>
      <c r="G2271" s="23"/>
      <c r="H2271" s="23"/>
      <c r="I2271" s="23"/>
      <c r="J2271" s="23"/>
      <c r="K2271" s="23"/>
      <c r="L2271" s="23"/>
      <c r="M2271" s="23"/>
      <c r="N2271" s="23"/>
      <c r="O2271" s="23"/>
      <c r="P2271" s="23"/>
      <c r="Q2271" s="23"/>
      <c r="R2271" s="23"/>
      <c r="S2271" s="23"/>
      <c r="T2271" s="23"/>
    </row>
    <row r="2272" spans="1:20" x14ac:dyDescent="0.35">
      <c r="A2272" s="23"/>
      <c r="B2272" s="23"/>
      <c r="C2272" s="23"/>
      <c r="D2272" s="23"/>
      <c r="E2272" s="23"/>
      <c r="F2272" s="23"/>
      <c r="G2272" s="23"/>
      <c r="H2272" s="23"/>
      <c r="I2272" s="23"/>
      <c r="J2272" s="23"/>
      <c r="K2272" s="23"/>
      <c r="L2272" s="23"/>
      <c r="M2272" s="23"/>
      <c r="N2272" s="23"/>
      <c r="O2272" s="23"/>
      <c r="P2272" s="23"/>
      <c r="Q2272" s="23"/>
      <c r="R2272" s="23"/>
      <c r="S2272" s="23"/>
      <c r="T2272" s="23"/>
    </row>
    <row r="2273" spans="1:20" x14ac:dyDescent="0.35">
      <c r="A2273" s="23"/>
      <c r="B2273" s="23"/>
      <c r="C2273" s="23"/>
      <c r="D2273" s="23"/>
      <c r="E2273" s="23"/>
      <c r="F2273" s="23"/>
      <c r="G2273" s="23"/>
      <c r="H2273" s="23"/>
      <c r="I2273" s="23"/>
      <c r="J2273" s="23"/>
      <c r="K2273" s="23"/>
      <c r="L2273" s="23"/>
      <c r="M2273" s="23"/>
      <c r="N2273" s="23"/>
      <c r="O2273" s="23"/>
      <c r="P2273" s="23"/>
      <c r="Q2273" s="23"/>
      <c r="R2273" s="23"/>
      <c r="S2273" s="23"/>
      <c r="T2273" s="23"/>
    </row>
    <row r="2274" spans="1:20" x14ac:dyDescent="0.35">
      <c r="A2274" s="23"/>
      <c r="B2274" s="23"/>
      <c r="C2274" s="23"/>
      <c r="D2274" s="23"/>
      <c r="E2274" s="23"/>
      <c r="F2274" s="23"/>
      <c r="G2274" s="23"/>
      <c r="H2274" s="23"/>
      <c r="I2274" s="23"/>
      <c r="J2274" s="23"/>
      <c r="K2274" s="23"/>
      <c r="L2274" s="23"/>
      <c r="M2274" s="23"/>
      <c r="N2274" s="23"/>
      <c r="O2274" s="23"/>
      <c r="P2274" s="23"/>
      <c r="Q2274" s="23"/>
      <c r="R2274" s="23"/>
      <c r="S2274" s="23"/>
      <c r="T2274" s="23"/>
    </row>
    <row r="2275" spans="1:20" x14ac:dyDescent="0.35">
      <c r="A2275" s="23"/>
      <c r="B2275" s="23"/>
      <c r="C2275" s="23"/>
      <c r="D2275" s="23"/>
      <c r="E2275" s="23"/>
      <c r="F2275" s="23"/>
      <c r="G2275" s="23"/>
      <c r="H2275" s="23"/>
      <c r="I2275" s="23"/>
      <c r="J2275" s="23"/>
      <c r="K2275" s="23"/>
      <c r="L2275" s="23"/>
      <c r="M2275" s="23"/>
      <c r="N2275" s="23"/>
      <c r="O2275" s="23"/>
      <c r="P2275" s="23"/>
      <c r="Q2275" s="23"/>
      <c r="R2275" s="23"/>
      <c r="S2275" s="23"/>
      <c r="T2275" s="23"/>
    </row>
    <row r="2276" spans="1:20" x14ac:dyDescent="0.35">
      <c r="A2276" s="23"/>
      <c r="B2276" s="23"/>
      <c r="C2276" s="23"/>
      <c r="D2276" s="23"/>
      <c r="E2276" s="23"/>
      <c r="F2276" s="23"/>
      <c r="G2276" s="23"/>
      <c r="H2276" s="23"/>
      <c r="I2276" s="23"/>
      <c r="J2276" s="23"/>
      <c r="K2276" s="23"/>
      <c r="L2276" s="23"/>
      <c r="M2276" s="23"/>
      <c r="N2276" s="23"/>
      <c r="O2276" s="23"/>
      <c r="P2276" s="23"/>
      <c r="Q2276" s="23"/>
      <c r="R2276" s="23"/>
      <c r="S2276" s="23"/>
      <c r="T2276" s="23"/>
    </row>
    <row r="2277" spans="1:20" x14ac:dyDescent="0.35">
      <c r="A2277" s="23"/>
      <c r="B2277" s="23"/>
      <c r="C2277" s="23"/>
      <c r="D2277" s="23"/>
      <c r="E2277" s="23"/>
      <c r="F2277" s="23"/>
      <c r="G2277" s="23"/>
      <c r="H2277" s="23"/>
      <c r="I2277" s="23"/>
      <c r="J2277" s="23"/>
      <c r="K2277" s="23"/>
      <c r="L2277" s="23"/>
      <c r="M2277" s="23"/>
      <c r="N2277" s="23"/>
      <c r="O2277" s="23"/>
      <c r="P2277" s="23"/>
      <c r="Q2277" s="23"/>
      <c r="R2277" s="23"/>
      <c r="S2277" s="23"/>
      <c r="T2277" s="23"/>
    </row>
    <row r="2278" spans="1:20" x14ac:dyDescent="0.35">
      <c r="A2278" s="23"/>
      <c r="B2278" s="23"/>
      <c r="C2278" s="23"/>
      <c r="D2278" s="23"/>
      <c r="E2278" s="23"/>
      <c r="F2278" s="23"/>
      <c r="G2278" s="23"/>
      <c r="H2278" s="23"/>
      <c r="I2278" s="23"/>
      <c r="J2278" s="23"/>
      <c r="K2278" s="23"/>
      <c r="L2278" s="23"/>
      <c r="M2278" s="23"/>
      <c r="N2278" s="23"/>
      <c r="O2278" s="23"/>
      <c r="P2278" s="23"/>
      <c r="Q2278" s="23"/>
      <c r="R2278" s="23"/>
      <c r="S2278" s="23"/>
      <c r="T2278" s="23"/>
    </row>
    <row r="2279" spans="1:20" x14ac:dyDescent="0.35">
      <c r="A2279" s="23"/>
      <c r="B2279" s="23"/>
      <c r="C2279" s="23"/>
      <c r="D2279" s="23"/>
      <c r="E2279" s="23"/>
      <c r="F2279" s="23"/>
      <c r="G2279" s="23"/>
      <c r="H2279" s="23"/>
      <c r="I2279" s="23"/>
      <c r="J2279" s="23"/>
      <c r="K2279" s="23"/>
      <c r="L2279" s="23"/>
      <c r="M2279" s="23"/>
      <c r="N2279" s="23"/>
      <c r="O2279" s="23"/>
      <c r="P2279" s="23"/>
      <c r="Q2279" s="23"/>
      <c r="R2279" s="23"/>
      <c r="S2279" s="23"/>
      <c r="T2279" s="23"/>
    </row>
    <row r="2280" spans="1:20" x14ac:dyDescent="0.35">
      <c r="A2280" s="23"/>
      <c r="B2280" s="23"/>
      <c r="C2280" s="23"/>
      <c r="D2280" s="23"/>
      <c r="E2280" s="23"/>
      <c r="F2280" s="23"/>
      <c r="G2280" s="23"/>
      <c r="H2280" s="23"/>
      <c r="I2280" s="23"/>
      <c r="J2280" s="23"/>
      <c r="K2280" s="23"/>
      <c r="L2280" s="23"/>
      <c r="M2280" s="23"/>
      <c r="N2280" s="23"/>
      <c r="O2280" s="23"/>
      <c r="P2280" s="23"/>
      <c r="Q2280" s="23"/>
      <c r="R2280" s="23"/>
      <c r="S2280" s="23"/>
      <c r="T2280" s="23"/>
    </row>
    <row r="2281" spans="1:20" x14ac:dyDescent="0.35">
      <c r="A2281" s="23"/>
      <c r="B2281" s="23"/>
      <c r="C2281" s="23"/>
      <c r="D2281" s="23"/>
      <c r="E2281" s="23"/>
      <c r="F2281" s="23"/>
      <c r="G2281" s="23"/>
      <c r="H2281" s="23"/>
      <c r="I2281" s="23"/>
      <c r="J2281" s="23"/>
      <c r="K2281" s="23"/>
      <c r="L2281" s="23"/>
      <c r="M2281" s="23"/>
      <c r="N2281" s="23"/>
      <c r="O2281" s="23"/>
      <c r="P2281" s="23"/>
      <c r="Q2281" s="23"/>
      <c r="R2281" s="23"/>
      <c r="S2281" s="23"/>
      <c r="T2281" s="23"/>
    </row>
    <row r="2282" spans="1:20" x14ac:dyDescent="0.35">
      <c r="A2282" s="23"/>
      <c r="B2282" s="23"/>
      <c r="C2282" s="23"/>
      <c r="D2282" s="23"/>
      <c r="E2282" s="23"/>
      <c r="F2282" s="23"/>
      <c r="G2282" s="23"/>
      <c r="H2282" s="23"/>
      <c r="I2282" s="23"/>
      <c r="J2282" s="23"/>
      <c r="K2282" s="23"/>
      <c r="L2282" s="23"/>
      <c r="M2282" s="23"/>
      <c r="N2282" s="23"/>
      <c r="O2282" s="23"/>
      <c r="P2282" s="23"/>
      <c r="Q2282" s="23"/>
      <c r="R2282" s="23"/>
      <c r="S2282" s="23"/>
      <c r="T2282" s="23"/>
    </row>
    <row r="2283" spans="1:20" x14ac:dyDescent="0.35">
      <c r="A2283" s="23"/>
      <c r="B2283" s="23"/>
      <c r="C2283" s="23"/>
      <c r="D2283" s="23"/>
      <c r="E2283" s="23"/>
      <c r="F2283" s="23"/>
      <c r="G2283" s="23"/>
      <c r="H2283" s="23"/>
      <c r="I2283" s="23"/>
      <c r="J2283" s="23"/>
      <c r="K2283" s="23"/>
      <c r="L2283" s="23"/>
      <c r="M2283" s="23"/>
      <c r="N2283" s="23"/>
      <c r="O2283" s="23"/>
      <c r="P2283" s="23"/>
      <c r="Q2283" s="23"/>
      <c r="R2283" s="23"/>
      <c r="S2283" s="23"/>
      <c r="T2283" s="23"/>
    </row>
    <row r="2284" spans="1:20" x14ac:dyDescent="0.35">
      <c r="A2284" s="23"/>
      <c r="B2284" s="23"/>
      <c r="C2284" s="23"/>
      <c r="D2284" s="23"/>
      <c r="E2284" s="23"/>
      <c r="F2284" s="23"/>
      <c r="G2284" s="23"/>
      <c r="H2284" s="23"/>
      <c r="I2284" s="23"/>
      <c r="J2284" s="23"/>
      <c r="K2284" s="23"/>
      <c r="L2284" s="23"/>
      <c r="M2284" s="23"/>
      <c r="N2284" s="23"/>
      <c r="O2284" s="23"/>
      <c r="P2284" s="23"/>
      <c r="Q2284" s="23"/>
      <c r="R2284" s="23"/>
      <c r="S2284" s="23"/>
      <c r="T2284" s="23"/>
    </row>
    <row r="2285" spans="1:20" x14ac:dyDescent="0.35">
      <c r="A2285" s="23"/>
      <c r="B2285" s="23"/>
      <c r="C2285" s="23"/>
      <c r="D2285" s="23"/>
      <c r="E2285" s="23"/>
      <c r="F2285" s="23"/>
      <c r="G2285" s="23"/>
      <c r="H2285" s="23"/>
      <c r="I2285" s="23"/>
      <c r="J2285" s="23"/>
      <c r="K2285" s="23"/>
      <c r="L2285" s="23"/>
      <c r="M2285" s="23"/>
      <c r="N2285" s="23"/>
      <c r="O2285" s="23"/>
      <c r="P2285" s="23"/>
      <c r="Q2285" s="23"/>
      <c r="R2285" s="23"/>
      <c r="S2285" s="23"/>
      <c r="T2285" s="23"/>
    </row>
    <row r="2286" spans="1:20" x14ac:dyDescent="0.35">
      <c r="A2286" s="23"/>
      <c r="B2286" s="23"/>
      <c r="C2286" s="23"/>
      <c r="D2286" s="23"/>
      <c r="E2286" s="23"/>
      <c r="F2286" s="23"/>
      <c r="G2286" s="23"/>
      <c r="H2286" s="23"/>
      <c r="I2286" s="23"/>
      <c r="J2286" s="23"/>
      <c r="K2286" s="23"/>
      <c r="L2286" s="23"/>
      <c r="M2286" s="23"/>
      <c r="N2286" s="23"/>
      <c r="O2286" s="23"/>
      <c r="P2286" s="23"/>
      <c r="Q2286" s="23"/>
      <c r="R2286" s="23"/>
      <c r="S2286" s="23"/>
      <c r="T2286" s="23"/>
    </row>
    <row r="2287" spans="1:20" x14ac:dyDescent="0.35">
      <c r="A2287" s="23"/>
      <c r="B2287" s="23"/>
      <c r="C2287" s="23"/>
      <c r="D2287" s="23"/>
      <c r="E2287" s="23"/>
      <c r="F2287" s="23"/>
      <c r="G2287" s="23"/>
      <c r="H2287" s="23"/>
      <c r="I2287" s="23"/>
      <c r="J2287" s="23"/>
      <c r="K2287" s="23"/>
      <c r="L2287" s="23"/>
      <c r="M2287" s="23"/>
      <c r="N2287" s="23"/>
      <c r="O2287" s="23"/>
      <c r="P2287" s="23"/>
      <c r="Q2287" s="23"/>
      <c r="R2287" s="23"/>
      <c r="S2287" s="23"/>
      <c r="T2287" s="23"/>
    </row>
    <row r="2288" spans="1:20" x14ac:dyDescent="0.35">
      <c r="A2288" s="23"/>
      <c r="B2288" s="23"/>
      <c r="C2288" s="23"/>
      <c r="D2288" s="23"/>
      <c r="E2288" s="23"/>
      <c r="F2288" s="23"/>
      <c r="G2288" s="23"/>
      <c r="H2288" s="23"/>
      <c r="I2288" s="23"/>
      <c r="J2288" s="23"/>
      <c r="K2288" s="23"/>
      <c r="L2288" s="23"/>
      <c r="M2288" s="23"/>
      <c r="N2288" s="23"/>
      <c r="O2288" s="23"/>
      <c r="P2288" s="23"/>
      <c r="Q2288" s="23"/>
      <c r="R2288" s="23"/>
      <c r="S2288" s="23"/>
      <c r="T2288" s="23"/>
    </row>
    <row r="2289" spans="1:20" x14ac:dyDescent="0.35">
      <c r="A2289" s="23"/>
      <c r="B2289" s="23"/>
      <c r="C2289" s="23"/>
      <c r="D2289" s="23"/>
      <c r="E2289" s="23"/>
      <c r="F2289" s="23"/>
      <c r="G2289" s="23"/>
      <c r="H2289" s="23"/>
      <c r="I2289" s="23"/>
      <c r="J2289" s="23"/>
      <c r="K2289" s="23"/>
      <c r="L2289" s="23"/>
      <c r="M2289" s="23"/>
      <c r="N2289" s="23"/>
      <c r="O2289" s="23"/>
      <c r="P2289" s="23"/>
      <c r="Q2289" s="23"/>
      <c r="R2289" s="23"/>
      <c r="S2289" s="23"/>
      <c r="T2289" s="23"/>
    </row>
    <row r="2290" spans="1:20" x14ac:dyDescent="0.35">
      <c r="A2290" s="23"/>
      <c r="B2290" s="23"/>
      <c r="C2290" s="23"/>
      <c r="D2290" s="23"/>
      <c r="E2290" s="23"/>
      <c r="F2290" s="23"/>
      <c r="G2290" s="23"/>
      <c r="H2290" s="23"/>
      <c r="I2290" s="23"/>
      <c r="J2290" s="23"/>
      <c r="K2290" s="23"/>
      <c r="L2290" s="23"/>
      <c r="M2290" s="23"/>
      <c r="N2290" s="23"/>
      <c r="O2290" s="23"/>
      <c r="P2290" s="23"/>
      <c r="Q2290" s="23"/>
      <c r="R2290" s="23"/>
      <c r="S2290" s="23"/>
      <c r="T2290" s="23"/>
    </row>
    <row r="2291" spans="1:20" x14ac:dyDescent="0.35">
      <c r="A2291" s="23"/>
      <c r="B2291" s="23"/>
      <c r="C2291" s="23"/>
      <c r="D2291" s="23"/>
      <c r="E2291" s="23"/>
      <c r="F2291" s="23"/>
      <c r="G2291" s="23"/>
      <c r="H2291" s="23"/>
      <c r="I2291" s="23"/>
      <c r="J2291" s="23"/>
      <c r="K2291" s="23"/>
      <c r="L2291" s="23"/>
      <c r="M2291" s="23"/>
      <c r="N2291" s="23"/>
      <c r="O2291" s="23"/>
      <c r="P2291" s="23"/>
      <c r="Q2291" s="23"/>
      <c r="R2291" s="23"/>
      <c r="S2291" s="23"/>
      <c r="T2291" s="23"/>
    </row>
    <row r="2292" spans="1:20" x14ac:dyDescent="0.35">
      <c r="A2292" s="23"/>
      <c r="B2292" s="23"/>
      <c r="C2292" s="23"/>
      <c r="D2292" s="23"/>
      <c r="E2292" s="23"/>
      <c r="F2292" s="23"/>
      <c r="G2292" s="23"/>
      <c r="H2292" s="23"/>
      <c r="I2292" s="23"/>
      <c r="J2292" s="23"/>
      <c r="K2292" s="23"/>
      <c r="L2292" s="23"/>
      <c r="M2292" s="23"/>
      <c r="N2292" s="23"/>
      <c r="O2292" s="23"/>
      <c r="P2292" s="23"/>
      <c r="Q2292" s="23"/>
      <c r="R2292" s="23"/>
      <c r="S2292" s="23"/>
      <c r="T2292" s="23"/>
    </row>
    <row r="2293" spans="1:20" x14ac:dyDescent="0.35">
      <c r="A2293" s="23"/>
      <c r="B2293" s="23"/>
      <c r="C2293" s="23"/>
      <c r="D2293" s="23"/>
      <c r="E2293" s="23"/>
      <c r="F2293" s="23"/>
      <c r="G2293" s="23"/>
      <c r="H2293" s="23"/>
      <c r="I2293" s="23"/>
      <c r="J2293" s="23"/>
      <c r="K2293" s="23"/>
      <c r="L2293" s="23"/>
      <c r="M2293" s="23"/>
      <c r="N2293" s="23"/>
      <c r="O2293" s="23"/>
      <c r="P2293" s="23"/>
      <c r="Q2293" s="23"/>
      <c r="R2293" s="23"/>
      <c r="S2293" s="23"/>
      <c r="T2293" s="23"/>
    </row>
    <row r="2294" spans="1:20" x14ac:dyDescent="0.35">
      <c r="A2294" s="23"/>
      <c r="B2294" s="23"/>
      <c r="C2294" s="23"/>
      <c r="D2294" s="23"/>
      <c r="E2294" s="23"/>
      <c r="F2294" s="23"/>
      <c r="G2294" s="23"/>
      <c r="H2294" s="23"/>
      <c r="I2294" s="23"/>
      <c r="J2294" s="23"/>
      <c r="K2294" s="23"/>
      <c r="L2294" s="23"/>
      <c r="M2294" s="23"/>
      <c r="N2294" s="23"/>
      <c r="O2294" s="23"/>
      <c r="P2294" s="23"/>
      <c r="Q2294" s="23"/>
      <c r="R2294" s="23"/>
      <c r="S2294" s="23"/>
      <c r="T2294" s="23"/>
    </row>
    <row r="2295" spans="1:20" x14ac:dyDescent="0.35">
      <c r="A2295" s="23"/>
      <c r="B2295" s="23"/>
      <c r="C2295" s="23"/>
      <c r="D2295" s="23"/>
      <c r="E2295" s="23"/>
      <c r="F2295" s="23"/>
      <c r="G2295" s="23"/>
      <c r="H2295" s="23"/>
      <c r="I2295" s="23"/>
      <c r="J2295" s="23"/>
      <c r="K2295" s="23"/>
      <c r="L2295" s="23"/>
      <c r="M2295" s="23"/>
      <c r="N2295" s="23"/>
      <c r="O2295" s="23"/>
      <c r="P2295" s="23"/>
      <c r="Q2295" s="23"/>
      <c r="R2295" s="23"/>
      <c r="S2295" s="23"/>
      <c r="T2295" s="23"/>
    </row>
    <row r="2296" spans="1:20" x14ac:dyDescent="0.35">
      <c r="A2296" s="23"/>
      <c r="B2296" s="23"/>
      <c r="C2296" s="23"/>
      <c r="D2296" s="23"/>
      <c r="E2296" s="23"/>
      <c r="F2296" s="23"/>
      <c r="G2296" s="23"/>
      <c r="H2296" s="23"/>
      <c r="I2296" s="23"/>
      <c r="J2296" s="23"/>
      <c r="K2296" s="23"/>
      <c r="L2296" s="23"/>
      <c r="M2296" s="23"/>
      <c r="N2296" s="23"/>
      <c r="O2296" s="23"/>
      <c r="P2296" s="23"/>
      <c r="Q2296" s="23"/>
      <c r="R2296" s="23"/>
      <c r="S2296" s="23"/>
      <c r="T2296" s="23"/>
    </row>
    <row r="2297" spans="1:20" x14ac:dyDescent="0.35">
      <c r="A2297" s="23"/>
      <c r="B2297" s="23"/>
      <c r="C2297" s="23"/>
      <c r="D2297" s="23"/>
      <c r="E2297" s="23"/>
      <c r="F2297" s="23"/>
      <c r="G2297" s="23"/>
      <c r="H2297" s="23"/>
      <c r="I2297" s="23"/>
      <c r="J2297" s="23"/>
      <c r="K2297" s="23"/>
      <c r="L2297" s="23"/>
      <c r="M2297" s="23"/>
      <c r="N2297" s="23"/>
      <c r="O2297" s="23"/>
      <c r="P2297" s="23"/>
      <c r="Q2297" s="23"/>
      <c r="R2297" s="23"/>
      <c r="S2297" s="23"/>
      <c r="T2297" s="23"/>
    </row>
    <row r="2298" spans="1:20" x14ac:dyDescent="0.35">
      <c r="A2298" s="23"/>
      <c r="B2298" s="23"/>
      <c r="C2298" s="23"/>
      <c r="D2298" s="23"/>
      <c r="E2298" s="23"/>
      <c r="F2298" s="23"/>
      <c r="G2298" s="23"/>
      <c r="H2298" s="23"/>
      <c r="I2298" s="23"/>
      <c r="J2298" s="23"/>
      <c r="K2298" s="23"/>
      <c r="L2298" s="23"/>
      <c r="M2298" s="23"/>
      <c r="N2298" s="23"/>
      <c r="O2298" s="23"/>
      <c r="P2298" s="23"/>
      <c r="Q2298" s="23"/>
      <c r="R2298" s="23"/>
      <c r="S2298" s="23"/>
      <c r="T2298" s="23"/>
    </row>
    <row r="2299" spans="1:20" x14ac:dyDescent="0.35">
      <c r="A2299" s="23"/>
      <c r="B2299" s="23"/>
      <c r="C2299" s="23"/>
      <c r="D2299" s="23"/>
      <c r="E2299" s="23"/>
      <c r="F2299" s="23"/>
      <c r="G2299" s="23"/>
      <c r="H2299" s="23"/>
      <c r="I2299" s="23"/>
      <c r="J2299" s="23"/>
      <c r="K2299" s="23"/>
      <c r="L2299" s="23"/>
      <c r="M2299" s="23"/>
      <c r="N2299" s="23"/>
      <c r="O2299" s="23"/>
      <c r="P2299" s="23"/>
      <c r="Q2299" s="23"/>
      <c r="R2299" s="23"/>
      <c r="S2299" s="23"/>
      <c r="T2299" s="23"/>
    </row>
    <row r="2300" spans="1:20" x14ac:dyDescent="0.35">
      <c r="A2300" s="23"/>
      <c r="B2300" s="23"/>
      <c r="C2300" s="23"/>
      <c r="D2300" s="23"/>
      <c r="E2300" s="23"/>
      <c r="F2300" s="23"/>
      <c r="G2300" s="23"/>
      <c r="H2300" s="23"/>
      <c r="I2300" s="23"/>
      <c r="J2300" s="23"/>
      <c r="K2300" s="23"/>
      <c r="L2300" s="23"/>
      <c r="M2300" s="23"/>
      <c r="N2300" s="23"/>
      <c r="O2300" s="23"/>
      <c r="P2300" s="23"/>
      <c r="Q2300" s="23"/>
      <c r="R2300" s="23"/>
      <c r="S2300" s="23"/>
      <c r="T2300" s="23"/>
    </row>
    <row r="2301" spans="1:20" x14ac:dyDescent="0.35">
      <c r="A2301" s="23"/>
      <c r="B2301" s="23"/>
      <c r="C2301" s="23"/>
      <c r="D2301" s="23"/>
      <c r="E2301" s="23"/>
      <c r="F2301" s="23"/>
      <c r="G2301" s="23"/>
      <c r="H2301" s="23"/>
      <c r="I2301" s="23"/>
      <c r="J2301" s="23"/>
      <c r="K2301" s="23"/>
      <c r="L2301" s="23"/>
      <c r="M2301" s="23"/>
      <c r="N2301" s="23"/>
      <c r="O2301" s="23"/>
      <c r="P2301" s="23"/>
      <c r="Q2301" s="23"/>
      <c r="R2301" s="23"/>
      <c r="S2301" s="23"/>
      <c r="T2301" s="23"/>
    </row>
    <row r="2302" spans="1:20" x14ac:dyDescent="0.35">
      <c r="A2302" s="23"/>
      <c r="B2302" s="23"/>
      <c r="C2302" s="23"/>
      <c r="D2302" s="23"/>
      <c r="E2302" s="23"/>
      <c r="F2302" s="23"/>
      <c r="G2302" s="23"/>
      <c r="H2302" s="23"/>
      <c r="I2302" s="23"/>
      <c r="J2302" s="23"/>
      <c r="K2302" s="23"/>
      <c r="L2302" s="23"/>
      <c r="M2302" s="23"/>
      <c r="N2302" s="23"/>
      <c r="O2302" s="23"/>
      <c r="P2302" s="23"/>
      <c r="Q2302" s="23"/>
      <c r="R2302" s="23"/>
      <c r="S2302" s="23"/>
      <c r="T2302" s="23"/>
    </row>
    <row r="2303" spans="1:20" x14ac:dyDescent="0.35">
      <c r="A2303" s="23"/>
      <c r="B2303" s="23"/>
      <c r="C2303" s="23"/>
      <c r="D2303" s="23"/>
      <c r="E2303" s="23"/>
      <c r="F2303" s="23"/>
      <c r="G2303" s="23"/>
      <c r="H2303" s="23"/>
      <c r="I2303" s="23"/>
      <c r="J2303" s="23"/>
      <c r="K2303" s="23"/>
      <c r="L2303" s="23"/>
      <c r="M2303" s="23"/>
      <c r="N2303" s="23"/>
      <c r="O2303" s="23"/>
      <c r="P2303" s="23"/>
      <c r="Q2303" s="23"/>
      <c r="R2303" s="23"/>
      <c r="S2303" s="23"/>
      <c r="T2303" s="23"/>
    </row>
    <row r="2304" spans="1:20" x14ac:dyDescent="0.35">
      <c r="A2304" s="23"/>
      <c r="B2304" s="23"/>
      <c r="C2304" s="23"/>
      <c r="D2304" s="23"/>
      <c r="E2304" s="23"/>
      <c r="F2304" s="23"/>
      <c r="G2304" s="23"/>
      <c r="H2304" s="23"/>
      <c r="I2304" s="23"/>
      <c r="J2304" s="23"/>
      <c r="K2304" s="23"/>
      <c r="L2304" s="23"/>
      <c r="M2304" s="23"/>
      <c r="N2304" s="23"/>
      <c r="O2304" s="23"/>
      <c r="P2304" s="23"/>
      <c r="Q2304" s="23"/>
      <c r="R2304" s="23"/>
      <c r="S2304" s="23"/>
      <c r="T2304" s="23"/>
    </row>
    <row r="2305" spans="1:20" x14ac:dyDescent="0.35">
      <c r="A2305" s="23"/>
      <c r="B2305" s="23"/>
      <c r="C2305" s="23"/>
      <c r="D2305" s="23"/>
      <c r="E2305" s="23"/>
      <c r="F2305" s="23"/>
      <c r="G2305" s="23"/>
      <c r="H2305" s="23"/>
      <c r="I2305" s="23"/>
      <c r="J2305" s="23"/>
      <c r="K2305" s="23"/>
      <c r="L2305" s="23"/>
      <c r="M2305" s="23"/>
      <c r="N2305" s="23"/>
      <c r="O2305" s="23"/>
      <c r="P2305" s="23"/>
      <c r="Q2305" s="23"/>
      <c r="R2305" s="23"/>
      <c r="S2305" s="23"/>
      <c r="T2305" s="23"/>
    </row>
    <row r="2306" spans="1:20" x14ac:dyDescent="0.35">
      <c r="A2306" s="23"/>
      <c r="B2306" s="23"/>
      <c r="C2306" s="23"/>
      <c r="D2306" s="23"/>
      <c r="E2306" s="23"/>
      <c r="F2306" s="23"/>
      <c r="G2306" s="23"/>
      <c r="H2306" s="23"/>
      <c r="I2306" s="23"/>
      <c r="J2306" s="23"/>
      <c r="K2306" s="23"/>
      <c r="L2306" s="23"/>
      <c r="M2306" s="23"/>
      <c r="N2306" s="23"/>
      <c r="O2306" s="23"/>
      <c r="P2306" s="23"/>
      <c r="Q2306" s="23"/>
      <c r="R2306" s="23"/>
      <c r="S2306" s="23"/>
      <c r="T2306" s="23"/>
    </row>
    <row r="2307" spans="1:20" x14ac:dyDescent="0.35">
      <c r="A2307" s="23"/>
      <c r="B2307" s="23"/>
      <c r="C2307" s="23"/>
      <c r="D2307" s="23"/>
      <c r="E2307" s="23"/>
      <c r="F2307" s="23"/>
      <c r="G2307" s="23"/>
      <c r="H2307" s="23"/>
      <c r="I2307" s="23"/>
      <c r="J2307" s="23"/>
      <c r="K2307" s="23"/>
      <c r="L2307" s="23"/>
      <c r="M2307" s="23"/>
      <c r="N2307" s="23"/>
      <c r="O2307" s="23"/>
      <c r="P2307" s="23"/>
      <c r="Q2307" s="23"/>
      <c r="R2307" s="23"/>
      <c r="S2307" s="23"/>
      <c r="T2307" s="23"/>
    </row>
    <row r="2308" spans="1:20" x14ac:dyDescent="0.35">
      <c r="A2308" s="23"/>
      <c r="B2308" s="23"/>
      <c r="C2308" s="23"/>
      <c r="D2308" s="23"/>
      <c r="E2308" s="23"/>
      <c r="F2308" s="23"/>
      <c r="G2308" s="23"/>
      <c r="H2308" s="23"/>
      <c r="I2308" s="23"/>
      <c r="J2308" s="23"/>
      <c r="K2308" s="23"/>
      <c r="L2308" s="23"/>
      <c r="M2308" s="23"/>
      <c r="N2308" s="23"/>
      <c r="O2308" s="23"/>
      <c r="P2308" s="23"/>
      <c r="Q2308" s="23"/>
      <c r="R2308" s="23"/>
      <c r="S2308" s="23"/>
      <c r="T2308" s="23"/>
    </row>
    <row r="2309" spans="1:20" x14ac:dyDescent="0.35">
      <c r="A2309" s="23"/>
      <c r="B2309" s="23"/>
      <c r="C2309" s="23"/>
      <c r="D2309" s="23"/>
      <c r="E2309" s="23"/>
      <c r="F2309" s="23"/>
      <c r="G2309" s="23"/>
      <c r="H2309" s="23"/>
      <c r="I2309" s="23"/>
      <c r="J2309" s="23"/>
      <c r="K2309" s="23"/>
      <c r="L2309" s="23"/>
      <c r="M2309" s="23"/>
      <c r="N2309" s="23"/>
      <c r="O2309" s="23"/>
      <c r="P2309" s="23"/>
      <c r="Q2309" s="23"/>
      <c r="R2309" s="23"/>
      <c r="S2309" s="23"/>
      <c r="T2309" s="23"/>
    </row>
    <row r="2310" spans="1:20" x14ac:dyDescent="0.35">
      <c r="A2310" s="23"/>
      <c r="B2310" s="23"/>
      <c r="C2310" s="23"/>
      <c r="D2310" s="23"/>
      <c r="E2310" s="23"/>
      <c r="F2310" s="23"/>
      <c r="G2310" s="23"/>
      <c r="H2310" s="23"/>
      <c r="I2310" s="23"/>
      <c r="J2310" s="23"/>
      <c r="K2310" s="23"/>
      <c r="L2310" s="23"/>
      <c r="M2310" s="23"/>
      <c r="N2310" s="23"/>
      <c r="O2310" s="23"/>
      <c r="P2310" s="23"/>
      <c r="Q2310" s="23"/>
      <c r="R2310" s="23"/>
      <c r="S2310" s="23"/>
      <c r="T2310" s="23"/>
    </row>
    <row r="2311" spans="1:20" x14ac:dyDescent="0.35">
      <c r="A2311" s="23"/>
      <c r="B2311" s="23"/>
      <c r="C2311" s="23"/>
      <c r="D2311" s="23"/>
      <c r="E2311" s="23"/>
      <c r="F2311" s="23"/>
      <c r="G2311" s="23"/>
      <c r="H2311" s="23"/>
      <c r="I2311" s="23"/>
      <c r="J2311" s="23"/>
      <c r="K2311" s="23"/>
      <c r="L2311" s="23"/>
      <c r="M2311" s="23"/>
      <c r="N2311" s="23"/>
      <c r="O2311" s="23"/>
      <c r="P2311" s="23"/>
      <c r="Q2311" s="23"/>
      <c r="R2311" s="23"/>
      <c r="S2311" s="23"/>
      <c r="T2311" s="23"/>
    </row>
    <row r="2312" spans="1:20" x14ac:dyDescent="0.35">
      <c r="A2312" s="23"/>
      <c r="B2312" s="23"/>
      <c r="C2312" s="23"/>
      <c r="D2312" s="23"/>
      <c r="E2312" s="23"/>
      <c r="F2312" s="23"/>
      <c r="G2312" s="23"/>
      <c r="H2312" s="23"/>
      <c r="I2312" s="23"/>
      <c r="J2312" s="23"/>
      <c r="K2312" s="23"/>
      <c r="L2312" s="23"/>
      <c r="M2312" s="23"/>
      <c r="N2312" s="23"/>
      <c r="O2312" s="23"/>
      <c r="P2312" s="23"/>
      <c r="Q2312" s="23"/>
      <c r="R2312" s="23"/>
      <c r="S2312" s="23"/>
      <c r="T2312" s="23"/>
    </row>
    <row r="2313" spans="1:20" x14ac:dyDescent="0.35">
      <c r="A2313" s="23"/>
      <c r="B2313" s="23"/>
      <c r="C2313" s="23"/>
      <c r="D2313" s="23"/>
      <c r="E2313" s="23"/>
      <c r="F2313" s="23"/>
      <c r="G2313" s="23"/>
      <c r="H2313" s="23"/>
      <c r="I2313" s="23"/>
      <c r="J2313" s="23"/>
      <c r="K2313" s="23"/>
      <c r="L2313" s="23"/>
      <c r="M2313" s="23"/>
      <c r="N2313" s="23"/>
      <c r="O2313" s="23"/>
      <c r="P2313" s="23"/>
      <c r="Q2313" s="23"/>
      <c r="R2313" s="23"/>
      <c r="S2313" s="23"/>
      <c r="T2313" s="23"/>
    </row>
    <row r="2314" spans="1:20" x14ac:dyDescent="0.35">
      <c r="A2314" s="23"/>
      <c r="B2314" s="23"/>
      <c r="C2314" s="23"/>
      <c r="D2314" s="23"/>
      <c r="E2314" s="23"/>
      <c r="F2314" s="23"/>
      <c r="G2314" s="23"/>
      <c r="H2314" s="23"/>
      <c r="I2314" s="23"/>
      <c r="J2314" s="23"/>
      <c r="K2314" s="23"/>
      <c r="L2314" s="23"/>
      <c r="M2314" s="23"/>
      <c r="N2314" s="23"/>
      <c r="O2314" s="23"/>
      <c r="P2314" s="23"/>
      <c r="Q2314" s="23"/>
      <c r="R2314" s="23"/>
      <c r="S2314" s="23"/>
      <c r="T2314" s="23"/>
    </row>
    <row r="2315" spans="1:20" x14ac:dyDescent="0.35">
      <c r="A2315" s="23"/>
      <c r="B2315" s="23"/>
      <c r="C2315" s="23"/>
      <c r="D2315" s="23"/>
      <c r="E2315" s="23"/>
      <c r="F2315" s="23"/>
      <c r="G2315" s="23"/>
      <c r="H2315" s="23"/>
      <c r="I2315" s="23"/>
      <c r="J2315" s="23"/>
      <c r="K2315" s="23"/>
      <c r="L2315" s="23"/>
      <c r="M2315" s="23"/>
      <c r="N2315" s="23"/>
      <c r="O2315" s="23"/>
      <c r="P2315" s="23"/>
      <c r="Q2315" s="23"/>
      <c r="R2315" s="23"/>
      <c r="S2315" s="23"/>
      <c r="T2315" s="23"/>
    </row>
    <row r="2316" spans="1:20" x14ac:dyDescent="0.35">
      <c r="A2316" s="23"/>
      <c r="B2316" s="23"/>
      <c r="C2316" s="23"/>
      <c r="D2316" s="23"/>
      <c r="E2316" s="23"/>
      <c r="F2316" s="23"/>
      <c r="G2316" s="23"/>
      <c r="H2316" s="23"/>
      <c r="I2316" s="23"/>
      <c r="J2316" s="23"/>
      <c r="K2316" s="23"/>
      <c r="L2316" s="23"/>
      <c r="M2316" s="23"/>
      <c r="N2316" s="23"/>
      <c r="O2316" s="23"/>
      <c r="P2316" s="23"/>
      <c r="Q2316" s="23"/>
      <c r="R2316" s="23"/>
      <c r="S2316" s="23"/>
      <c r="T2316" s="23"/>
    </row>
    <row r="2317" spans="1:20" x14ac:dyDescent="0.35">
      <c r="A2317" s="23"/>
      <c r="B2317" s="23"/>
      <c r="C2317" s="23"/>
      <c r="D2317" s="23"/>
      <c r="E2317" s="23"/>
      <c r="F2317" s="23"/>
      <c r="G2317" s="23"/>
      <c r="H2317" s="23"/>
      <c r="I2317" s="23"/>
      <c r="J2317" s="23"/>
      <c r="K2317" s="23"/>
      <c r="L2317" s="23"/>
      <c r="M2317" s="23"/>
      <c r="N2317" s="23"/>
      <c r="O2317" s="23"/>
      <c r="P2317" s="23"/>
      <c r="Q2317" s="23"/>
      <c r="R2317" s="23"/>
      <c r="S2317" s="23"/>
      <c r="T2317" s="23"/>
    </row>
    <row r="2318" spans="1:20" x14ac:dyDescent="0.35">
      <c r="A2318" s="23"/>
      <c r="B2318" s="23"/>
      <c r="C2318" s="23"/>
      <c r="D2318" s="23"/>
      <c r="E2318" s="23"/>
      <c r="F2318" s="23"/>
      <c r="G2318" s="23"/>
      <c r="H2318" s="23"/>
      <c r="I2318" s="23"/>
      <c r="J2318" s="23"/>
      <c r="K2318" s="23"/>
      <c r="L2318" s="23"/>
      <c r="M2318" s="23"/>
      <c r="N2318" s="23"/>
      <c r="O2318" s="23"/>
      <c r="P2318" s="23"/>
      <c r="Q2318" s="23"/>
      <c r="R2318" s="23"/>
      <c r="S2318" s="23"/>
      <c r="T2318" s="23"/>
    </row>
    <row r="2319" spans="1:20" x14ac:dyDescent="0.35">
      <c r="A2319" s="23"/>
      <c r="B2319" s="23"/>
      <c r="C2319" s="23"/>
      <c r="D2319" s="23"/>
      <c r="E2319" s="23"/>
      <c r="F2319" s="23"/>
      <c r="G2319" s="23"/>
      <c r="H2319" s="23"/>
      <c r="I2319" s="23"/>
      <c r="J2319" s="23"/>
      <c r="K2319" s="23"/>
      <c r="L2319" s="23"/>
      <c r="M2319" s="23"/>
      <c r="N2319" s="23"/>
      <c r="O2319" s="23"/>
      <c r="P2319" s="23"/>
      <c r="Q2319" s="23"/>
      <c r="R2319" s="23"/>
      <c r="S2319" s="23"/>
      <c r="T2319" s="23"/>
    </row>
    <row r="2320" spans="1:20" x14ac:dyDescent="0.35">
      <c r="A2320" s="23"/>
      <c r="B2320" s="23"/>
      <c r="C2320" s="23"/>
      <c r="D2320" s="23"/>
      <c r="E2320" s="23"/>
      <c r="F2320" s="23"/>
      <c r="G2320" s="23"/>
      <c r="H2320" s="23"/>
      <c r="I2320" s="23"/>
      <c r="J2320" s="23"/>
      <c r="K2320" s="23"/>
      <c r="L2320" s="23"/>
      <c r="M2320" s="23"/>
      <c r="N2320" s="23"/>
      <c r="O2320" s="23"/>
      <c r="P2320" s="23"/>
      <c r="Q2320" s="23"/>
      <c r="R2320" s="23"/>
      <c r="S2320" s="23"/>
      <c r="T2320" s="23"/>
    </row>
    <row r="2321" spans="1:20" x14ac:dyDescent="0.35">
      <c r="A2321" s="23"/>
      <c r="B2321" s="23"/>
      <c r="C2321" s="23"/>
      <c r="D2321" s="23"/>
      <c r="E2321" s="23"/>
      <c r="F2321" s="23"/>
      <c r="G2321" s="23"/>
      <c r="H2321" s="23"/>
      <c r="I2321" s="23"/>
      <c r="J2321" s="23"/>
      <c r="K2321" s="23"/>
      <c r="L2321" s="23"/>
      <c r="M2321" s="23"/>
      <c r="N2321" s="23"/>
      <c r="O2321" s="23"/>
      <c r="P2321" s="23"/>
      <c r="Q2321" s="23"/>
      <c r="R2321" s="23"/>
      <c r="S2321" s="23"/>
      <c r="T2321" s="23"/>
    </row>
    <row r="2322" spans="1:20" x14ac:dyDescent="0.35">
      <c r="A2322" s="23"/>
      <c r="B2322" s="23"/>
      <c r="C2322" s="23"/>
      <c r="D2322" s="23"/>
      <c r="E2322" s="23"/>
      <c r="F2322" s="23"/>
      <c r="G2322" s="23"/>
      <c r="H2322" s="23"/>
      <c r="I2322" s="23"/>
      <c r="J2322" s="23"/>
      <c r="K2322" s="23"/>
      <c r="L2322" s="23"/>
      <c r="M2322" s="23"/>
      <c r="N2322" s="23"/>
      <c r="O2322" s="23"/>
      <c r="P2322" s="23"/>
      <c r="Q2322" s="23"/>
      <c r="R2322" s="23"/>
      <c r="S2322" s="23"/>
      <c r="T2322" s="23"/>
    </row>
    <row r="2323" spans="1:20" x14ac:dyDescent="0.35">
      <c r="A2323" s="23"/>
      <c r="B2323" s="23"/>
      <c r="C2323" s="23"/>
      <c r="D2323" s="23"/>
      <c r="E2323" s="23"/>
      <c r="F2323" s="23"/>
      <c r="G2323" s="23"/>
      <c r="H2323" s="23"/>
      <c r="I2323" s="23"/>
      <c r="J2323" s="23"/>
      <c r="K2323" s="23"/>
      <c r="L2323" s="23"/>
      <c r="M2323" s="23"/>
      <c r="N2323" s="23"/>
      <c r="O2323" s="23"/>
      <c r="P2323" s="23"/>
      <c r="Q2323" s="23"/>
      <c r="R2323" s="23"/>
      <c r="S2323" s="23"/>
      <c r="T2323" s="23"/>
    </row>
    <row r="2324" spans="1:20" x14ac:dyDescent="0.35">
      <c r="A2324" s="23"/>
      <c r="B2324" s="23"/>
      <c r="C2324" s="23"/>
      <c r="D2324" s="23"/>
      <c r="E2324" s="23"/>
      <c r="F2324" s="23"/>
      <c r="G2324" s="23"/>
      <c r="H2324" s="23"/>
      <c r="I2324" s="23"/>
      <c r="J2324" s="23"/>
      <c r="K2324" s="23"/>
      <c r="L2324" s="23"/>
      <c r="M2324" s="23"/>
      <c r="N2324" s="23"/>
      <c r="O2324" s="23"/>
      <c r="P2324" s="23"/>
      <c r="Q2324" s="23"/>
      <c r="R2324" s="23"/>
      <c r="S2324" s="23"/>
      <c r="T2324" s="23"/>
    </row>
    <row r="2325" spans="1:20" x14ac:dyDescent="0.35">
      <c r="A2325" s="23"/>
      <c r="B2325" s="23"/>
      <c r="C2325" s="23"/>
      <c r="D2325" s="23"/>
      <c r="E2325" s="23"/>
      <c r="F2325" s="23"/>
      <c r="G2325" s="23"/>
      <c r="H2325" s="23"/>
      <c r="I2325" s="23"/>
      <c r="J2325" s="23"/>
      <c r="K2325" s="23"/>
      <c r="L2325" s="23"/>
      <c r="M2325" s="23"/>
      <c r="N2325" s="23"/>
      <c r="O2325" s="23"/>
      <c r="P2325" s="23"/>
      <c r="Q2325" s="23"/>
      <c r="R2325" s="23"/>
      <c r="S2325" s="23"/>
      <c r="T2325" s="23"/>
    </row>
    <row r="2326" spans="1:20" x14ac:dyDescent="0.35">
      <c r="A2326" s="23"/>
      <c r="B2326" s="23"/>
      <c r="C2326" s="23"/>
      <c r="D2326" s="23"/>
      <c r="E2326" s="23"/>
      <c r="F2326" s="23"/>
      <c r="G2326" s="23"/>
      <c r="H2326" s="23"/>
      <c r="I2326" s="23"/>
      <c r="J2326" s="23"/>
      <c r="K2326" s="23"/>
      <c r="L2326" s="23"/>
      <c r="M2326" s="23"/>
      <c r="N2326" s="23"/>
      <c r="O2326" s="23"/>
      <c r="P2326" s="23"/>
      <c r="Q2326" s="23"/>
      <c r="R2326" s="23"/>
      <c r="S2326" s="23"/>
      <c r="T2326" s="23"/>
    </row>
    <row r="2327" spans="1:20" x14ac:dyDescent="0.35">
      <c r="A2327" s="23"/>
      <c r="B2327" s="23"/>
      <c r="C2327" s="23"/>
      <c r="D2327" s="23"/>
      <c r="E2327" s="23"/>
      <c r="F2327" s="23"/>
      <c r="G2327" s="23"/>
      <c r="H2327" s="23"/>
      <c r="I2327" s="23"/>
      <c r="J2327" s="23"/>
      <c r="K2327" s="23"/>
      <c r="L2327" s="23"/>
      <c r="M2327" s="23"/>
      <c r="N2327" s="23"/>
      <c r="O2327" s="23"/>
      <c r="P2327" s="23"/>
      <c r="Q2327" s="23"/>
      <c r="R2327" s="23"/>
      <c r="S2327" s="23"/>
      <c r="T2327" s="23"/>
    </row>
    <row r="2328" spans="1:20" x14ac:dyDescent="0.35">
      <c r="A2328" s="23"/>
      <c r="B2328" s="23"/>
      <c r="C2328" s="23"/>
      <c r="D2328" s="23"/>
      <c r="E2328" s="23"/>
      <c r="F2328" s="23"/>
      <c r="G2328" s="23"/>
      <c r="H2328" s="23"/>
      <c r="I2328" s="23"/>
      <c r="J2328" s="23"/>
      <c r="K2328" s="23"/>
      <c r="L2328" s="23"/>
      <c r="M2328" s="23"/>
      <c r="N2328" s="23"/>
      <c r="O2328" s="23"/>
      <c r="P2328" s="23"/>
      <c r="Q2328" s="23"/>
      <c r="R2328" s="23"/>
      <c r="S2328" s="23"/>
      <c r="T2328" s="23"/>
    </row>
    <row r="2329" spans="1:20" x14ac:dyDescent="0.35">
      <c r="A2329" s="23"/>
      <c r="B2329" s="23"/>
      <c r="C2329" s="23"/>
      <c r="D2329" s="23"/>
      <c r="E2329" s="23"/>
      <c r="F2329" s="23"/>
      <c r="G2329" s="23"/>
      <c r="H2329" s="23"/>
      <c r="I2329" s="23"/>
      <c r="J2329" s="23"/>
      <c r="K2329" s="23"/>
      <c r="L2329" s="23"/>
      <c r="M2329" s="23"/>
      <c r="N2329" s="23"/>
      <c r="O2329" s="23"/>
      <c r="P2329" s="23"/>
      <c r="Q2329" s="23"/>
      <c r="R2329" s="23"/>
      <c r="S2329" s="23"/>
      <c r="T2329" s="23"/>
    </row>
    <row r="2330" spans="1:20" x14ac:dyDescent="0.35">
      <c r="A2330" s="23"/>
      <c r="B2330" s="23"/>
      <c r="C2330" s="23"/>
      <c r="D2330" s="23"/>
      <c r="E2330" s="23"/>
      <c r="F2330" s="23"/>
      <c r="G2330" s="23"/>
      <c r="H2330" s="23"/>
      <c r="I2330" s="23"/>
      <c r="J2330" s="23"/>
      <c r="K2330" s="23"/>
      <c r="L2330" s="23"/>
      <c r="M2330" s="23"/>
      <c r="N2330" s="23"/>
      <c r="O2330" s="23"/>
      <c r="P2330" s="23"/>
      <c r="Q2330" s="23"/>
      <c r="R2330" s="23"/>
      <c r="S2330" s="23"/>
      <c r="T2330" s="23"/>
    </row>
    <row r="2331" spans="1:20" x14ac:dyDescent="0.35">
      <c r="A2331" s="23"/>
      <c r="B2331" s="23"/>
      <c r="C2331" s="23"/>
      <c r="D2331" s="23"/>
      <c r="E2331" s="23"/>
      <c r="F2331" s="23"/>
      <c r="G2331" s="23"/>
      <c r="H2331" s="23"/>
      <c r="I2331" s="23"/>
      <c r="J2331" s="23"/>
      <c r="K2331" s="23"/>
      <c r="L2331" s="23"/>
      <c r="M2331" s="23"/>
      <c r="N2331" s="23"/>
      <c r="O2331" s="23"/>
      <c r="P2331" s="23"/>
      <c r="Q2331" s="23"/>
      <c r="R2331" s="23"/>
      <c r="S2331" s="23"/>
      <c r="T2331" s="23"/>
    </row>
    <row r="2332" spans="1:20" x14ac:dyDescent="0.35">
      <c r="A2332" s="23"/>
      <c r="B2332" s="23"/>
      <c r="C2332" s="23"/>
      <c r="D2332" s="23"/>
      <c r="E2332" s="23"/>
      <c r="F2332" s="23"/>
      <c r="G2332" s="23"/>
      <c r="H2332" s="23"/>
      <c r="I2332" s="23"/>
      <c r="J2332" s="23"/>
      <c r="K2332" s="23"/>
      <c r="L2332" s="23"/>
      <c r="M2332" s="23"/>
      <c r="N2332" s="23"/>
      <c r="O2332" s="23"/>
      <c r="P2332" s="23"/>
      <c r="Q2332" s="23"/>
      <c r="R2332" s="23"/>
      <c r="S2332" s="23"/>
      <c r="T2332" s="23"/>
    </row>
    <row r="2333" spans="1:20" x14ac:dyDescent="0.35">
      <c r="A2333" s="23"/>
      <c r="B2333" s="23"/>
      <c r="C2333" s="23"/>
      <c r="D2333" s="23"/>
      <c r="E2333" s="23"/>
      <c r="F2333" s="23"/>
      <c r="G2333" s="23"/>
      <c r="H2333" s="23"/>
      <c r="I2333" s="23"/>
      <c r="J2333" s="23"/>
      <c r="K2333" s="23"/>
      <c r="L2333" s="23"/>
      <c r="M2333" s="23"/>
      <c r="N2333" s="23"/>
      <c r="O2333" s="23"/>
      <c r="P2333" s="23"/>
      <c r="Q2333" s="23"/>
      <c r="R2333" s="23"/>
      <c r="S2333" s="23"/>
      <c r="T2333" s="23"/>
    </row>
    <row r="2334" spans="1:20" x14ac:dyDescent="0.35">
      <c r="A2334" s="23"/>
      <c r="B2334" s="23"/>
      <c r="C2334" s="23"/>
      <c r="D2334" s="23"/>
      <c r="E2334" s="23"/>
      <c r="F2334" s="23"/>
      <c r="G2334" s="23"/>
      <c r="H2334" s="23"/>
      <c r="I2334" s="23"/>
      <c r="J2334" s="23"/>
      <c r="K2334" s="23"/>
      <c r="L2334" s="23"/>
      <c r="M2334" s="23"/>
      <c r="N2334" s="23"/>
      <c r="O2334" s="23"/>
      <c r="P2334" s="23"/>
      <c r="Q2334" s="23"/>
      <c r="R2334" s="23"/>
      <c r="S2334" s="23"/>
      <c r="T2334" s="23"/>
    </row>
    <row r="2335" spans="1:20" x14ac:dyDescent="0.35">
      <c r="A2335" s="23"/>
      <c r="B2335" s="23"/>
      <c r="C2335" s="23"/>
      <c r="D2335" s="23"/>
      <c r="E2335" s="23"/>
      <c r="F2335" s="23"/>
      <c r="G2335" s="23"/>
      <c r="H2335" s="23"/>
      <c r="I2335" s="23"/>
      <c r="J2335" s="23"/>
      <c r="K2335" s="23"/>
      <c r="L2335" s="23"/>
      <c r="M2335" s="23"/>
      <c r="N2335" s="23"/>
      <c r="O2335" s="23"/>
      <c r="P2335" s="23"/>
      <c r="Q2335" s="23"/>
      <c r="R2335" s="23"/>
      <c r="S2335" s="23"/>
      <c r="T2335" s="23"/>
    </row>
    <row r="2336" spans="1:20" x14ac:dyDescent="0.35">
      <c r="A2336" s="23"/>
      <c r="B2336" s="23"/>
      <c r="C2336" s="23"/>
      <c r="D2336" s="23"/>
      <c r="E2336" s="23"/>
      <c r="F2336" s="23"/>
      <c r="G2336" s="23"/>
      <c r="H2336" s="23"/>
      <c r="I2336" s="23"/>
      <c r="J2336" s="23"/>
      <c r="K2336" s="23"/>
      <c r="L2336" s="23"/>
      <c r="M2336" s="23"/>
      <c r="N2336" s="23"/>
      <c r="O2336" s="23"/>
      <c r="P2336" s="23"/>
      <c r="Q2336" s="23"/>
      <c r="R2336" s="23"/>
      <c r="S2336" s="23"/>
      <c r="T2336" s="23"/>
    </row>
    <row r="2337" spans="1:20" x14ac:dyDescent="0.35">
      <c r="A2337" s="23"/>
      <c r="B2337" s="23"/>
      <c r="C2337" s="23"/>
      <c r="D2337" s="23"/>
      <c r="E2337" s="23"/>
      <c r="F2337" s="23"/>
      <c r="G2337" s="23"/>
      <c r="H2337" s="23"/>
      <c r="I2337" s="23"/>
      <c r="J2337" s="23"/>
      <c r="K2337" s="23"/>
      <c r="L2337" s="23"/>
      <c r="M2337" s="23"/>
      <c r="N2337" s="23"/>
      <c r="O2337" s="23"/>
      <c r="P2337" s="23"/>
      <c r="Q2337" s="23"/>
      <c r="R2337" s="23"/>
      <c r="S2337" s="23"/>
      <c r="T2337" s="23"/>
    </row>
    <row r="2338" spans="1:20" x14ac:dyDescent="0.35">
      <c r="A2338" s="23"/>
      <c r="B2338" s="23"/>
      <c r="C2338" s="23"/>
      <c r="D2338" s="23"/>
      <c r="E2338" s="23"/>
      <c r="F2338" s="23"/>
      <c r="G2338" s="23"/>
      <c r="H2338" s="23"/>
      <c r="I2338" s="23"/>
      <c r="J2338" s="23"/>
      <c r="K2338" s="23"/>
      <c r="L2338" s="23"/>
      <c r="M2338" s="23"/>
      <c r="N2338" s="23"/>
      <c r="O2338" s="23"/>
      <c r="P2338" s="23"/>
      <c r="Q2338" s="23"/>
      <c r="R2338" s="23"/>
      <c r="S2338" s="23"/>
      <c r="T2338" s="23"/>
    </row>
    <row r="2339" spans="1:20" x14ac:dyDescent="0.35">
      <c r="A2339" s="23"/>
      <c r="B2339" s="23"/>
      <c r="C2339" s="23"/>
      <c r="D2339" s="23"/>
      <c r="E2339" s="23"/>
      <c r="F2339" s="23"/>
      <c r="G2339" s="23"/>
      <c r="H2339" s="23"/>
      <c r="I2339" s="23"/>
      <c r="J2339" s="23"/>
      <c r="K2339" s="23"/>
      <c r="L2339" s="23"/>
      <c r="M2339" s="23"/>
      <c r="N2339" s="23"/>
      <c r="O2339" s="23"/>
      <c r="P2339" s="23"/>
      <c r="Q2339" s="23"/>
      <c r="R2339" s="23"/>
      <c r="S2339" s="23"/>
      <c r="T2339" s="23"/>
    </row>
    <row r="2340" spans="1:20" x14ac:dyDescent="0.35">
      <c r="A2340" s="23"/>
      <c r="B2340" s="23"/>
      <c r="C2340" s="23"/>
      <c r="D2340" s="23"/>
      <c r="E2340" s="23"/>
      <c r="F2340" s="23"/>
      <c r="G2340" s="23"/>
      <c r="H2340" s="23"/>
      <c r="I2340" s="23"/>
      <c r="J2340" s="23"/>
      <c r="K2340" s="23"/>
      <c r="L2340" s="23"/>
      <c r="M2340" s="23"/>
      <c r="N2340" s="23"/>
      <c r="O2340" s="23"/>
      <c r="P2340" s="23"/>
      <c r="Q2340" s="23"/>
      <c r="R2340" s="23"/>
      <c r="S2340" s="23"/>
      <c r="T2340" s="23"/>
    </row>
    <row r="2341" spans="1:20" x14ac:dyDescent="0.35">
      <c r="A2341" s="23"/>
      <c r="B2341" s="23"/>
      <c r="C2341" s="23"/>
      <c r="D2341" s="23"/>
      <c r="E2341" s="23"/>
      <c r="F2341" s="23"/>
      <c r="G2341" s="23"/>
      <c r="H2341" s="23"/>
      <c r="I2341" s="23"/>
      <c r="J2341" s="23"/>
      <c r="K2341" s="23"/>
      <c r="L2341" s="23"/>
      <c r="M2341" s="23"/>
      <c r="N2341" s="23"/>
      <c r="O2341" s="23"/>
      <c r="P2341" s="23"/>
      <c r="Q2341" s="23"/>
      <c r="R2341" s="23"/>
      <c r="S2341" s="23"/>
      <c r="T2341" s="23"/>
    </row>
    <row r="2342" spans="1:20" x14ac:dyDescent="0.35">
      <c r="A2342" s="23"/>
      <c r="B2342" s="23"/>
      <c r="C2342" s="23"/>
      <c r="D2342" s="23"/>
      <c r="E2342" s="23"/>
      <c r="F2342" s="23"/>
      <c r="G2342" s="23"/>
      <c r="H2342" s="23"/>
      <c r="I2342" s="23"/>
      <c r="J2342" s="23"/>
      <c r="K2342" s="23"/>
      <c r="L2342" s="23"/>
      <c r="M2342" s="23"/>
      <c r="N2342" s="23"/>
      <c r="O2342" s="23"/>
      <c r="P2342" s="23"/>
      <c r="Q2342" s="23"/>
      <c r="R2342" s="23"/>
      <c r="S2342" s="23"/>
      <c r="T2342" s="23"/>
    </row>
    <row r="2343" spans="1:20" x14ac:dyDescent="0.35">
      <c r="A2343" s="23"/>
      <c r="B2343" s="23"/>
      <c r="C2343" s="23"/>
      <c r="D2343" s="23"/>
      <c r="E2343" s="23"/>
      <c r="F2343" s="23"/>
      <c r="G2343" s="23"/>
      <c r="H2343" s="23"/>
      <c r="I2343" s="23"/>
      <c r="J2343" s="23"/>
      <c r="K2343" s="23"/>
      <c r="L2343" s="23"/>
      <c r="M2343" s="23"/>
      <c r="N2343" s="23"/>
      <c r="O2343" s="23"/>
      <c r="P2343" s="23"/>
      <c r="Q2343" s="23"/>
      <c r="R2343" s="23"/>
      <c r="S2343" s="23"/>
      <c r="T2343" s="23"/>
    </row>
    <row r="2344" spans="1:20" x14ac:dyDescent="0.35">
      <c r="A2344" s="23"/>
      <c r="B2344" s="23"/>
      <c r="C2344" s="23"/>
      <c r="D2344" s="23"/>
      <c r="E2344" s="23"/>
      <c r="F2344" s="23"/>
      <c r="G2344" s="23"/>
      <c r="H2344" s="23"/>
      <c r="I2344" s="23"/>
      <c r="J2344" s="23"/>
      <c r="K2344" s="23"/>
      <c r="L2344" s="23"/>
      <c r="M2344" s="23"/>
      <c r="N2344" s="23"/>
      <c r="O2344" s="23"/>
      <c r="P2344" s="23"/>
      <c r="Q2344" s="23"/>
      <c r="R2344" s="23"/>
      <c r="S2344" s="23"/>
      <c r="T2344" s="23"/>
    </row>
    <row r="2345" spans="1:20" x14ac:dyDescent="0.35">
      <c r="A2345" s="23"/>
      <c r="B2345" s="23"/>
      <c r="C2345" s="23"/>
      <c r="D2345" s="23"/>
      <c r="E2345" s="23"/>
      <c r="F2345" s="23"/>
      <c r="G2345" s="23"/>
      <c r="H2345" s="23"/>
      <c r="I2345" s="23"/>
      <c r="J2345" s="23"/>
      <c r="K2345" s="23"/>
      <c r="L2345" s="23"/>
      <c r="M2345" s="23"/>
      <c r="N2345" s="23"/>
      <c r="O2345" s="23"/>
      <c r="P2345" s="23"/>
      <c r="Q2345" s="23"/>
      <c r="R2345" s="23"/>
      <c r="S2345" s="23"/>
      <c r="T2345" s="23"/>
    </row>
    <row r="2346" spans="1:20" x14ac:dyDescent="0.35">
      <c r="A2346" s="23"/>
      <c r="B2346" s="23"/>
      <c r="C2346" s="23"/>
      <c r="D2346" s="23"/>
      <c r="E2346" s="23"/>
      <c r="F2346" s="23"/>
      <c r="G2346" s="23"/>
      <c r="H2346" s="23"/>
      <c r="I2346" s="23"/>
      <c r="J2346" s="23"/>
      <c r="K2346" s="23"/>
      <c r="L2346" s="23"/>
      <c r="M2346" s="23"/>
      <c r="N2346" s="23"/>
      <c r="O2346" s="23"/>
      <c r="P2346" s="23"/>
      <c r="Q2346" s="23"/>
      <c r="R2346" s="23"/>
      <c r="S2346" s="23"/>
      <c r="T2346" s="23"/>
    </row>
    <row r="2347" spans="1:20" x14ac:dyDescent="0.35">
      <c r="A2347" s="23"/>
      <c r="B2347" s="23"/>
      <c r="C2347" s="23"/>
      <c r="D2347" s="23"/>
      <c r="E2347" s="23"/>
      <c r="F2347" s="23"/>
      <c r="G2347" s="23"/>
      <c r="H2347" s="23"/>
      <c r="I2347" s="23"/>
      <c r="J2347" s="23"/>
      <c r="K2347" s="23"/>
      <c r="L2347" s="23"/>
      <c r="M2347" s="23"/>
      <c r="N2347" s="23"/>
      <c r="O2347" s="23"/>
      <c r="P2347" s="23"/>
      <c r="Q2347" s="23"/>
      <c r="R2347" s="23"/>
      <c r="S2347" s="23"/>
      <c r="T2347" s="23"/>
    </row>
    <row r="2348" spans="1:20" x14ac:dyDescent="0.35">
      <c r="A2348" s="23"/>
      <c r="B2348" s="23"/>
      <c r="C2348" s="23"/>
      <c r="D2348" s="23"/>
      <c r="E2348" s="23"/>
      <c r="F2348" s="23"/>
      <c r="G2348" s="23"/>
      <c r="H2348" s="23"/>
      <c r="I2348" s="23"/>
      <c r="J2348" s="23"/>
      <c r="K2348" s="23"/>
      <c r="L2348" s="23"/>
      <c r="M2348" s="23"/>
      <c r="N2348" s="23"/>
      <c r="O2348" s="23"/>
      <c r="P2348" s="23"/>
      <c r="Q2348" s="23"/>
      <c r="R2348" s="23"/>
      <c r="S2348" s="23"/>
      <c r="T2348" s="23"/>
    </row>
    <row r="2349" spans="1:20" x14ac:dyDescent="0.35">
      <c r="A2349" s="23"/>
      <c r="B2349" s="23"/>
      <c r="C2349" s="23"/>
      <c r="D2349" s="23"/>
      <c r="E2349" s="23"/>
      <c r="F2349" s="23"/>
      <c r="G2349" s="23"/>
      <c r="H2349" s="23"/>
      <c r="I2349" s="23"/>
      <c r="J2349" s="23"/>
      <c r="K2349" s="23"/>
      <c r="L2349" s="23"/>
      <c r="M2349" s="23"/>
      <c r="N2349" s="23"/>
      <c r="O2349" s="23"/>
      <c r="P2349" s="23"/>
      <c r="Q2349" s="23"/>
      <c r="R2349" s="23"/>
      <c r="S2349" s="23"/>
      <c r="T2349" s="23"/>
    </row>
    <row r="2350" spans="1:20" x14ac:dyDescent="0.35">
      <c r="A2350" s="23"/>
      <c r="B2350" s="23"/>
      <c r="C2350" s="23"/>
      <c r="D2350" s="23"/>
      <c r="E2350" s="23"/>
      <c r="F2350" s="23"/>
      <c r="G2350" s="23"/>
      <c r="H2350" s="23"/>
      <c r="I2350" s="23"/>
      <c r="J2350" s="23"/>
      <c r="K2350" s="23"/>
      <c r="L2350" s="23"/>
      <c r="M2350" s="23"/>
      <c r="N2350" s="23"/>
      <c r="O2350" s="23"/>
      <c r="P2350" s="23"/>
      <c r="Q2350" s="23"/>
      <c r="R2350" s="23"/>
      <c r="S2350" s="23"/>
      <c r="T2350" s="23"/>
    </row>
    <row r="2351" spans="1:20" x14ac:dyDescent="0.35">
      <c r="A2351" s="23"/>
      <c r="B2351" s="23"/>
      <c r="C2351" s="23"/>
      <c r="D2351" s="23"/>
      <c r="E2351" s="23"/>
      <c r="F2351" s="23"/>
      <c r="G2351" s="23"/>
      <c r="H2351" s="23"/>
      <c r="I2351" s="23"/>
      <c r="J2351" s="23"/>
      <c r="K2351" s="23"/>
      <c r="L2351" s="23"/>
      <c r="M2351" s="23"/>
      <c r="N2351" s="23"/>
      <c r="O2351" s="23"/>
      <c r="P2351" s="23"/>
      <c r="Q2351" s="23"/>
      <c r="R2351" s="23"/>
      <c r="S2351" s="23"/>
      <c r="T2351" s="23"/>
    </row>
    <row r="2352" spans="1:20" x14ac:dyDescent="0.35">
      <c r="A2352" s="23"/>
      <c r="B2352" s="23"/>
      <c r="C2352" s="23"/>
      <c r="D2352" s="23"/>
      <c r="E2352" s="23"/>
      <c r="F2352" s="23"/>
      <c r="G2352" s="23"/>
      <c r="H2352" s="23"/>
      <c r="I2352" s="23"/>
      <c r="J2352" s="23"/>
      <c r="K2352" s="23"/>
      <c r="L2352" s="23"/>
      <c r="M2352" s="23"/>
      <c r="N2352" s="23"/>
      <c r="O2352" s="23"/>
      <c r="P2352" s="23"/>
      <c r="Q2352" s="23"/>
      <c r="R2352" s="23"/>
      <c r="S2352" s="23"/>
      <c r="T2352" s="23"/>
    </row>
    <row r="2353" spans="1:20" x14ac:dyDescent="0.35">
      <c r="A2353" s="23"/>
      <c r="B2353" s="23"/>
      <c r="C2353" s="23"/>
      <c r="D2353" s="23"/>
      <c r="E2353" s="23"/>
      <c r="F2353" s="23"/>
      <c r="G2353" s="23"/>
      <c r="H2353" s="23"/>
      <c r="I2353" s="23"/>
      <c r="J2353" s="23"/>
      <c r="K2353" s="23"/>
      <c r="L2353" s="23"/>
      <c r="M2353" s="23"/>
      <c r="N2353" s="23"/>
      <c r="O2353" s="23"/>
      <c r="P2353" s="23"/>
      <c r="Q2353" s="23"/>
      <c r="R2353" s="23"/>
      <c r="S2353" s="23"/>
      <c r="T2353" s="23"/>
    </row>
    <row r="2354" spans="1:20" x14ac:dyDescent="0.35">
      <c r="A2354" s="23"/>
      <c r="B2354" s="23"/>
      <c r="C2354" s="23"/>
      <c r="D2354" s="23"/>
      <c r="E2354" s="23"/>
      <c r="F2354" s="23"/>
      <c r="G2354" s="23"/>
      <c r="H2354" s="23"/>
      <c r="I2354" s="23"/>
      <c r="J2354" s="23"/>
      <c r="K2354" s="23"/>
      <c r="L2354" s="23"/>
      <c r="M2354" s="23"/>
      <c r="N2354" s="23"/>
      <c r="O2354" s="23"/>
      <c r="P2354" s="23"/>
      <c r="Q2354" s="23"/>
      <c r="R2354" s="23"/>
      <c r="S2354" s="23"/>
      <c r="T2354" s="23"/>
    </row>
    <row r="2355" spans="1:20" x14ac:dyDescent="0.35">
      <c r="A2355" s="23"/>
      <c r="B2355" s="23"/>
      <c r="C2355" s="23"/>
      <c r="D2355" s="23"/>
      <c r="E2355" s="23"/>
      <c r="F2355" s="23"/>
      <c r="G2355" s="23"/>
      <c r="H2355" s="23"/>
      <c r="I2355" s="23"/>
      <c r="J2355" s="23"/>
      <c r="K2355" s="23"/>
      <c r="L2355" s="23"/>
      <c r="M2355" s="23"/>
      <c r="N2355" s="23"/>
      <c r="O2355" s="23"/>
      <c r="P2355" s="23"/>
      <c r="Q2355" s="23"/>
      <c r="R2355" s="23"/>
      <c r="S2355" s="23"/>
      <c r="T2355" s="23"/>
    </row>
    <row r="2356" spans="1:20" x14ac:dyDescent="0.35">
      <c r="A2356" s="23"/>
      <c r="B2356" s="23"/>
      <c r="C2356" s="23"/>
      <c r="D2356" s="23"/>
      <c r="E2356" s="23"/>
      <c r="F2356" s="23"/>
      <c r="G2356" s="23"/>
      <c r="H2356" s="23"/>
      <c r="I2356" s="23"/>
      <c r="J2356" s="23"/>
      <c r="K2356" s="23"/>
      <c r="L2356" s="23"/>
      <c r="M2356" s="23"/>
      <c r="N2356" s="23"/>
      <c r="O2356" s="23"/>
      <c r="P2356" s="23"/>
      <c r="Q2356" s="23"/>
      <c r="R2356" s="23"/>
      <c r="S2356" s="23"/>
      <c r="T2356" s="23"/>
    </row>
    <row r="2357" spans="1:20" x14ac:dyDescent="0.35">
      <c r="A2357" s="23"/>
      <c r="B2357" s="23"/>
      <c r="C2357" s="23"/>
      <c r="D2357" s="23"/>
      <c r="E2357" s="23"/>
      <c r="F2357" s="23"/>
      <c r="G2357" s="23"/>
      <c r="H2357" s="23"/>
      <c r="I2357" s="23"/>
      <c r="J2357" s="23"/>
      <c r="K2357" s="23"/>
      <c r="L2357" s="23"/>
      <c r="M2357" s="23"/>
      <c r="N2357" s="23"/>
      <c r="O2357" s="23"/>
      <c r="P2357" s="23"/>
      <c r="Q2357" s="23"/>
      <c r="R2357" s="23"/>
      <c r="S2357" s="23"/>
      <c r="T2357" s="23"/>
    </row>
    <row r="2358" spans="1:20" x14ac:dyDescent="0.35">
      <c r="A2358" s="23"/>
      <c r="B2358" s="23"/>
      <c r="C2358" s="23"/>
      <c r="D2358" s="23"/>
      <c r="E2358" s="23"/>
      <c r="F2358" s="23"/>
      <c r="G2358" s="23"/>
      <c r="H2358" s="23"/>
      <c r="I2358" s="23"/>
      <c r="J2358" s="23"/>
      <c r="K2358" s="23"/>
      <c r="L2358" s="23"/>
      <c r="M2358" s="23"/>
      <c r="N2358" s="23"/>
      <c r="O2358" s="23"/>
      <c r="P2358" s="23"/>
      <c r="Q2358" s="23"/>
      <c r="R2358" s="23"/>
      <c r="S2358" s="23"/>
      <c r="T2358" s="23"/>
    </row>
    <row r="2359" spans="1:20" x14ac:dyDescent="0.35">
      <c r="A2359" s="23"/>
      <c r="B2359" s="23"/>
      <c r="C2359" s="23"/>
      <c r="D2359" s="23"/>
      <c r="E2359" s="23"/>
      <c r="F2359" s="23"/>
      <c r="G2359" s="23"/>
      <c r="H2359" s="23"/>
      <c r="I2359" s="23"/>
      <c r="J2359" s="23"/>
      <c r="K2359" s="23"/>
      <c r="L2359" s="23"/>
      <c r="M2359" s="23"/>
      <c r="N2359" s="23"/>
      <c r="O2359" s="23"/>
      <c r="P2359" s="23"/>
      <c r="Q2359" s="23"/>
      <c r="R2359" s="23"/>
      <c r="S2359" s="23"/>
      <c r="T2359" s="23"/>
    </row>
    <row r="2360" spans="1:20" x14ac:dyDescent="0.35">
      <c r="A2360" s="23"/>
      <c r="B2360" s="23"/>
      <c r="C2360" s="23"/>
      <c r="D2360" s="23"/>
      <c r="E2360" s="23"/>
      <c r="F2360" s="23"/>
      <c r="G2360" s="23"/>
      <c r="H2360" s="23"/>
      <c r="I2360" s="23"/>
      <c r="J2360" s="23"/>
      <c r="K2360" s="23"/>
      <c r="L2360" s="23"/>
      <c r="M2360" s="23"/>
      <c r="N2360" s="23"/>
      <c r="O2360" s="23"/>
      <c r="P2360" s="23"/>
      <c r="Q2360" s="23"/>
      <c r="R2360" s="23"/>
      <c r="S2360" s="23"/>
      <c r="T2360" s="23"/>
    </row>
    <row r="2361" spans="1:20" x14ac:dyDescent="0.35">
      <c r="A2361" s="23"/>
      <c r="B2361" s="23"/>
      <c r="C2361" s="23"/>
      <c r="D2361" s="23"/>
      <c r="E2361" s="23"/>
      <c r="F2361" s="23"/>
      <c r="G2361" s="23"/>
      <c r="H2361" s="23"/>
      <c r="I2361" s="23"/>
      <c r="J2361" s="23"/>
      <c r="K2361" s="23"/>
      <c r="L2361" s="23"/>
      <c r="M2361" s="23"/>
      <c r="N2361" s="23"/>
      <c r="O2361" s="23"/>
      <c r="P2361" s="23"/>
      <c r="Q2361" s="23"/>
      <c r="R2361" s="23"/>
      <c r="S2361" s="23"/>
      <c r="T2361" s="23"/>
    </row>
    <row r="2362" spans="1:20" x14ac:dyDescent="0.35">
      <c r="A2362" s="23"/>
      <c r="B2362" s="23"/>
      <c r="C2362" s="23"/>
      <c r="D2362" s="23"/>
      <c r="E2362" s="23"/>
      <c r="F2362" s="23"/>
      <c r="G2362" s="23"/>
      <c r="H2362" s="23"/>
      <c r="I2362" s="23"/>
      <c r="J2362" s="23"/>
      <c r="K2362" s="23"/>
      <c r="L2362" s="23"/>
      <c r="M2362" s="23"/>
      <c r="N2362" s="23"/>
      <c r="O2362" s="23"/>
      <c r="P2362" s="23"/>
      <c r="Q2362" s="23"/>
      <c r="R2362" s="23"/>
      <c r="S2362" s="23"/>
      <c r="T2362" s="23"/>
    </row>
    <row r="2363" spans="1:20" x14ac:dyDescent="0.35">
      <c r="A2363" s="23"/>
      <c r="B2363" s="23"/>
      <c r="C2363" s="23"/>
      <c r="D2363" s="23"/>
      <c r="E2363" s="23"/>
      <c r="F2363" s="23"/>
      <c r="G2363" s="23"/>
      <c r="H2363" s="23"/>
      <c r="I2363" s="23"/>
      <c r="J2363" s="23"/>
      <c r="K2363" s="23"/>
      <c r="L2363" s="23"/>
      <c r="M2363" s="23"/>
      <c r="N2363" s="23"/>
      <c r="O2363" s="23"/>
      <c r="P2363" s="23"/>
      <c r="Q2363" s="23"/>
      <c r="R2363" s="23"/>
      <c r="S2363" s="23"/>
      <c r="T2363" s="23"/>
    </row>
    <row r="2364" spans="1:20" x14ac:dyDescent="0.35">
      <c r="A2364" s="23"/>
      <c r="B2364" s="23"/>
      <c r="C2364" s="23"/>
      <c r="D2364" s="23"/>
      <c r="E2364" s="23"/>
      <c r="F2364" s="23"/>
      <c r="G2364" s="23"/>
      <c r="H2364" s="23"/>
      <c r="I2364" s="23"/>
      <c r="J2364" s="23"/>
      <c r="K2364" s="23"/>
      <c r="L2364" s="23"/>
      <c r="M2364" s="23"/>
      <c r="N2364" s="23"/>
      <c r="O2364" s="23"/>
      <c r="P2364" s="23"/>
      <c r="Q2364" s="23"/>
      <c r="R2364" s="23"/>
      <c r="S2364" s="23"/>
      <c r="T2364" s="23"/>
    </row>
    <row r="2365" spans="1:20" x14ac:dyDescent="0.35">
      <c r="A2365" s="23"/>
      <c r="B2365" s="23"/>
      <c r="C2365" s="23"/>
      <c r="D2365" s="23"/>
      <c r="E2365" s="23"/>
      <c r="F2365" s="23"/>
      <c r="G2365" s="23"/>
      <c r="H2365" s="23"/>
      <c r="I2365" s="23"/>
      <c r="J2365" s="23"/>
      <c r="K2365" s="23"/>
      <c r="L2365" s="23"/>
      <c r="M2365" s="23"/>
      <c r="N2365" s="23"/>
      <c r="O2365" s="23"/>
      <c r="P2365" s="23"/>
      <c r="Q2365" s="23"/>
      <c r="R2365" s="23"/>
      <c r="S2365" s="23"/>
      <c r="T2365" s="23"/>
    </row>
    <row r="2366" spans="1:20" x14ac:dyDescent="0.35">
      <c r="A2366" s="23"/>
      <c r="B2366" s="23"/>
      <c r="C2366" s="23"/>
      <c r="D2366" s="23"/>
      <c r="E2366" s="23"/>
      <c r="F2366" s="23"/>
      <c r="G2366" s="23"/>
      <c r="H2366" s="23"/>
      <c r="I2366" s="23"/>
      <c r="J2366" s="23"/>
      <c r="K2366" s="23"/>
      <c r="L2366" s="23"/>
      <c r="M2366" s="23"/>
      <c r="N2366" s="23"/>
      <c r="O2366" s="23"/>
      <c r="P2366" s="23"/>
      <c r="Q2366" s="23"/>
      <c r="R2366" s="23"/>
      <c r="S2366" s="23"/>
      <c r="T2366" s="23"/>
    </row>
    <row r="2367" spans="1:20" x14ac:dyDescent="0.35">
      <c r="A2367" s="23"/>
      <c r="B2367" s="23"/>
      <c r="C2367" s="23"/>
      <c r="D2367" s="23"/>
      <c r="E2367" s="23"/>
      <c r="F2367" s="23"/>
      <c r="G2367" s="23"/>
      <c r="H2367" s="23"/>
      <c r="I2367" s="23"/>
      <c r="J2367" s="23"/>
      <c r="K2367" s="23"/>
      <c r="L2367" s="23"/>
      <c r="M2367" s="23"/>
      <c r="N2367" s="23"/>
      <c r="O2367" s="23"/>
      <c r="P2367" s="23"/>
      <c r="Q2367" s="23"/>
      <c r="R2367" s="23"/>
      <c r="S2367" s="23"/>
      <c r="T2367" s="23"/>
    </row>
    <row r="2368" spans="1:20" x14ac:dyDescent="0.35">
      <c r="A2368" s="23"/>
      <c r="B2368" s="23"/>
      <c r="C2368" s="23"/>
      <c r="D2368" s="23"/>
      <c r="E2368" s="23"/>
      <c r="F2368" s="23"/>
      <c r="G2368" s="23"/>
      <c r="H2368" s="23"/>
      <c r="I2368" s="23"/>
      <c r="J2368" s="23"/>
      <c r="K2368" s="23"/>
      <c r="L2368" s="23"/>
      <c r="M2368" s="23"/>
      <c r="N2368" s="23"/>
      <c r="O2368" s="23"/>
      <c r="P2368" s="23"/>
      <c r="Q2368" s="23"/>
      <c r="R2368" s="23"/>
      <c r="S2368" s="23"/>
      <c r="T2368" s="23"/>
    </row>
    <row r="2369" spans="1:20" x14ac:dyDescent="0.35">
      <c r="A2369" s="23"/>
      <c r="B2369" s="23"/>
      <c r="C2369" s="23"/>
      <c r="D2369" s="23"/>
      <c r="E2369" s="23"/>
      <c r="F2369" s="23"/>
      <c r="G2369" s="23"/>
      <c r="H2369" s="23"/>
      <c r="I2369" s="23"/>
      <c r="J2369" s="23"/>
      <c r="K2369" s="23"/>
      <c r="L2369" s="23"/>
      <c r="M2369" s="23"/>
      <c r="N2369" s="23"/>
      <c r="O2369" s="23"/>
      <c r="P2369" s="23"/>
      <c r="Q2369" s="23"/>
      <c r="R2369" s="23"/>
      <c r="S2369" s="23"/>
      <c r="T2369" s="23"/>
    </row>
    <row r="2370" spans="1:20" x14ac:dyDescent="0.35">
      <c r="A2370" s="23"/>
      <c r="B2370" s="23"/>
      <c r="C2370" s="23"/>
      <c r="D2370" s="23"/>
      <c r="E2370" s="23"/>
      <c r="F2370" s="23"/>
      <c r="G2370" s="23"/>
      <c r="H2370" s="23"/>
      <c r="I2370" s="23"/>
      <c r="J2370" s="23"/>
      <c r="K2370" s="23"/>
      <c r="L2370" s="23"/>
      <c r="M2370" s="23"/>
      <c r="N2370" s="23"/>
      <c r="O2370" s="23"/>
      <c r="P2370" s="23"/>
      <c r="Q2370" s="23"/>
      <c r="R2370" s="23"/>
      <c r="S2370" s="23"/>
      <c r="T2370" s="23"/>
    </row>
    <row r="2371" spans="1:20" x14ac:dyDescent="0.35">
      <c r="A2371" s="23"/>
      <c r="B2371" s="23"/>
      <c r="C2371" s="23"/>
      <c r="D2371" s="23"/>
      <c r="E2371" s="23"/>
      <c r="F2371" s="23"/>
      <c r="G2371" s="23"/>
      <c r="H2371" s="23"/>
      <c r="I2371" s="23"/>
      <c r="J2371" s="23"/>
      <c r="K2371" s="23"/>
      <c r="L2371" s="23"/>
      <c r="M2371" s="23"/>
      <c r="N2371" s="23"/>
      <c r="O2371" s="23"/>
      <c r="P2371" s="23"/>
      <c r="Q2371" s="23"/>
      <c r="R2371" s="23"/>
      <c r="S2371" s="23"/>
      <c r="T2371" s="23"/>
    </row>
    <row r="2372" spans="1:20" x14ac:dyDescent="0.35">
      <c r="A2372" s="23"/>
      <c r="B2372" s="23"/>
      <c r="C2372" s="23"/>
      <c r="D2372" s="23"/>
      <c r="E2372" s="23"/>
      <c r="F2372" s="23"/>
      <c r="G2372" s="23"/>
      <c r="H2372" s="23"/>
      <c r="I2372" s="23"/>
      <c r="J2372" s="23"/>
      <c r="K2372" s="23"/>
      <c r="L2372" s="23"/>
      <c r="M2372" s="23"/>
      <c r="N2372" s="23"/>
      <c r="O2372" s="23"/>
      <c r="P2372" s="23"/>
      <c r="Q2372" s="23"/>
      <c r="R2372" s="23"/>
      <c r="S2372" s="23"/>
      <c r="T2372" s="23"/>
    </row>
    <row r="2373" spans="1:20" x14ac:dyDescent="0.35">
      <c r="A2373" s="23"/>
      <c r="B2373" s="23"/>
      <c r="C2373" s="23"/>
      <c r="D2373" s="23"/>
      <c r="E2373" s="23"/>
      <c r="F2373" s="23"/>
      <c r="G2373" s="23"/>
      <c r="H2373" s="23"/>
      <c r="I2373" s="23"/>
      <c r="J2373" s="23"/>
      <c r="K2373" s="23"/>
      <c r="L2373" s="23"/>
      <c r="M2373" s="23"/>
      <c r="N2373" s="23"/>
      <c r="O2373" s="23"/>
      <c r="P2373" s="23"/>
      <c r="Q2373" s="23"/>
      <c r="R2373" s="23"/>
      <c r="S2373" s="23"/>
      <c r="T2373" s="23"/>
    </row>
    <row r="2374" spans="1:20" x14ac:dyDescent="0.35">
      <c r="A2374" s="23"/>
      <c r="B2374" s="23"/>
      <c r="C2374" s="23"/>
      <c r="D2374" s="23"/>
      <c r="E2374" s="23"/>
      <c r="F2374" s="23"/>
      <c r="G2374" s="23"/>
      <c r="H2374" s="23"/>
      <c r="I2374" s="23"/>
      <c r="J2374" s="23"/>
      <c r="K2374" s="23"/>
      <c r="L2374" s="23"/>
      <c r="M2374" s="23"/>
      <c r="N2374" s="23"/>
      <c r="O2374" s="23"/>
      <c r="P2374" s="23"/>
      <c r="Q2374" s="23"/>
      <c r="R2374" s="23"/>
      <c r="S2374" s="23"/>
      <c r="T2374" s="23"/>
    </row>
    <row r="2375" spans="1:20" x14ac:dyDescent="0.35">
      <c r="A2375" s="23"/>
      <c r="B2375" s="23"/>
      <c r="C2375" s="23"/>
      <c r="D2375" s="23"/>
      <c r="E2375" s="23"/>
      <c r="F2375" s="23"/>
      <c r="G2375" s="23"/>
      <c r="H2375" s="23"/>
      <c r="I2375" s="23"/>
      <c r="J2375" s="23"/>
      <c r="K2375" s="23"/>
      <c r="L2375" s="23"/>
      <c r="M2375" s="23"/>
      <c r="N2375" s="23"/>
      <c r="O2375" s="23"/>
      <c r="P2375" s="23"/>
      <c r="Q2375" s="23"/>
      <c r="R2375" s="23"/>
      <c r="S2375" s="23"/>
      <c r="T2375" s="23"/>
    </row>
    <row r="2376" spans="1:20" x14ac:dyDescent="0.35">
      <c r="A2376" s="23"/>
      <c r="B2376" s="23"/>
      <c r="C2376" s="23"/>
      <c r="D2376" s="23"/>
      <c r="E2376" s="23"/>
      <c r="F2376" s="23"/>
      <c r="G2376" s="23"/>
      <c r="H2376" s="23"/>
      <c r="I2376" s="23"/>
      <c r="J2376" s="23"/>
      <c r="K2376" s="23"/>
      <c r="L2376" s="23"/>
      <c r="M2376" s="23"/>
      <c r="N2376" s="23"/>
      <c r="O2376" s="23"/>
      <c r="P2376" s="23"/>
      <c r="Q2376" s="23"/>
      <c r="R2376" s="23"/>
      <c r="S2376" s="23"/>
      <c r="T2376" s="23"/>
    </row>
    <row r="2377" spans="1:20" x14ac:dyDescent="0.35">
      <c r="A2377" s="23"/>
      <c r="B2377" s="23"/>
      <c r="C2377" s="23"/>
      <c r="D2377" s="23"/>
      <c r="E2377" s="23"/>
      <c r="F2377" s="23"/>
      <c r="G2377" s="23"/>
      <c r="H2377" s="23"/>
      <c r="I2377" s="23"/>
      <c r="J2377" s="23"/>
      <c r="K2377" s="23"/>
      <c r="L2377" s="23"/>
      <c r="M2377" s="23"/>
      <c r="N2377" s="23"/>
      <c r="O2377" s="23"/>
      <c r="P2377" s="23"/>
      <c r="Q2377" s="23"/>
      <c r="R2377" s="23"/>
      <c r="S2377" s="23"/>
      <c r="T2377" s="23"/>
    </row>
    <row r="2378" spans="1:20" x14ac:dyDescent="0.35">
      <c r="A2378" s="23"/>
      <c r="B2378" s="23"/>
      <c r="C2378" s="23"/>
      <c r="D2378" s="23"/>
      <c r="E2378" s="23"/>
      <c r="F2378" s="23"/>
      <c r="G2378" s="23"/>
      <c r="H2378" s="23"/>
      <c r="I2378" s="23"/>
      <c r="J2378" s="23"/>
      <c r="K2378" s="23"/>
      <c r="L2378" s="23"/>
      <c r="M2378" s="23"/>
      <c r="N2378" s="23"/>
      <c r="O2378" s="23"/>
      <c r="P2378" s="23"/>
      <c r="Q2378" s="23"/>
      <c r="R2378" s="23"/>
      <c r="S2378" s="23"/>
      <c r="T2378" s="23"/>
    </row>
    <row r="2379" spans="1:20" x14ac:dyDescent="0.35">
      <c r="A2379" s="23"/>
      <c r="B2379" s="23"/>
      <c r="C2379" s="23"/>
      <c r="D2379" s="23"/>
      <c r="E2379" s="23"/>
      <c r="F2379" s="23"/>
      <c r="G2379" s="23"/>
      <c r="H2379" s="23"/>
      <c r="I2379" s="23"/>
      <c r="J2379" s="23"/>
      <c r="K2379" s="23"/>
      <c r="L2379" s="23"/>
      <c r="M2379" s="23"/>
      <c r="N2379" s="23"/>
      <c r="O2379" s="23"/>
      <c r="P2379" s="23"/>
      <c r="Q2379" s="23"/>
      <c r="R2379" s="23"/>
      <c r="S2379" s="23"/>
      <c r="T2379" s="23"/>
    </row>
    <row r="2380" spans="1:20" x14ac:dyDescent="0.35">
      <c r="A2380" s="23"/>
      <c r="B2380" s="23"/>
      <c r="C2380" s="23"/>
      <c r="D2380" s="23"/>
      <c r="E2380" s="23"/>
      <c r="F2380" s="23"/>
      <c r="G2380" s="23"/>
      <c r="H2380" s="23"/>
      <c r="I2380" s="23"/>
      <c r="J2380" s="23"/>
      <c r="K2380" s="23"/>
      <c r="L2380" s="23"/>
      <c r="M2380" s="23"/>
      <c r="N2380" s="23"/>
      <c r="O2380" s="23"/>
      <c r="P2380" s="23"/>
      <c r="Q2380" s="23"/>
      <c r="R2380" s="23"/>
      <c r="S2380" s="23"/>
      <c r="T2380" s="23"/>
    </row>
    <row r="2381" spans="1:20" x14ac:dyDescent="0.35">
      <c r="A2381" s="23"/>
      <c r="B2381" s="23"/>
      <c r="C2381" s="23"/>
      <c r="D2381" s="23"/>
      <c r="E2381" s="23"/>
      <c r="F2381" s="23"/>
      <c r="G2381" s="23"/>
      <c r="H2381" s="23"/>
      <c r="I2381" s="23"/>
      <c r="J2381" s="23"/>
      <c r="K2381" s="23"/>
      <c r="L2381" s="23"/>
      <c r="M2381" s="23"/>
      <c r="N2381" s="23"/>
      <c r="O2381" s="23"/>
      <c r="P2381" s="23"/>
      <c r="Q2381" s="23"/>
      <c r="R2381" s="23"/>
      <c r="S2381" s="23"/>
      <c r="T2381" s="23"/>
    </row>
    <row r="2382" spans="1:20" x14ac:dyDescent="0.35">
      <c r="A2382" s="23"/>
      <c r="B2382" s="23"/>
      <c r="C2382" s="23"/>
      <c r="D2382" s="23"/>
      <c r="E2382" s="23"/>
      <c r="F2382" s="23"/>
      <c r="G2382" s="23"/>
      <c r="H2382" s="23"/>
      <c r="I2382" s="23"/>
      <c r="J2382" s="23"/>
      <c r="K2382" s="23"/>
      <c r="L2382" s="23"/>
      <c r="M2382" s="23"/>
      <c r="N2382" s="23"/>
      <c r="O2382" s="23"/>
      <c r="P2382" s="23"/>
      <c r="Q2382" s="23"/>
      <c r="R2382" s="23"/>
      <c r="S2382" s="23"/>
      <c r="T2382" s="23"/>
    </row>
    <row r="2383" spans="1:20" x14ac:dyDescent="0.35">
      <c r="A2383" s="23"/>
      <c r="B2383" s="23"/>
      <c r="C2383" s="23"/>
      <c r="D2383" s="23"/>
      <c r="E2383" s="23"/>
      <c r="F2383" s="23"/>
      <c r="G2383" s="23"/>
      <c r="H2383" s="23"/>
      <c r="I2383" s="23"/>
      <c r="J2383" s="23"/>
      <c r="K2383" s="23"/>
      <c r="L2383" s="23"/>
      <c r="M2383" s="23"/>
      <c r="N2383" s="23"/>
      <c r="O2383" s="23"/>
      <c r="P2383" s="23"/>
      <c r="Q2383" s="23"/>
      <c r="R2383" s="23"/>
      <c r="S2383" s="23"/>
      <c r="T2383" s="23"/>
    </row>
    <row r="2384" spans="1:20" x14ac:dyDescent="0.35">
      <c r="A2384" s="23"/>
      <c r="B2384" s="23"/>
      <c r="C2384" s="23"/>
      <c r="D2384" s="23"/>
      <c r="E2384" s="23"/>
      <c r="F2384" s="23"/>
      <c r="G2384" s="23"/>
      <c r="H2384" s="23"/>
      <c r="I2384" s="23"/>
      <c r="J2384" s="23"/>
      <c r="K2384" s="23"/>
      <c r="L2384" s="23"/>
      <c r="M2384" s="23"/>
      <c r="N2384" s="23"/>
      <c r="O2384" s="23"/>
      <c r="P2384" s="23"/>
      <c r="Q2384" s="23"/>
      <c r="R2384" s="23"/>
      <c r="S2384" s="23"/>
      <c r="T2384" s="23"/>
    </row>
    <row r="2385" spans="1:20" x14ac:dyDescent="0.35">
      <c r="A2385" s="23"/>
      <c r="B2385" s="23"/>
      <c r="C2385" s="23"/>
      <c r="D2385" s="23"/>
      <c r="E2385" s="23"/>
      <c r="F2385" s="23"/>
      <c r="G2385" s="23"/>
      <c r="H2385" s="23"/>
      <c r="I2385" s="23"/>
      <c r="J2385" s="23"/>
      <c r="K2385" s="23"/>
      <c r="L2385" s="23"/>
      <c r="M2385" s="23"/>
      <c r="N2385" s="23"/>
      <c r="O2385" s="23"/>
      <c r="P2385" s="23"/>
      <c r="Q2385" s="23"/>
      <c r="R2385" s="23"/>
      <c r="S2385" s="23"/>
      <c r="T2385" s="23"/>
    </row>
    <row r="2386" spans="1:20" x14ac:dyDescent="0.35">
      <c r="A2386" s="23"/>
      <c r="B2386" s="23"/>
      <c r="C2386" s="23"/>
      <c r="D2386" s="23"/>
      <c r="E2386" s="23"/>
      <c r="F2386" s="23"/>
      <c r="G2386" s="23"/>
      <c r="H2386" s="23"/>
      <c r="I2386" s="23"/>
      <c r="J2386" s="23"/>
      <c r="K2386" s="23"/>
      <c r="L2386" s="23"/>
      <c r="M2386" s="23"/>
      <c r="N2386" s="23"/>
      <c r="O2386" s="23"/>
      <c r="P2386" s="23"/>
      <c r="Q2386" s="23"/>
      <c r="R2386" s="23"/>
      <c r="S2386" s="23"/>
      <c r="T2386" s="23"/>
    </row>
    <row r="2387" spans="1:20" x14ac:dyDescent="0.35">
      <c r="A2387" s="23"/>
      <c r="B2387" s="23"/>
      <c r="C2387" s="23"/>
      <c r="D2387" s="23"/>
      <c r="E2387" s="23"/>
      <c r="F2387" s="23"/>
      <c r="G2387" s="23"/>
      <c r="H2387" s="23"/>
      <c r="I2387" s="23"/>
      <c r="J2387" s="23"/>
      <c r="K2387" s="23"/>
      <c r="L2387" s="23"/>
      <c r="M2387" s="23"/>
      <c r="N2387" s="23"/>
      <c r="O2387" s="23"/>
      <c r="P2387" s="23"/>
      <c r="Q2387" s="23"/>
      <c r="R2387" s="23"/>
      <c r="S2387" s="23"/>
      <c r="T2387" s="23"/>
    </row>
    <row r="2388" spans="1:20" x14ac:dyDescent="0.35">
      <c r="A2388" s="23"/>
      <c r="B2388" s="23"/>
      <c r="C2388" s="23"/>
      <c r="D2388" s="23"/>
      <c r="E2388" s="23"/>
      <c r="F2388" s="23"/>
      <c r="G2388" s="23"/>
      <c r="H2388" s="23"/>
      <c r="I2388" s="23"/>
      <c r="J2388" s="23"/>
      <c r="K2388" s="23"/>
      <c r="L2388" s="23"/>
      <c r="M2388" s="23"/>
      <c r="N2388" s="23"/>
      <c r="O2388" s="23"/>
      <c r="P2388" s="23"/>
      <c r="Q2388" s="23"/>
      <c r="R2388" s="23"/>
      <c r="S2388" s="23"/>
      <c r="T2388" s="23"/>
    </row>
    <row r="2389" spans="1:20" x14ac:dyDescent="0.35">
      <c r="A2389" s="23"/>
      <c r="B2389" s="23"/>
      <c r="C2389" s="23"/>
      <c r="D2389" s="23"/>
      <c r="E2389" s="23"/>
      <c r="F2389" s="23"/>
      <c r="G2389" s="23"/>
      <c r="H2389" s="23"/>
      <c r="I2389" s="23"/>
      <c r="J2389" s="23"/>
      <c r="K2389" s="23"/>
      <c r="L2389" s="23"/>
      <c r="M2389" s="23"/>
      <c r="N2389" s="23"/>
      <c r="O2389" s="23"/>
      <c r="P2389" s="23"/>
      <c r="Q2389" s="23"/>
      <c r="R2389" s="23"/>
      <c r="S2389" s="23"/>
      <c r="T2389" s="23"/>
    </row>
    <row r="2390" spans="1:20" x14ac:dyDescent="0.35">
      <c r="A2390" s="23"/>
      <c r="B2390" s="23"/>
      <c r="C2390" s="23"/>
      <c r="D2390" s="23"/>
      <c r="E2390" s="23"/>
      <c r="F2390" s="23"/>
      <c r="G2390" s="23"/>
      <c r="H2390" s="23"/>
      <c r="I2390" s="23"/>
      <c r="J2390" s="23"/>
      <c r="K2390" s="23"/>
      <c r="L2390" s="23"/>
      <c r="M2390" s="23"/>
      <c r="N2390" s="23"/>
      <c r="O2390" s="23"/>
      <c r="P2390" s="23"/>
      <c r="Q2390" s="23"/>
      <c r="R2390" s="23"/>
      <c r="S2390" s="23"/>
      <c r="T2390" s="23"/>
    </row>
    <row r="2391" spans="1:20" x14ac:dyDescent="0.35">
      <c r="A2391" s="23"/>
      <c r="B2391" s="23"/>
      <c r="C2391" s="23"/>
      <c r="D2391" s="23"/>
      <c r="E2391" s="23"/>
      <c r="F2391" s="23"/>
      <c r="G2391" s="23"/>
      <c r="H2391" s="23"/>
      <c r="I2391" s="23"/>
      <c r="J2391" s="23"/>
      <c r="K2391" s="23"/>
      <c r="L2391" s="23"/>
      <c r="M2391" s="23"/>
      <c r="N2391" s="23"/>
      <c r="O2391" s="23"/>
      <c r="P2391" s="23"/>
      <c r="Q2391" s="23"/>
      <c r="R2391" s="23"/>
      <c r="S2391" s="23"/>
      <c r="T2391" s="23"/>
    </row>
    <row r="2392" spans="1:20" x14ac:dyDescent="0.35">
      <c r="A2392" s="23"/>
      <c r="B2392" s="23"/>
      <c r="C2392" s="23"/>
      <c r="D2392" s="23"/>
      <c r="E2392" s="23"/>
      <c r="F2392" s="23"/>
      <c r="G2392" s="23"/>
      <c r="H2392" s="23"/>
      <c r="I2392" s="23"/>
      <c r="J2392" s="23"/>
      <c r="K2392" s="23"/>
      <c r="L2392" s="23"/>
      <c r="M2392" s="23"/>
      <c r="N2392" s="23"/>
      <c r="O2392" s="23"/>
      <c r="P2392" s="23"/>
      <c r="Q2392" s="23"/>
      <c r="R2392" s="23"/>
      <c r="S2392" s="23"/>
      <c r="T2392" s="23"/>
    </row>
    <row r="2393" spans="1:20" x14ac:dyDescent="0.35">
      <c r="A2393" s="23"/>
      <c r="B2393" s="23"/>
      <c r="C2393" s="23"/>
      <c r="D2393" s="23"/>
      <c r="E2393" s="23"/>
      <c r="F2393" s="23"/>
      <c r="G2393" s="23"/>
      <c r="H2393" s="23"/>
      <c r="I2393" s="23"/>
      <c r="J2393" s="23"/>
      <c r="K2393" s="23"/>
      <c r="L2393" s="23"/>
      <c r="M2393" s="23"/>
      <c r="N2393" s="23"/>
      <c r="O2393" s="23"/>
      <c r="P2393" s="23"/>
      <c r="Q2393" s="23"/>
      <c r="R2393" s="23"/>
      <c r="S2393" s="23"/>
      <c r="T2393" s="23"/>
    </row>
    <row r="2394" spans="1:20" x14ac:dyDescent="0.35">
      <c r="A2394" s="23"/>
      <c r="B2394" s="23"/>
      <c r="C2394" s="23"/>
      <c r="D2394" s="23"/>
      <c r="E2394" s="23"/>
      <c r="F2394" s="23"/>
      <c r="G2394" s="23"/>
      <c r="H2394" s="23"/>
      <c r="I2394" s="23"/>
      <c r="J2394" s="23"/>
      <c r="K2394" s="23"/>
      <c r="L2394" s="23"/>
      <c r="M2394" s="23"/>
      <c r="N2394" s="23"/>
      <c r="O2394" s="23"/>
      <c r="P2394" s="23"/>
      <c r="Q2394" s="23"/>
      <c r="R2394" s="23"/>
      <c r="S2394" s="23"/>
      <c r="T2394" s="23"/>
    </row>
    <row r="2395" spans="1:20" x14ac:dyDescent="0.35">
      <c r="A2395" s="23"/>
      <c r="B2395" s="23"/>
      <c r="C2395" s="23"/>
      <c r="D2395" s="23"/>
      <c r="E2395" s="23"/>
      <c r="F2395" s="23"/>
      <c r="G2395" s="23"/>
      <c r="H2395" s="23"/>
      <c r="I2395" s="23"/>
      <c r="J2395" s="23"/>
      <c r="K2395" s="23"/>
      <c r="L2395" s="23"/>
      <c r="M2395" s="23"/>
      <c r="N2395" s="23"/>
      <c r="O2395" s="23"/>
      <c r="P2395" s="23"/>
      <c r="Q2395" s="23"/>
      <c r="R2395" s="23"/>
      <c r="S2395" s="23"/>
      <c r="T2395" s="23"/>
    </row>
    <row r="2396" spans="1:20" x14ac:dyDescent="0.35">
      <c r="A2396" s="23"/>
      <c r="B2396" s="23"/>
      <c r="C2396" s="23"/>
      <c r="D2396" s="23"/>
      <c r="E2396" s="23"/>
      <c r="F2396" s="23"/>
      <c r="G2396" s="23"/>
      <c r="H2396" s="23"/>
      <c r="I2396" s="23"/>
      <c r="J2396" s="23"/>
      <c r="K2396" s="23"/>
      <c r="L2396" s="23"/>
      <c r="M2396" s="23"/>
      <c r="N2396" s="23"/>
      <c r="O2396" s="23"/>
      <c r="P2396" s="23"/>
      <c r="Q2396" s="23"/>
      <c r="R2396" s="23"/>
      <c r="S2396" s="23"/>
      <c r="T2396" s="23"/>
    </row>
    <row r="2397" spans="1:20" x14ac:dyDescent="0.35">
      <c r="A2397" s="23"/>
      <c r="B2397" s="23"/>
      <c r="C2397" s="23"/>
      <c r="D2397" s="23"/>
      <c r="E2397" s="23"/>
      <c r="F2397" s="23"/>
      <c r="G2397" s="23"/>
      <c r="H2397" s="23"/>
      <c r="I2397" s="23"/>
      <c r="J2397" s="23"/>
      <c r="K2397" s="23"/>
      <c r="L2397" s="23"/>
      <c r="M2397" s="23"/>
      <c r="N2397" s="23"/>
      <c r="O2397" s="23"/>
      <c r="P2397" s="23"/>
      <c r="Q2397" s="23"/>
      <c r="R2397" s="23"/>
      <c r="S2397" s="23"/>
      <c r="T2397" s="23"/>
    </row>
    <row r="2398" spans="1:20" x14ac:dyDescent="0.35">
      <c r="A2398" s="23"/>
      <c r="B2398" s="23"/>
      <c r="C2398" s="23"/>
      <c r="D2398" s="23"/>
      <c r="E2398" s="23"/>
      <c r="F2398" s="23"/>
      <c r="G2398" s="23"/>
      <c r="H2398" s="23"/>
      <c r="I2398" s="23"/>
      <c r="J2398" s="23"/>
      <c r="K2398" s="23"/>
      <c r="L2398" s="23"/>
      <c r="M2398" s="23"/>
      <c r="N2398" s="23"/>
      <c r="O2398" s="23"/>
      <c r="P2398" s="23"/>
      <c r="Q2398" s="23"/>
      <c r="R2398" s="23"/>
      <c r="S2398" s="23"/>
      <c r="T2398" s="23"/>
    </row>
    <row r="2399" spans="1:20" x14ac:dyDescent="0.35">
      <c r="A2399" s="23"/>
      <c r="B2399" s="23"/>
      <c r="C2399" s="23"/>
      <c r="D2399" s="23"/>
      <c r="E2399" s="23"/>
      <c r="F2399" s="23"/>
      <c r="G2399" s="23"/>
      <c r="H2399" s="23"/>
      <c r="I2399" s="23"/>
      <c r="J2399" s="23"/>
      <c r="K2399" s="23"/>
      <c r="L2399" s="23"/>
      <c r="M2399" s="23"/>
      <c r="N2399" s="23"/>
      <c r="O2399" s="23"/>
      <c r="P2399" s="23"/>
      <c r="Q2399" s="23"/>
      <c r="R2399" s="23"/>
      <c r="S2399" s="23"/>
      <c r="T2399" s="23"/>
    </row>
    <row r="2400" spans="1:20" x14ac:dyDescent="0.35">
      <c r="A2400" s="23"/>
      <c r="B2400" s="23"/>
      <c r="C2400" s="23"/>
      <c r="D2400" s="23"/>
      <c r="E2400" s="23"/>
      <c r="F2400" s="23"/>
      <c r="G2400" s="23"/>
      <c r="H2400" s="23"/>
      <c r="I2400" s="23"/>
      <c r="J2400" s="23"/>
      <c r="K2400" s="23"/>
      <c r="L2400" s="23"/>
      <c r="M2400" s="23"/>
      <c r="N2400" s="23"/>
      <c r="O2400" s="23"/>
      <c r="P2400" s="23"/>
      <c r="Q2400" s="23"/>
      <c r="R2400" s="23"/>
      <c r="S2400" s="23"/>
      <c r="T2400" s="23"/>
    </row>
    <row r="2401" spans="1:20" x14ac:dyDescent="0.35">
      <c r="A2401" s="23"/>
      <c r="B2401" s="23"/>
      <c r="C2401" s="23"/>
      <c r="D2401" s="23"/>
      <c r="E2401" s="23"/>
      <c r="F2401" s="23"/>
      <c r="G2401" s="23"/>
      <c r="H2401" s="23"/>
      <c r="I2401" s="23"/>
      <c r="J2401" s="23"/>
      <c r="K2401" s="23"/>
      <c r="L2401" s="23"/>
      <c r="M2401" s="23"/>
      <c r="N2401" s="23"/>
      <c r="O2401" s="23"/>
      <c r="P2401" s="23"/>
      <c r="Q2401" s="23"/>
      <c r="R2401" s="23"/>
      <c r="S2401" s="23"/>
      <c r="T2401" s="23"/>
    </row>
    <row r="2402" spans="1:20" x14ac:dyDescent="0.35">
      <c r="A2402" s="23"/>
      <c r="B2402" s="23"/>
      <c r="C2402" s="23"/>
      <c r="D2402" s="23"/>
      <c r="E2402" s="23"/>
      <c r="F2402" s="23"/>
      <c r="G2402" s="23"/>
      <c r="H2402" s="23"/>
      <c r="I2402" s="23"/>
      <c r="J2402" s="23"/>
      <c r="K2402" s="23"/>
      <c r="L2402" s="23"/>
      <c r="M2402" s="23"/>
      <c r="N2402" s="23"/>
      <c r="O2402" s="23"/>
      <c r="P2402" s="23"/>
      <c r="Q2402" s="23"/>
      <c r="R2402" s="23"/>
      <c r="S2402" s="23"/>
      <c r="T2402" s="23"/>
    </row>
    <row r="2403" spans="1:20" x14ac:dyDescent="0.35">
      <c r="A2403" s="23"/>
      <c r="B2403" s="23"/>
      <c r="C2403" s="23"/>
      <c r="D2403" s="23"/>
      <c r="E2403" s="23"/>
      <c r="F2403" s="23"/>
      <c r="G2403" s="23"/>
      <c r="H2403" s="23"/>
      <c r="I2403" s="23"/>
      <c r="J2403" s="23"/>
      <c r="K2403" s="23"/>
      <c r="L2403" s="23"/>
      <c r="M2403" s="23"/>
      <c r="N2403" s="23"/>
      <c r="O2403" s="23"/>
      <c r="P2403" s="23"/>
      <c r="Q2403" s="23"/>
      <c r="R2403" s="23"/>
      <c r="S2403" s="23"/>
      <c r="T2403" s="23"/>
    </row>
    <row r="2404" spans="1:20" x14ac:dyDescent="0.35">
      <c r="A2404" s="23"/>
      <c r="B2404" s="23"/>
      <c r="C2404" s="23"/>
      <c r="D2404" s="23"/>
      <c r="E2404" s="23"/>
      <c r="F2404" s="23"/>
      <c r="G2404" s="23"/>
      <c r="H2404" s="23"/>
      <c r="I2404" s="23"/>
      <c r="J2404" s="23"/>
      <c r="K2404" s="23"/>
      <c r="L2404" s="23"/>
      <c r="M2404" s="23"/>
      <c r="N2404" s="23"/>
      <c r="O2404" s="23"/>
      <c r="P2404" s="23"/>
      <c r="Q2404" s="23"/>
      <c r="R2404" s="23"/>
      <c r="S2404" s="23"/>
      <c r="T2404" s="23"/>
    </row>
    <row r="2405" spans="1:20" x14ac:dyDescent="0.35">
      <c r="A2405" s="23"/>
      <c r="B2405" s="23"/>
      <c r="C2405" s="23"/>
      <c r="D2405" s="23"/>
      <c r="E2405" s="23"/>
      <c r="F2405" s="23"/>
      <c r="G2405" s="23"/>
      <c r="H2405" s="23"/>
      <c r="I2405" s="23"/>
      <c r="J2405" s="23"/>
      <c r="K2405" s="23"/>
      <c r="L2405" s="23"/>
      <c r="M2405" s="23"/>
      <c r="N2405" s="23"/>
      <c r="O2405" s="23"/>
      <c r="P2405" s="23"/>
      <c r="Q2405" s="23"/>
      <c r="R2405" s="23"/>
      <c r="S2405" s="23"/>
      <c r="T2405" s="23"/>
    </row>
    <row r="2406" spans="1:20" x14ac:dyDescent="0.35">
      <c r="A2406" s="23"/>
      <c r="B2406" s="23"/>
      <c r="C2406" s="23"/>
      <c r="D2406" s="23"/>
      <c r="E2406" s="23"/>
      <c r="F2406" s="23"/>
      <c r="G2406" s="23"/>
      <c r="H2406" s="23"/>
      <c r="I2406" s="23"/>
      <c r="J2406" s="23"/>
      <c r="K2406" s="23"/>
      <c r="L2406" s="23"/>
      <c r="M2406" s="23"/>
      <c r="N2406" s="23"/>
      <c r="O2406" s="23"/>
      <c r="P2406" s="23"/>
      <c r="Q2406" s="23"/>
      <c r="R2406" s="23"/>
      <c r="S2406" s="23"/>
      <c r="T2406" s="23"/>
    </row>
    <row r="2407" spans="1:20" x14ac:dyDescent="0.35">
      <c r="A2407" s="23"/>
      <c r="B2407" s="23"/>
      <c r="C2407" s="23"/>
      <c r="D2407" s="23"/>
      <c r="E2407" s="23"/>
      <c r="F2407" s="23"/>
      <c r="G2407" s="23"/>
      <c r="H2407" s="23"/>
      <c r="I2407" s="23"/>
      <c r="J2407" s="23"/>
      <c r="K2407" s="23"/>
      <c r="L2407" s="23"/>
      <c r="M2407" s="23"/>
      <c r="N2407" s="23"/>
      <c r="O2407" s="23"/>
      <c r="P2407" s="23"/>
      <c r="Q2407" s="23"/>
      <c r="R2407" s="23"/>
      <c r="S2407" s="23"/>
      <c r="T2407" s="23"/>
    </row>
    <row r="2408" spans="1:20" x14ac:dyDescent="0.35">
      <c r="A2408" s="23"/>
      <c r="B2408" s="23"/>
      <c r="C2408" s="23"/>
      <c r="D2408" s="23"/>
      <c r="E2408" s="23"/>
      <c r="F2408" s="23"/>
      <c r="G2408" s="23"/>
      <c r="H2408" s="23"/>
      <c r="I2408" s="23"/>
      <c r="J2408" s="23"/>
      <c r="K2408" s="23"/>
      <c r="L2408" s="23"/>
      <c r="M2408" s="23"/>
      <c r="N2408" s="23"/>
      <c r="O2408" s="23"/>
      <c r="P2408" s="23"/>
      <c r="Q2408" s="23"/>
      <c r="R2408" s="23"/>
      <c r="S2408" s="23"/>
      <c r="T2408" s="23"/>
    </row>
    <row r="2409" spans="1:20" x14ac:dyDescent="0.35">
      <c r="A2409" s="23"/>
      <c r="B2409" s="23"/>
      <c r="C2409" s="23"/>
      <c r="D2409" s="23"/>
      <c r="E2409" s="23"/>
      <c r="F2409" s="23"/>
      <c r="G2409" s="23"/>
      <c r="H2409" s="23"/>
      <c r="I2409" s="23"/>
      <c r="J2409" s="23"/>
      <c r="K2409" s="23"/>
      <c r="L2409" s="23"/>
      <c r="M2409" s="23"/>
      <c r="N2409" s="23"/>
      <c r="O2409" s="23"/>
      <c r="P2409" s="23"/>
      <c r="Q2409" s="23"/>
      <c r="R2409" s="23"/>
      <c r="S2409" s="23"/>
      <c r="T2409" s="23"/>
    </row>
    <row r="2410" spans="1:20" x14ac:dyDescent="0.35">
      <c r="A2410" s="23"/>
      <c r="B2410" s="23"/>
      <c r="C2410" s="23"/>
      <c r="D2410" s="23"/>
      <c r="E2410" s="23"/>
      <c r="F2410" s="23"/>
      <c r="G2410" s="23"/>
      <c r="H2410" s="23"/>
      <c r="I2410" s="23"/>
      <c r="J2410" s="23"/>
      <c r="K2410" s="23"/>
      <c r="L2410" s="23"/>
      <c r="M2410" s="23"/>
      <c r="N2410" s="23"/>
      <c r="O2410" s="23"/>
      <c r="P2410" s="23"/>
      <c r="Q2410" s="23"/>
      <c r="R2410" s="23"/>
      <c r="S2410" s="23"/>
      <c r="T2410" s="23"/>
    </row>
    <row r="2411" spans="1:20" x14ac:dyDescent="0.35">
      <c r="A2411" s="23"/>
      <c r="B2411" s="23"/>
      <c r="C2411" s="23"/>
      <c r="D2411" s="23"/>
      <c r="E2411" s="23"/>
      <c r="F2411" s="23"/>
      <c r="G2411" s="23"/>
      <c r="H2411" s="23"/>
      <c r="I2411" s="23"/>
      <c r="J2411" s="23"/>
      <c r="K2411" s="23"/>
      <c r="L2411" s="23"/>
      <c r="M2411" s="23"/>
      <c r="N2411" s="23"/>
      <c r="O2411" s="23"/>
      <c r="P2411" s="23"/>
      <c r="Q2411" s="23"/>
      <c r="R2411" s="23"/>
      <c r="S2411" s="23"/>
      <c r="T2411" s="23"/>
    </row>
    <row r="2412" spans="1:20" x14ac:dyDescent="0.35">
      <c r="A2412" s="23"/>
      <c r="B2412" s="23"/>
      <c r="C2412" s="23"/>
      <c r="D2412" s="23"/>
      <c r="E2412" s="23"/>
      <c r="F2412" s="23"/>
      <c r="G2412" s="23"/>
      <c r="H2412" s="23"/>
      <c r="I2412" s="23"/>
      <c r="J2412" s="23"/>
      <c r="K2412" s="23"/>
      <c r="L2412" s="23"/>
      <c r="M2412" s="23"/>
      <c r="N2412" s="23"/>
      <c r="O2412" s="23"/>
      <c r="P2412" s="23"/>
      <c r="Q2412" s="23"/>
      <c r="R2412" s="23"/>
      <c r="S2412" s="23"/>
      <c r="T2412" s="23"/>
    </row>
    <row r="2413" spans="1:20" x14ac:dyDescent="0.35">
      <c r="A2413" s="23"/>
      <c r="B2413" s="23"/>
      <c r="C2413" s="23"/>
      <c r="D2413" s="23"/>
      <c r="E2413" s="23"/>
      <c r="F2413" s="23"/>
      <c r="G2413" s="23"/>
      <c r="H2413" s="23"/>
      <c r="I2413" s="23"/>
      <c r="J2413" s="23"/>
      <c r="K2413" s="23"/>
      <c r="L2413" s="23"/>
      <c r="M2413" s="23"/>
      <c r="N2413" s="23"/>
      <c r="O2413" s="23"/>
      <c r="P2413" s="23"/>
      <c r="Q2413" s="23"/>
      <c r="R2413" s="23"/>
      <c r="S2413" s="23"/>
      <c r="T2413" s="23"/>
    </row>
    <row r="2414" spans="1:20" x14ac:dyDescent="0.35">
      <c r="A2414" s="23"/>
      <c r="B2414" s="23"/>
      <c r="C2414" s="23"/>
      <c r="D2414" s="23"/>
      <c r="E2414" s="23"/>
      <c r="F2414" s="23"/>
      <c r="G2414" s="23"/>
      <c r="H2414" s="23"/>
      <c r="I2414" s="23"/>
      <c r="J2414" s="23"/>
      <c r="K2414" s="23"/>
      <c r="L2414" s="23"/>
      <c r="M2414" s="23"/>
      <c r="N2414" s="23"/>
      <c r="O2414" s="23"/>
      <c r="P2414" s="23"/>
      <c r="Q2414" s="23"/>
      <c r="R2414" s="23"/>
      <c r="S2414" s="23"/>
      <c r="T2414" s="23"/>
    </row>
    <row r="2415" spans="1:20" x14ac:dyDescent="0.35">
      <c r="A2415" s="23"/>
      <c r="B2415" s="23"/>
      <c r="C2415" s="23"/>
      <c r="D2415" s="23"/>
      <c r="E2415" s="23"/>
      <c r="F2415" s="23"/>
      <c r="G2415" s="23"/>
      <c r="H2415" s="23"/>
      <c r="I2415" s="23"/>
      <c r="J2415" s="23"/>
      <c r="K2415" s="23"/>
      <c r="L2415" s="23"/>
      <c r="M2415" s="23"/>
      <c r="N2415" s="23"/>
      <c r="O2415" s="23"/>
      <c r="P2415" s="23"/>
      <c r="Q2415" s="23"/>
      <c r="R2415" s="23"/>
      <c r="S2415" s="23"/>
      <c r="T2415" s="23"/>
    </row>
    <row r="2416" spans="1:20" x14ac:dyDescent="0.35">
      <c r="A2416" s="23"/>
      <c r="B2416" s="23"/>
      <c r="C2416" s="23"/>
      <c r="D2416" s="23"/>
      <c r="E2416" s="23"/>
      <c r="F2416" s="23"/>
      <c r="G2416" s="23"/>
      <c r="H2416" s="23"/>
      <c r="I2416" s="23"/>
      <c r="J2416" s="23"/>
      <c r="K2416" s="23"/>
      <c r="L2416" s="23"/>
      <c r="M2416" s="23"/>
      <c r="N2416" s="23"/>
      <c r="O2416" s="23"/>
      <c r="P2416" s="23"/>
      <c r="Q2416" s="23"/>
      <c r="R2416" s="23"/>
      <c r="S2416" s="23"/>
      <c r="T2416" s="23"/>
    </row>
    <row r="2417" spans="1:20" x14ac:dyDescent="0.35">
      <c r="A2417" s="23"/>
      <c r="B2417" s="23"/>
      <c r="C2417" s="23"/>
      <c r="D2417" s="23"/>
      <c r="E2417" s="23"/>
      <c r="F2417" s="23"/>
      <c r="G2417" s="23"/>
      <c r="H2417" s="23"/>
      <c r="I2417" s="23"/>
      <c r="J2417" s="23"/>
      <c r="K2417" s="23"/>
      <c r="L2417" s="23"/>
      <c r="M2417" s="23"/>
      <c r="N2417" s="23"/>
      <c r="O2417" s="23"/>
      <c r="P2417" s="23"/>
      <c r="Q2417" s="23"/>
      <c r="R2417" s="23"/>
      <c r="S2417" s="23"/>
      <c r="T2417" s="23"/>
    </row>
    <row r="2418" spans="1:20" x14ac:dyDescent="0.35">
      <c r="A2418" s="23"/>
      <c r="B2418" s="23"/>
      <c r="C2418" s="23"/>
      <c r="D2418" s="23"/>
      <c r="E2418" s="23"/>
      <c r="F2418" s="23"/>
      <c r="G2418" s="23"/>
      <c r="H2418" s="23"/>
      <c r="I2418" s="23"/>
      <c r="J2418" s="23"/>
      <c r="K2418" s="23"/>
      <c r="L2418" s="23"/>
      <c r="M2418" s="23"/>
      <c r="N2418" s="23"/>
      <c r="O2418" s="23"/>
      <c r="P2418" s="23"/>
      <c r="Q2418" s="23"/>
      <c r="R2418" s="23"/>
      <c r="S2418" s="23"/>
      <c r="T2418" s="23"/>
    </row>
    <row r="2419" spans="1:20" x14ac:dyDescent="0.35">
      <c r="A2419" s="23"/>
      <c r="B2419" s="23"/>
      <c r="C2419" s="23"/>
      <c r="D2419" s="23"/>
      <c r="E2419" s="23"/>
      <c r="F2419" s="23"/>
      <c r="G2419" s="23"/>
      <c r="H2419" s="23"/>
      <c r="I2419" s="23"/>
      <c r="J2419" s="23"/>
      <c r="K2419" s="23"/>
      <c r="L2419" s="23"/>
      <c r="M2419" s="23"/>
      <c r="N2419" s="23"/>
      <c r="O2419" s="23"/>
      <c r="P2419" s="23"/>
      <c r="Q2419" s="23"/>
      <c r="R2419" s="23"/>
      <c r="S2419" s="23"/>
      <c r="T2419" s="23"/>
    </row>
    <row r="2420" spans="1:20" x14ac:dyDescent="0.35">
      <c r="A2420" s="23"/>
      <c r="B2420" s="23"/>
      <c r="C2420" s="23"/>
      <c r="D2420" s="23"/>
      <c r="E2420" s="23"/>
      <c r="F2420" s="23"/>
      <c r="G2420" s="23"/>
      <c r="H2420" s="23"/>
      <c r="I2420" s="23"/>
      <c r="J2420" s="23"/>
      <c r="K2420" s="23"/>
      <c r="L2420" s="23"/>
      <c r="M2420" s="23"/>
      <c r="N2420" s="23"/>
      <c r="O2420" s="23"/>
      <c r="P2420" s="23"/>
      <c r="Q2420" s="23"/>
      <c r="R2420" s="23"/>
      <c r="S2420" s="23"/>
      <c r="T2420" s="23"/>
    </row>
    <row r="2421" spans="1:20" x14ac:dyDescent="0.35">
      <c r="A2421" s="23"/>
      <c r="B2421" s="23"/>
      <c r="C2421" s="23"/>
      <c r="D2421" s="23"/>
      <c r="E2421" s="23"/>
      <c r="F2421" s="23"/>
      <c r="G2421" s="23"/>
      <c r="H2421" s="23"/>
      <c r="I2421" s="23"/>
      <c r="J2421" s="23"/>
      <c r="K2421" s="23"/>
      <c r="L2421" s="23"/>
      <c r="M2421" s="23"/>
      <c r="N2421" s="23"/>
      <c r="O2421" s="23"/>
      <c r="P2421" s="23"/>
      <c r="Q2421" s="23"/>
      <c r="R2421" s="23"/>
      <c r="S2421" s="23"/>
      <c r="T2421" s="23"/>
    </row>
    <row r="2422" spans="1:20" x14ac:dyDescent="0.35">
      <c r="A2422" s="23"/>
      <c r="B2422" s="23"/>
      <c r="C2422" s="23"/>
      <c r="D2422" s="23"/>
      <c r="E2422" s="23"/>
      <c r="F2422" s="23"/>
      <c r="G2422" s="23"/>
      <c r="H2422" s="23"/>
      <c r="I2422" s="23"/>
      <c r="J2422" s="23"/>
      <c r="K2422" s="23"/>
      <c r="L2422" s="23"/>
      <c r="M2422" s="23"/>
      <c r="N2422" s="23"/>
      <c r="O2422" s="23"/>
      <c r="P2422" s="23"/>
      <c r="Q2422" s="23"/>
      <c r="R2422" s="23"/>
      <c r="S2422" s="23"/>
      <c r="T2422" s="23"/>
    </row>
    <row r="2423" spans="1:20" x14ac:dyDescent="0.35">
      <c r="A2423" s="23"/>
      <c r="B2423" s="23"/>
      <c r="C2423" s="23"/>
      <c r="D2423" s="23"/>
      <c r="E2423" s="23"/>
      <c r="F2423" s="23"/>
      <c r="G2423" s="23"/>
      <c r="H2423" s="23"/>
      <c r="I2423" s="23"/>
      <c r="J2423" s="23"/>
      <c r="K2423" s="23"/>
      <c r="L2423" s="23"/>
      <c r="M2423" s="23"/>
      <c r="N2423" s="23"/>
      <c r="O2423" s="23"/>
      <c r="P2423" s="23"/>
      <c r="Q2423" s="23"/>
      <c r="R2423" s="23"/>
      <c r="S2423" s="23"/>
      <c r="T2423" s="23"/>
    </row>
    <row r="2424" spans="1:20" x14ac:dyDescent="0.35">
      <c r="A2424" s="23"/>
      <c r="B2424" s="23"/>
      <c r="C2424" s="23"/>
      <c r="D2424" s="23"/>
      <c r="E2424" s="23"/>
      <c r="F2424" s="23"/>
      <c r="G2424" s="23"/>
      <c r="H2424" s="23"/>
      <c r="I2424" s="23"/>
      <c r="J2424" s="23"/>
      <c r="K2424" s="23"/>
      <c r="L2424" s="23"/>
      <c r="M2424" s="23"/>
      <c r="N2424" s="23"/>
      <c r="O2424" s="23"/>
      <c r="P2424" s="23"/>
      <c r="Q2424" s="23"/>
      <c r="R2424" s="23"/>
      <c r="S2424" s="23"/>
      <c r="T2424" s="23"/>
    </row>
    <row r="2425" spans="1:20" x14ac:dyDescent="0.35">
      <c r="A2425" s="23"/>
      <c r="B2425" s="23"/>
      <c r="C2425" s="23"/>
      <c r="D2425" s="23"/>
      <c r="E2425" s="23"/>
      <c r="F2425" s="23"/>
      <c r="G2425" s="23"/>
      <c r="H2425" s="23"/>
      <c r="I2425" s="23"/>
      <c r="J2425" s="23"/>
      <c r="K2425" s="23"/>
      <c r="L2425" s="23"/>
      <c r="M2425" s="23"/>
      <c r="N2425" s="23"/>
      <c r="O2425" s="23"/>
      <c r="P2425" s="23"/>
      <c r="Q2425" s="23"/>
      <c r="R2425" s="23"/>
      <c r="S2425" s="23"/>
      <c r="T2425" s="23"/>
    </row>
    <row r="2426" spans="1:20" x14ac:dyDescent="0.35">
      <c r="A2426" s="23"/>
      <c r="B2426" s="23"/>
      <c r="C2426" s="23"/>
      <c r="D2426" s="23"/>
      <c r="E2426" s="23"/>
      <c r="F2426" s="23"/>
      <c r="G2426" s="23"/>
      <c r="H2426" s="23"/>
      <c r="I2426" s="23"/>
      <c r="J2426" s="23"/>
      <c r="K2426" s="23"/>
      <c r="L2426" s="23"/>
      <c r="M2426" s="23"/>
      <c r="N2426" s="23"/>
      <c r="O2426" s="23"/>
      <c r="P2426" s="23"/>
      <c r="Q2426" s="23"/>
      <c r="R2426" s="23"/>
      <c r="S2426" s="23"/>
      <c r="T2426" s="23"/>
    </row>
    <row r="2427" spans="1:20" x14ac:dyDescent="0.35">
      <c r="A2427" s="23"/>
      <c r="B2427" s="23"/>
      <c r="C2427" s="23"/>
      <c r="D2427" s="23"/>
      <c r="E2427" s="23"/>
      <c r="F2427" s="23"/>
      <c r="G2427" s="23"/>
      <c r="H2427" s="23"/>
      <c r="I2427" s="23"/>
      <c r="J2427" s="23"/>
      <c r="K2427" s="23"/>
      <c r="L2427" s="23"/>
      <c r="M2427" s="23"/>
      <c r="N2427" s="23"/>
      <c r="O2427" s="23"/>
      <c r="P2427" s="23"/>
      <c r="Q2427" s="23"/>
      <c r="R2427" s="23"/>
      <c r="S2427" s="23"/>
      <c r="T2427" s="23"/>
    </row>
    <row r="2428" spans="1:20" x14ac:dyDescent="0.35">
      <c r="A2428" s="23"/>
      <c r="B2428" s="23"/>
      <c r="C2428" s="23"/>
      <c r="D2428" s="23"/>
      <c r="E2428" s="23"/>
      <c r="F2428" s="23"/>
      <c r="G2428" s="23"/>
      <c r="H2428" s="23"/>
      <c r="I2428" s="23"/>
      <c r="J2428" s="23"/>
      <c r="K2428" s="23"/>
      <c r="L2428" s="23"/>
      <c r="M2428" s="23"/>
      <c r="N2428" s="23"/>
      <c r="O2428" s="23"/>
      <c r="P2428" s="23"/>
      <c r="Q2428" s="23"/>
      <c r="R2428" s="23"/>
      <c r="S2428" s="23"/>
      <c r="T2428" s="23"/>
    </row>
    <row r="2429" spans="1:20" x14ac:dyDescent="0.35">
      <c r="A2429" s="23"/>
      <c r="B2429" s="23"/>
      <c r="C2429" s="23"/>
      <c r="D2429" s="23"/>
      <c r="E2429" s="23"/>
      <c r="F2429" s="23"/>
      <c r="G2429" s="23"/>
      <c r="H2429" s="23"/>
      <c r="I2429" s="23"/>
      <c r="J2429" s="23"/>
      <c r="K2429" s="23"/>
      <c r="L2429" s="23"/>
      <c r="M2429" s="23"/>
      <c r="N2429" s="23"/>
      <c r="O2429" s="23"/>
      <c r="P2429" s="23"/>
      <c r="Q2429" s="23"/>
      <c r="R2429" s="23"/>
      <c r="S2429" s="23"/>
      <c r="T2429" s="23"/>
    </row>
    <row r="2430" spans="1:20" x14ac:dyDescent="0.35">
      <c r="A2430" s="23"/>
      <c r="B2430" s="23"/>
      <c r="C2430" s="23"/>
      <c r="D2430" s="23"/>
      <c r="E2430" s="23"/>
      <c r="F2430" s="23"/>
      <c r="G2430" s="23"/>
      <c r="H2430" s="23"/>
      <c r="I2430" s="23"/>
      <c r="J2430" s="23"/>
      <c r="K2430" s="23"/>
      <c r="L2430" s="23"/>
      <c r="M2430" s="23"/>
      <c r="N2430" s="23"/>
      <c r="O2430" s="23"/>
      <c r="P2430" s="23"/>
      <c r="Q2430" s="23"/>
      <c r="R2430" s="23"/>
      <c r="S2430" s="23"/>
      <c r="T2430" s="23"/>
    </row>
    <row r="2431" spans="1:20" x14ac:dyDescent="0.35">
      <c r="A2431" s="23"/>
      <c r="B2431" s="23"/>
      <c r="C2431" s="23"/>
      <c r="D2431" s="23"/>
      <c r="E2431" s="23"/>
      <c r="F2431" s="23"/>
      <c r="G2431" s="23"/>
      <c r="H2431" s="23"/>
      <c r="I2431" s="23"/>
      <c r="J2431" s="23"/>
      <c r="K2431" s="23"/>
      <c r="L2431" s="23"/>
      <c r="M2431" s="23"/>
      <c r="N2431" s="23"/>
      <c r="O2431" s="23"/>
      <c r="P2431" s="23"/>
      <c r="Q2431" s="23"/>
      <c r="R2431" s="23"/>
      <c r="S2431" s="23"/>
      <c r="T2431" s="23"/>
    </row>
    <row r="2432" spans="1:20" x14ac:dyDescent="0.35">
      <c r="A2432" s="23"/>
      <c r="B2432" s="23"/>
      <c r="C2432" s="23"/>
      <c r="D2432" s="23"/>
      <c r="E2432" s="23"/>
      <c r="F2432" s="23"/>
      <c r="G2432" s="23"/>
      <c r="H2432" s="23"/>
      <c r="I2432" s="23"/>
      <c r="J2432" s="23"/>
      <c r="K2432" s="23"/>
      <c r="L2432" s="23"/>
      <c r="M2432" s="23"/>
      <c r="N2432" s="23"/>
      <c r="O2432" s="23"/>
      <c r="P2432" s="23"/>
      <c r="Q2432" s="23"/>
      <c r="R2432" s="23"/>
      <c r="S2432" s="23"/>
      <c r="T2432" s="23"/>
    </row>
    <row r="2433" spans="1:20" x14ac:dyDescent="0.35">
      <c r="A2433" s="23"/>
      <c r="B2433" s="23"/>
      <c r="C2433" s="23"/>
      <c r="D2433" s="23"/>
      <c r="E2433" s="23"/>
      <c r="F2433" s="23"/>
      <c r="G2433" s="23"/>
      <c r="H2433" s="23"/>
      <c r="I2433" s="23"/>
      <c r="J2433" s="23"/>
      <c r="K2433" s="23"/>
      <c r="L2433" s="23"/>
      <c r="M2433" s="23"/>
      <c r="N2433" s="23"/>
      <c r="O2433" s="23"/>
      <c r="P2433" s="23"/>
      <c r="Q2433" s="23"/>
      <c r="R2433" s="23"/>
      <c r="S2433" s="23"/>
      <c r="T2433" s="23"/>
    </row>
    <row r="2434" spans="1:20" x14ac:dyDescent="0.35">
      <c r="A2434" s="23"/>
      <c r="B2434" s="23"/>
      <c r="C2434" s="23"/>
      <c r="D2434" s="23"/>
      <c r="E2434" s="23"/>
      <c r="F2434" s="23"/>
      <c r="G2434" s="23"/>
      <c r="H2434" s="23"/>
      <c r="I2434" s="23"/>
      <c r="J2434" s="23"/>
      <c r="K2434" s="23"/>
      <c r="L2434" s="23"/>
      <c r="M2434" s="23"/>
      <c r="N2434" s="23"/>
      <c r="O2434" s="23"/>
      <c r="P2434" s="23"/>
      <c r="Q2434" s="23"/>
      <c r="R2434" s="23"/>
      <c r="S2434" s="23"/>
      <c r="T2434" s="23"/>
    </row>
    <row r="2435" spans="1:20" x14ac:dyDescent="0.35">
      <c r="A2435" s="23"/>
      <c r="B2435" s="23"/>
      <c r="C2435" s="23"/>
      <c r="D2435" s="23"/>
      <c r="E2435" s="23"/>
      <c r="F2435" s="23"/>
      <c r="G2435" s="23"/>
      <c r="H2435" s="23"/>
      <c r="I2435" s="23"/>
      <c r="J2435" s="23"/>
      <c r="K2435" s="23"/>
      <c r="L2435" s="23"/>
      <c r="M2435" s="23"/>
      <c r="N2435" s="23"/>
      <c r="O2435" s="23"/>
      <c r="P2435" s="23"/>
      <c r="Q2435" s="23"/>
      <c r="R2435" s="23"/>
      <c r="S2435" s="23"/>
      <c r="T2435" s="23"/>
    </row>
    <row r="2436" spans="1:20" x14ac:dyDescent="0.35">
      <c r="A2436" s="23"/>
      <c r="B2436" s="23"/>
      <c r="C2436" s="23"/>
      <c r="D2436" s="23"/>
      <c r="E2436" s="23"/>
      <c r="F2436" s="23"/>
      <c r="G2436" s="23"/>
      <c r="H2436" s="23"/>
      <c r="I2436" s="23"/>
      <c r="J2436" s="23"/>
      <c r="K2436" s="23"/>
      <c r="L2436" s="23"/>
      <c r="M2436" s="23"/>
      <c r="N2436" s="23"/>
      <c r="O2436" s="23"/>
      <c r="P2436" s="23"/>
      <c r="Q2436" s="23"/>
      <c r="R2436" s="23"/>
      <c r="S2436" s="23"/>
      <c r="T2436" s="23"/>
    </row>
    <row r="2437" spans="1:20" x14ac:dyDescent="0.35">
      <c r="A2437" s="23"/>
      <c r="B2437" s="23"/>
      <c r="C2437" s="23"/>
      <c r="D2437" s="23"/>
      <c r="E2437" s="23"/>
      <c r="F2437" s="23"/>
      <c r="G2437" s="23"/>
      <c r="H2437" s="23"/>
      <c r="I2437" s="23"/>
      <c r="J2437" s="23"/>
      <c r="K2437" s="23"/>
      <c r="L2437" s="23"/>
      <c r="M2437" s="23"/>
      <c r="N2437" s="23"/>
      <c r="O2437" s="23"/>
      <c r="P2437" s="23"/>
      <c r="Q2437" s="23"/>
      <c r="R2437" s="23"/>
      <c r="S2437" s="23"/>
      <c r="T2437" s="23"/>
    </row>
    <row r="2438" spans="1:20" x14ac:dyDescent="0.35">
      <c r="A2438" s="23"/>
      <c r="B2438" s="23"/>
      <c r="C2438" s="23"/>
      <c r="D2438" s="23"/>
      <c r="E2438" s="23"/>
      <c r="F2438" s="23"/>
      <c r="G2438" s="23"/>
      <c r="H2438" s="23"/>
      <c r="I2438" s="23"/>
      <c r="J2438" s="23"/>
      <c r="K2438" s="23"/>
      <c r="L2438" s="23"/>
      <c r="M2438" s="23"/>
      <c r="N2438" s="23"/>
      <c r="O2438" s="23"/>
      <c r="P2438" s="23"/>
      <c r="Q2438" s="23"/>
      <c r="R2438" s="23"/>
      <c r="S2438" s="23"/>
      <c r="T2438" s="23"/>
    </row>
    <row r="2439" spans="1:20" x14ac:dyDescent="0.35">
      <c r="A2439" s="23"/>
      <c r="B2439" s="23"/>
      <c r="C2439" s="23"/>
      <c r="D2439" s="23"/>
      <c r="E2439" s="23"/>
      <c r="F2439" s="23"/>
      <c r="G2439" s="23"/>
      <c r="H2439" s="23"/>
      <c r="I2439" s="23"/>
      <c r="J2439" s="23"/>
      <c r="K2439" s="23"/>
      <c r="L2439" s="23"/>
      <c r="M2439" s="23"/>
      <c r="N2439" s="23"/>
      <c r="O2439" s="23"/>
      <c r="P2439" s="23"/>
      <c r="Q2439" s="23"/>
      <c r="R2439" s="23"/>
      <c r="S2439" s="23"/>
      <c r="T2439" s="23"/>
    </row>
    <row r="2440" spans="1:20" x14ac:dyDescent="0.35">
      <c r="A2440" s="23"/>
      <c r="B2440" s="23"/>
      <c r="C2440" s="23"/>
      <c r="D2440" s="23"/>
      <c r="E2440" s="23"/>
      <c r="F2440" s="23"/>
      <c r="G2440" s="23"/>
      <c r="H2440" s="23"/>
      <c r="I2440" s="23"/>
      <c r="J2440" s="23"/>
      <c r="K2440" s="23"/>
      <c r="L2440" s="23"/>
      <c r="M2440" s="23"/>
      <c r="N2440" s="23"/>
      <c r="O2440" s="23"/>
      <c r="P2440" s="23"/>
      <c r="Q2440" s="23"/>
      <c r="R2440" s="23"/>
      <c r="S2440" s="23"/>
      <c r="T2440" s="23"/>
    </row>
    <row r="2441" spans="1:20" x14ac:dyDescent="0.35">
      <c r="A2441" s="23"/>
      <c r="B2441" s="23"/>
      <c r="C2441" s="23"/>
      <c r="D2441" s="23"/>
      <c r="E2441" s="23"/>
      <c r="F2441" s="23"/>
      <c r="G2441" s="23"/>
      <c r="H2441" s="23"/>
      <c r="I2441" s="23"/>
      <c r="J2441" s="23"/>
      <c r="K2441" s="23"/>
      <c r="L2441" s="23"/>
      <c r="M2441" s="23"/>
      <c r="N2441" s="23"/>
      <c r="O2441" s="23"/>
      <c r="P2441" s="23"/>
      <c r="Q2441" s="23"/>
      <c r="R2441" s="23"/>
      <c r="S2441" s="23"/>
      <c r="T2441" s="23"/>
    </row>
    <row r="2442" spans="1:20" x14ac:dyDescent="0.35">
      <c r="A2442" s="23"/>
      <c r="B2442" s="23"/>
      <c r="C2442" s="23"/>
      <c r="D2442" s="23"/>
      <c r="E2442" s="23"/>
      <c r="F2442" s="23"/>
      <c r="G2442" s="23"/>
      <c r="H2442" s="23"/>
      <c r="I2442" s="23"/>
      <c r="J2442" s="23"/>
      <c r="K2442" s="23"/>
      <c r="L2442" s="23"/>
      <c r="M2442" s="23"/>
      <c r="N2442" s="23"/>
      <c r="O2442" s="23"/>
      <c r="P2442" s="23"/>
      <c r="Q2442" s="23"/>
      <c r="R2442" s="23"/>
      <c r="S2442" s="23"/>
      <c r="T2442" s="23"/>
    </row>
    <row r="2443" spans="1:20" x14ac:dyDescent="0.35">
      <c r="A2443" s="23"/>
      <c r="B2443" s="23"/>
      <c r="C2443" s="23"/>
      <c r="D2443" s="23"/>
      <c r="E2443" s="23"/>
      <c r="F2443" s="23"/>
      <c r="G2443" s="23"/>
      <c r="H2443" s="23"/>
      <c r="I2443" s="23"/>
      <c r="J2443" s="23"/>
      <c r="K2443" s="23"/>
      <c r="L2443" s="23"/>
      <c r="M2443" s="23"/>
      <c r="N2443" s="23"/>
      <c r="O2443" s="23"/>
      <c r="P2443" s="23"/>
      <c r="Q2443" s="23"/>
      <c r="R2443" s="23"/>
      <c r="S2443" s="23"/>
      <c r="T2443" s="23"/>
    </row>
    <row r="2444" spans="1:20" x14ac:dyDescent="0.35">
      <c r="A2444" s="23"/>
      <c r="B2444" s="23"/>
      <c r="C2444" s="23"/>
      <c r="D2444" s="23"/>
      <c r="E2444" s="23"/>
      <c r="F2444" s="23"/>
      <c r="G2444" s="23"/>
      <c r="H2444" s="23"/>
      <c r="I2444" s="23"/>
      <c r="J2444" s="23"/>
      <c r="K2444" s="23"/>
      <c r="L2444" s="23"/>
      <c r="M2444" s="23"/>
      <c r="N2444" s="23"/>
      <c r="O2444" s="23"/>
      <c r="P2444" s="23"/>
      <c r="Q2444" s="23"/>
      <c r="R2444" s="23"/>
      <c r="S2444" s="23"/>
      <c r="T2444" s="23"/>
    </row>
    <row r="2445" spans="1:20" x14ac:dyDescent="0.35">
      <c r="A2445" s="23"/>
      <c r="B2445" s="23"/>
      <c r="C2445" s="23"/>
      <c r="D2445" s="23"/>
      <c r="E2445" s="23"/>
      <c r="F2445" s="23"/>
      <c r="G2445" s="23"/>
      <c r="H2445" s="23"/>
      <c r="I2445" s="23"/>
      <c r="J2445" s="23"/>
      <c r="K2445" s="23"/>
      <c r="L2445" s="23"/>
      <c r="M2445" s="23"/>
      <c r="N2445" s="23"/>
      <c r="O2445" s="23"/>
      <c r="P2445" s="23"/>
      <c r="Q2445" s="23"/>
      <c r="R2445" s="23"/>
      <c r="S2445" s="23"/>
      <c r="T2445" s="23"/>
    </row>
    <row r="2446" spans="1:20" x14ac:dyDescent="0.35">
      <c r="A2446" s="23"/>
      <c r="B2446" s="23"/>
      <c r="C2446" s="23"/>
      <c r="D2446" s="23"/>
      <c r="E2446" s="23"/>
      <c r="F2446" s="23"/>
      <c r="G2446" s="23"/>
      <c r="H2446" s="23"/>
      <c r="I2446" s="23"/>
      <c r="J2446" s="23"/>
      <c r="K2446" s="23"/>
      <c r="L2446" s="23"/>
      <c r="M2446" s="23"/>
      <c r="N2446" s="23"/>
      <c r="O2446" s="23"/>
      <c r="P2446" s="23"/>
      <c r="Q2446" s="23"/>
      <c r="R2446" s="23"/>
      <c r="S2446" s="23"/>
      <c r="T2446" s="23"/>
    </row>
    <row r="2447" spans="1:20" x14ac:dyDescent="0.35">
      <c r="A2447" s="23"/>
      <c r="B2447" s="23"/>
      <c r="C2447" s="23"/>
      <c r="D2447" s="23"/>
      <c r="E2447" s="23"/>
      <c r="F2447" s="23"/>
      <c r="G2447" s="23"/>
      <c r="H2447" s="23"/>
      <c r="I2447" s="23"/>
      <c r="J2447" s="23"/>
      <c r="K2447" s="23"/>
      <c r="L2447" s="23"/>
      <c r="M2447" s="23"/>
      <c r="N2447" s="23"/>
      <c r="O2447" s="23"/>
      <c r="P2447" s="23"/>
      <c r="Q2447" s="23"/>
      <c r="R2447" s="23"/>
      <c r="S2447" s="23"/>
      <c r="T2447" s="23"/>
    </row>
    <row r="2448" spans="1:20" x14ac:dyDescent="0.35">
      <c r="A2448" s="23"/>
      <c r="B2448" s="23"/>
      <c r="C2448" s="23"/>
      <c r="D2448" s="23"/>
      <c r="E2448" s="23"/>
      <c r="F2448" s="23"/>
      <c r="G2448" s="23"/>
      <c r="H2448" s="23"/>
      <c r="I2448" s="23"/>
      <c r="J2448" s="23"/>
      <c r="K2448" s="23"/>
      <c r="L2448" s="23"/>
      <c r="M2448" s="23"/>
      <c r="N2448" s="23"/>
      <c r="O2448" s="23"/>
      <c r="P2448" s="23"/>
      <c r="Q2448" s="23"/>
      <c r="R2448" s="23"/>
      <c r="S2448" s="23"/>
      <c r="T2448" s="23"/>
    </row>
    <row r="2449" spans="1:20" x14ac:dyDescent="0.35">
      <c r="A2449" s="23"/>
      <c r="B2449" s="23"/>
      <c r="C2449" s="23"/>
      <c r="D2449" s="23"/>
      <c r="E2449" s="23"/>
      <c r="F2449" s="23"/>
      <c r="G2449" s="23"/>
      <c r="H2449" s="23"/>
      <c r="I2449" s="23"/>
      <c r="J2449" s="23"/>
      <c r="K2449" s="23"/>
      <c r="L2449" s="23"/>
      <c r="M2449" s="23"/>
      <c r="N2449" s="23"/>
      <c r="O2449" s="23"/>
      <c r="P2449" s="23"/>
      <c r="Q2449" s="23"/>
      <c r="R2449" s="23"/>
      <c r="S2449" s="23"/>
      <c r="T2449" s="23"/>
    </row>
    <row r="2450" spans="1:20" x14ac:dyDescent="0.35">
      <c r="A2450" s="23"/>
      <c r="B2450" s="23"/>
      <c r="C2450" s="23"/>
      <c r="D2450" s="23"/>
      <c r="E2450" s="23"/>
      <c r="F2450" s="23"/>
      <c r="G2450" s="23"/>
      <c r="H2450" s="23"/>
      <c r="I2450" s="23"/>
      <c r="J2450" s="23"/>
      <c r="K2450" s="23"/>
      <c r="L2450" s="23"/>
      <c r="M2450" s="23"/>
      <c r="N2450" s="23"/>
      <c r="O2450" s="23"/>
      <c r="P2450" s="23"/>
      <c r="Q2450" s="23"/>
      <c r="R2450" s="23"/>
      <c r="S2450" s="23"/>
      <c r="T2450" s="23"/>
    </row>
    <row r="2451" spans="1:20" x14ac:dyDescent="0.35">
      <c r="A2451" s="23"/>
      <c r="B2451" s="23"/>
      <c r="C2451" s="23"/>
      <c r="D2451" s="23"/>
      <c r="E2451" s="23"/>
      <c r="F2451" s="23"/>
      <c r="G2451" s="23"/>
      <c r="H2451" s="23"/>
      <c r="I2451" s="23"/>
      <c r="J2451" s="23"/>
      <c r="K2451" s="23"/>
      <c r="L2451" s="23"/>
      <c r="M2451" s="23"/>
      <c r="N2451" s="23"/>
      <c r="O2451" s="23"/>
      <c r="P2451" s="23"/>
      <c r="Q2451" s="23"/>
      <c r="R2451" s="23"/>
      <c r="S2451" s="23"/>
      <c r="T2451" s="23"/>
    </row>
    <row r="2452" spans="1:20" x14ac:dyDescent="0.35">
      <c r="A2452" s="23"/>
      <c r="B2452" s="23"/>
      <c r="C2452" s="23"/>
      <c r="D2452" s="23"/>
      <c r="E2452" s="23"/>
      <c r="F2452" s="23"/>
      <c r="G2452" s="23"/>
      <c r="H2452" s="23"/>
      <c r="I2452" s="23"/>
      <c r="J2452" s="23"/>
      <c r="K2452" s="23"/>
      <c r="L2452" s="23"/>
      <c r="M2452" s="23"/>
      <c r="N2452" s="23"/>
      <c r="O2452" s="23"/>
      <c r="P2452" s="23"/>
      <c r="Q2452" s="23"/>
      <c r="R2452" s="23"/>
      <c r="S2452" s="23"/>
      <c r="T2452" s="23"/>
    </row>
    <row r="2453" spans="1:20" x14ac:dyDescent="0.35">
      <c r="A2453" s="23"/>
      <c r="B2453" s="23"/>
      <c r="C2453" s="23"/>
      <c r="D2453" s="23"/>
      <c r="E2453" s="23"/>
      <c r="F2453" s="23"/>
      <c r="G2453" s="23"/>
      <c r="H2453" s="23"/>
      <c r="I2453" s="23"/>
      <c r="J2453" s="23"/>
      <c r="K2453" s="23"/>
      <c r="L2453" s="23"/>
      <c r="M2453" s="23"/>
      <c r="N2453" s="23"/>
      <c r="O2453" s="23"/>
      <c r="P2453" s="23"/>
      <c r="Q2453" s="23"/>
      <c r="R2453" s="23"/>
      <c r="S2453" s="23"/>
      <c r="T2453" s="23"/>
    </row>
    <row r="2454" spans="1:20" x14ac:dyDescent="0.35">
      <c r="A2454" s="23"/>
      <c r="B2454" s="23"/>
      <c r="C2454" s="23"/>
      <c r="D2454" s="23"/>
      <c r="E2454" s="23"/>
      <c r="F2454" s="23"/>
      <c r="G2454" s="23"/>
      <c r="H2454" s="23"/>
      <c r="I2454" s="23"/>
      <c r="J2454" s="23"/>
      <c r="K2454" s="23"/>
      <c r="L2454" s="23"/>
      <c r="M2454" s="23"/>
      <c r="N2454" s="23"/>
      <c r="O2454" s="23"/>
      <c r="P2454" s="23"/>
      <c r="Q2454" s="23"/>
      <c r="R2454" s="23"/>
      <c r="S2454" s="23"/>
      <c r="T2454" s="23"/>
    </row>
    <row r="2455" spans="1:20" x14ac:dyDescent="0.35">
      <c r="A2455" s="23"/>
      <c r="B2455" s="23"/>
      <c r="C2455" s="23"/>
      <c r="D2455" s="23"/>
      <c r="E2455" s="23"/>
      <c r="F2455" s="23"/>
      <c r="G2455" s="23"/>
      <c r="H2455" s="23"/>
      <c r="I2455" s="23"/>
      <c r="J2455" s="23"/>
      <c r="K2455" s="23"/>
      <c r="L2455" s="23"/>
      <c r="M2455" s="23"/>
      <c r="N2455" s="23"/>
      <c r="O2455" s="23"/>
      <c r="P2455" s="23"/>
      <c r="Q2455" s="23"/>
      <c r="R2455" s="23"/>
      <c r="S2455" s="23"/>
      <c r="T2455" s="23"/>
    </row>
    <row r="2456" spans="1:20" x14ac:dyDescent="0.35">
      <c r="A2456" s="23"/>
      <c r="B2456" s="23"/>
      <c r="C2456" s="23"/>
      <c r="D2456" s="23"/>
      <c r="E2456" s="23"/>
      <c r="F2456" s="23"/>
      <c r="G2456" s="23"/>
      <c r="H2456" s="23"/>
      <c r="I2456" s="23"/>
      <c r="J2456" s="23"/>
      <c r="K2456" s="23"/>
      <c r="L2456" s="23"/>
      <c r="M2456" s="23"/>
      <c r="N2456" s="23"/>
      <c r="O2456" s="23"/>
      <c r="P2456" s="23"/>
      <c r="Q2456" s="23"/>
      <c r="R2456" s="23"/>
      <c r="S2456" s="23"/>
      <c r="T2456" s="23"/>
    </row>
    <row r="2457" spans="1:20" x14ac:dyDescent="0.35">
      <c r="A2457" s="23"/>
      <c r="B2457" s="23"/>
      <c r="C2457" s="23"/>
      <c r="D2457" s="23"/>
      <c r="E2457" s="23"/>
      <c r="F2457" s="23"/>
      <c r="G2457" s="23"/>
      <c r="H2457" s="23"/>
      <c r="I2457" s="23"/>
      <c r="J2457" s="23"/>
      <c r="K2457" s="23"/>
      <c r="L2457" s="23"/>
      <c r="M2457" s="23"/>
      <c r="N2457" s="23"/>
      <c r="O2457" s="23"/>
      <c r="P2457" s="23"/>
      <c r="Q2457" s="23"/>
      <c r="R2457" s="23"/>
      <c r="S2457" s="23"/>
      <c r="T2457" s="23"/>
    </row>
    <row r="2458" spans="1:20" x14ac:dyDescent="0.35">
      <c r="A2458" s="23"/>
      <c r="B2458" s="23"/>
      <c r="C2458" s="23"/>
      <c r="D2458" s="23"/>
      <c r="E2458" s="23"/>
      <c r="F2458" s="23"/>
      <c r="G2458" s="23"/>
      <c r="H2458" s="23"/>
      <c r="I2458" s="23"/>
      <c r="J2458" s="23"/>
      <c r="K2458" s="23"/>
      <c r="L2458" s="23"/>
      <c r="M2458" s="23"/>
      <c r="N2458" s="23"/>
      <c r="O2458" s="23"/>
      <c r="P2458" s="23"/>
      <c r="Q2458" s="23"/>
      <c r="R2458" s="23"/>
      <c r="S2458" s="23"/>
      <c r="T2458" s="23"/>
    </row>
    <row r="2459" spans="1:20" x14ac:dyDescent="0.35">
      <c r="A2459" s="23"/>
      <c r="B2459" s="23"/>
      <c r="C2459" s="23"/>
      <c r="D2459" s="23"/>
      <c r="E2459" s="23"/>
      <c r="F2459" s="23"/>
      <c r="G2459" s="23"/>
      <c r="H2459" s="23"/>
      <c r="I2459" s="23"/>
      <c r="J2459" s="23"/>
      <c r="K2459" s="23"/>
      <c r="L2459" s="23"/>
      <c r="M2459" s="23"/>
      <c r="N2459" s="23"/>
      <c r="O2459" s="23"/>
      <c r="P2459" s="23"/>
      <c r="Q2459" s="23"/>
      <c r="R2459" s="23"/>
      <c r="S2459" s="23"/>
      <c r="T2459" s="23"/>
    </row>
    <row r="2460" spans="1:20" x14ac:dyDescent="0.35">
      <c r="A2460" s="23"/>
      <c r="B2460" s="23"/>
      <c r="C2460" s="23"/>
      <c r="D2460" s="23"/>
      <c r="E2460" s="23"/>
      <c r="F2460" s="23"/>
      <c r="G2460" s="23"/>
      <c r="H2460" s="23"/>
      <c r="I2460" s="23"/>
      <c r="J2460" s="23"/>
      <c r="K2460" s="23"/>
      <c r="L2460" s="23"/>
      <c r="M2460" s="23"/>
      <c r="N2460" s="23"/>
      <c r="O2460" s="23"/>
      <c r="P2460" s="23"/>
      <c r="Q2460" s="23"/>
      <c r="R2460" s="23"/>
      <c r="S2460" s="23"/>
      <c r="T2460" s="23"/>
    </row>
    <row r="2461" spans="1:20" x14ac:dyDescent="0.35">
      <c r="A2461" s="23"/>
      <c r="B2461" s="23"/>
      <c r="C2461" s="23"/>
      <c r="D2461" s="23"/>
      <c r="E2461" s="23"/>
      <c r="F2461" s="23"/>
      <c r="G2461" s="23"/>
      <c r="H2461" s="23"/>
      <c r="I2461" s="23"/>
      <c r="J2461" s="23"/>
      <c r="K2461" s="23"/>
      <c r="L2461" s="23"/>
      <c r="M2461" s="23"/>
      <c r="N2461" s="23"/>
      <c r="O2461" s="23"/>
      <c r="P2461" s="23"/>
      <c r="Q2461" s="23"/>
      <c r="R2461" s="23"/>
      <c r="S2461" s="23"/>
      <c r="T2461" s="23"/>
    </row>
    <row r="2462" spans="1:20" x14ac:dyDescent="0.35">
      <c r="A2462" s="23"/>
      <c r="B2462" s="23"/>
      <c r="C2462" s="23"/>
      <c r="D2462" s="23"/>
      <c r="E2462" s="23"/>
      <c r="F2462" s="23"/>
      <c r="G2462" s="23"/>
      <c r="H2462" s="23"/>
      <c r="I2462" s="23"/>
      <c r="J2462" s="23"/>
      <c r="K2462" s="23"/>
      <c r="L2462" s="23"/>
      <c r="M2462" s="23"/>
      <c r="N2462" s="23"/>
      <c r="O2462" s="23"/>
      <c r="P2462" s="23"/>
      <c r="Q2462" s="23"/>
      <c r="R2462" s="23"/>
      <c r="S2462" s="23"/>
      <c r="T2462" s="23"/>
    </row>
    <row r="2463" spans="1:20" x14ac:dyDescent="0.35">
      <c r="A2463" s="23"/>
      <c r="B2463" s="23"/>
      <c r="C2463" s="23"/>
      <c r="D2463" s="23"/>
      <c r="E2463" s="23"/>
      <c r="F2463" s="23"/>
      <c r="G2463" s="23"/>
      <c r="H2463" s="23"/>
      <c r="I2463" s="23"/>
      <c r="J2463" s="23"/>
      <c r="K2463" s="23"/>
      <c r="L2463" s="23"/>
      <c r="M2463" s="23"/>
      <c r="N2463" s="23"/>
      <c r="O2463" s="23"/>
      <c r="P2463" s="23"/>
      <c r="Q2463" s="23"/>
      <c r="R2463" s="23"/>
      <c r="S2463" s="23"/>
      <c r="T2463" s="23"/>
    </row>
    <row r="2464" spans="1:20" x14ac:dyDescent="0.35">
      <c r="A2464" s="23"/>
      <c r="B2464" s="23"/>
      <c r="C2464" s="23"/>
      <c r="D2464" s="23"/>
      <c r="E2464" s="23"/>
      <c r="F2464" s="23"/>
      <c r="G2464" s="23"/>
      <c r="H2464" s="23"/>
      <c r="I2464" s="23"/>
      <c r="J2464" s="23"/>
      <c r="K2464" s="23"/>
      <c r="L2464" s="23"/>
      <c r="M2464" s="23"/>
      <c r="N2464" s="23"/>
      <c r="O2464" s="23"/>
      <c r="P2464" s="23"/>
      <c r="Q2464" s="23"/>
      <c r="R2464" s="23"/>
      <c r="S2464" s="23"/>
      <c r="T2464" s="23"/>
    </row>
    <row r="2465" spans="1:20" x14ac:dyDescent="0.35">
      <c r="A2465" s="23"/>
      <c r="B2465" s="23"/>
      <c r="C2465" s="23"/>
      <c r="D2465" s="23"/>
      <c r="E2465" s="23"/>
      <c r="F2465" s="23"/>
      <c r="G2465" s="23"/>
      <c r="H2465" s="23"/>
      <c r="I2465" s="23"/>
      <c r="J2465" s="23"/>
      <c r="K2465" s="23"/>
      <c r="L2465" s="23"/>
      <c r="M2465" s="23"/>
      <c r="N2465" s="23"/>
      <c r="O2465" s="23"/>
      <c r="P2465" s="23"/>
      <c r="Q2465" s="23"/>
      <c r="R2465" s="23"/>
      <c r="S2465" s="23"/>
      <c r="T2465" s="23"/>
    </row>
    <row r="2466" spans="1:20" x14ac:dyDescent="0.35">
      <c r="A2466" s="23"/>
      <c r="B2466" s="23"/>
      <c r="C2466" s="23"/>
      <c r="D2466" s="23"/>
      <c r="E2466" s="23"/>
      <c r="F2466" s="23"/>
      <c r="G2466" s="23"/>
      <c r="H2466" s="23"/>
      <c r="I2466" s="23"/>
      <c r="J2466" s="23"/>
      <c r="K2466" s="23"/>
      <c r="L2466" s="23"/>
      <c r="M2466" s="23"/>
      <c r="N2466" s="23"/>
      <c r="O2466" s="23"/>
      <c r="P2466" s="23"/>
      <c r="Q2466" s="23"/>
      <c r="R2466" s="23"/>
      <c r="S2466" s="23"/>
      <c r="T2466" s="23"/>
    </row>
    <row r="2467" spans="1:20" x14ac:dyDescent="0.35">
      <c r="A2467" s="23"/>
      <c r="B2467" s="23"/>
      <c r="C2467" s="23"/>
      <c r="D2467" s="23"/>
      <c r="E2467" s="23"/>
      <c r="F2467" s="23"/>
      <c r="G2467" s="23"/>
      <c r="H2467" s="23"/>
      <c r="I2467" s="23"/>
      <c r="J2467" s="23"/>
      <c r="K2467" s="23"/>
      <c r="L2467" s="23"/>
      <c r="M2467" s="23"/>
      <c r="N2467" s="23"/>
      <c r="O2467" s="23"/>
      <c r="P2467" s="23"/>
      <c r="Q2467" s="23"/>
      <c r="R2467" s="23"/>
      <c r="S2467" s="23"/>
      <c r="T2467" s="23"/>
    </row>
    <row r="2468" spans="1:20" x14ac:dyDescent="0.35">
      <c r="A2468" s="23"/>
      <c r="B2468" s="23"/>
      <c r="C2468" s="23"/>
      <c r="D2468" s="23"/>
      <c r="E2468" s="23"/>
      <c r="F2468" s="23"/>
      <c r="G2468" s="23"/>
      <c r="H2468" s="23"/>
      <c r="I2468" s="23"/>
      <c r="J2468" s="23"/>
      <c r="K2468" s="23"/>
      <c r="L2468" s="23"/>
      <c r="M2468" s="23"/>
      <c r="N2468" s="23"/>
      <c r="O2468" s="23"/>
      <c r="P2468" s="23"/>
      <c r="Q2468" s="23"/>
      <c r="R2468" s="23"/>
      <c r="S2468" s="23"/>
      <c r="T2468" s="23"/>
    </row>
    <row r="2469" spans="1:20" x14ac:dyDescent="0.35">
      <c r="A2469" s="23"/>
      <c r="B2469" s="23"/>
      <c r="C2469" s="23"/>
      <c r="D2469" s="23"/>
      <c r="E2469" s="23"/>
      <c r="F2469" s="23"/>
      <c r="G2469" s="23"/>
      <c r="H2469" s="23"/>
      <c r="I2469" s="23"/>
      <c r="J2469" s="23"/>
      <c r="K2469" s="23"/>
      <c r="L2469" s="23"/>
      <c r="M2469" s="23"/>
      <c r="N2469" s="23"/>
      <c r="O2469" s="23"/>
      <c r="P2469" s="23"/>
      <c r="Q2469" s="23"/>
      <c r="R2469" s="23"/>
      <c r="S2469" s="23"/>
      <c r="T2469" s="23"/>
    </row>
    <row r="2470" spans="1:20" x14ac:dyDescent="0.35">
      <c r="A2470" s="23"/>
      <c r="B2470" s="23"/>
      <c r="C2470" s="23"/>
      <c r="D2470" s="23"/>
      <c r="E2470" s="23"/>
      <c r="F2470" s="23"/>
      <c r="G2470" s="23"/>
      <c r="H2470" s="23"/>
      <c r="I2470" s="23"/>
      <c r="J2470" s="23"/>
      <c r="K2470" s="23"/>
      <c r="L2470" s="23"/>
      <c r="M2470" s="23"/>
      <c r="N2470" s="23"/>
      <c r="O2470" s="23"/>
      <c r="P2470" s="23"/>
      <c r="Q2470" s="23"/>
      <c r="R2470" s="23"/>
      <c r="S2470" s="23"/>
      <c r="T2470" s="23"/>
    </row>
    <row r="2471" spans="1:20" x14ac:dyDescent="0.35">
      <c r="A2471" s="23"/>
      <c r="B2471" s="23"/>
      <c r="C2471" s="23"/>
      <c r="D2471" s="23"/>
      <c r="E2471" s="23"/>
      <c r="F2471" s="23"/>
      <c r="G2471" s="23"/>
      <c r="H2471" s="23"/>
      <c r="I2471" s="23"/>
      <c r="J2471" s="23"/>
      <c r="K2471" s="23"/>
      <c r="L2471" s="23"/>
      <c r="M2471" s="23"/>
      <c r="N2471" s="23"/>
      <c r="O2471" s="23"/>
      <c r="P2471" s="23"/>
      <c r="Q2471" s="23"/>
      <c r="R2471" s="23"/>
      <c r="S2471" s="23"/>
      <c r="T2471" s="23"/>
    </row>
    <row r="2472" spans="1:20" x14ac:dyDescent="0.35">
      <c r="A2472" s="23"/>
      <c r="B2472" s="23"/>
      <c r="C2472" s="23"/>
      <c r="D2472" s="23"/>
      <c r="E2472" s="23"/>
      <c r="F2472" s="23"/>
      <c r="G2472" s="23"/>
      <c r="H2472" s="23"/>
      <c r="I2472" s="23"/>
      <c r="J2472" s="23"/>
      <c r="K2472" s="23"/>
      <c r="L2472" s="23"/>
      <c r="M2472" s="23"/>
      <c r="N2472" s="23"/>
      <c r="O2472" s="23"/>
      <c r="P2472" s="23"/>
      <c r="Q2472" s="23"/>
      <c r="R2472" s="23"/>
      <c r="S2472" s="23"/>
      <c r="T2472" s="23"/>
    </row>
    <row r="2473" spans="1:20" x14ac:dyDescent="0.35">
      <c r="A2473" s="23"/>
      <c r="B2473" s="23"/>
      <c r="C2473" s="23"/>
      <c r="D2473" s="23"/>
      <c r="E2473" s="23"/>
      <c r="F2473" s="23"/>
      <c r="G2473" s="23"/>
      <c r="H2473" s="23"/>
      <c r="I2473" s="23"/>
      <c r="J2473" s="23"/>
      <c r="K2473" s="23"/>
      <c r="L2473" s="23"/>
      <c r="M2473" s="23"/>
      <c r="N2473" s="23"/>
      <c r="O2473" s="23"/>
      <c r="P2473" s="23"/>
      <c r="Q2473" s="23"/>
      <c r="R2473" s="23"/>
      <c r="S2473" s="23"/>
      <c r="T2473" s="23"/>
    </row>
    <row r="2474" spans="1:20" x14ac:dyDescent="0.35">
      <c r="A2474" s="23"/>
      <c r="B2474" s="23"/>
      <c r="C2474" s="23"/>
      <c r="D2474" s="23"/>
      <c r="E2474" s="23"/>
      <c r="F2474" s="23"/>
      <c r="G2474" s="23"/>
      <c r="H2474" s="23"/>
      <c r="I2474" s="23"/>
      <c r="J2474" s="23"/>
      <c r="K2474" s="23"/>
      <c r="L2474" s="23"/>
      <c r="M2474" s="23"/>
      <c r="N2474" s="23"/>
      <c r="O2474" s="23"/>
      <c r="P2474" s="23"/>
      <c r="Q2474" s="23"/>
      <c r="R2474" s="23"/>
      <c r="S2474" s="23"/>
      <c r="T2474" s="23"/>
    </row>
    <row r="2475" spans="1:20" x14ac:dyDescent="0.35">
      <c r="A2475" s="23"/>
      <c r="B2475" s="23"/>
      <c r="C2475" s="23"/>
      <c r="D2475" s="23"/>
      <c r="E2475" s="23"/>
      <c r="F2475" s="23"/>
      <c r="G2475" s="23"/>
      <c r="H2475" s="23"/>
      <c r="I2475" s="23"/>
      <c r="J2475" s="23"/>
      <c r="K2475" s="23"/>
      <c r="L2475" s="23"/>
      <c r="M2475" s="23"/>
      <c r="N2475" s="23"/>
      <c r="O2475" s="23"/>
      <c r="P2475" s="23"/>
      <c r="Q2475" s="23"/>
      <c r="R2475" s="23"/>
      <c r="S2475" s="23"/>
      <c r="T2475" s="23"/>
    </row>
    <row r="2476" spans="1:20" x14ac:dyDescent="0.35">
      <c r="A2476" s="23"/>
      <c r="B2476" s="23"/>
      <c r="C2476" s="23"/>
      <c r="D2476" s="23"/>
      <c r="E2476" s="23"/>
      <c r="F2476" s="23"/>
      <c r="G2476" s="23"/>
      <c r="H2476" s="23"/>
      <c r="I2476" s="23"/>
      <c r="J2476" s="23"/>
      <c r="K2476" s="23"/>
      <c r="L2476" s="23"/>
      <c r="M2476" s="23"/>
      <c r="N2476" s="23"/>
      <c r="O2476" s="23"/>
      <c r="P2476" s="23"/>
      <c r="Q2476" s="23"/>
      <c r="R2476" s="23"/>
      <c r="S2476" s="23"/>
      <c r="T2476" s="23"/>
    </row>
    <row r="2477" spans="1:20" x14ac:dyDescent="0.35">
      <c r="A2477" s="23"/>
      <c r="B2477" s="23"/>
      <c r="C2477" s="23"/>
      <c r="D2477" s="23"/>
      <c r="E2477" s="23"/>
      <c r="F2477" s="23"/>
      <c r="G2477" s="23"/>
      <c r="H2477" s="23"/>
      <c r="I2477" s="23"/>
      <c r="J2477" s="23"/>
      <c r="K2477" s="23"/>
      <c r="L2477" s="23"/>
      <c r="M2477" s="23"/>
      <c r="N2477" s="23"/>
      <c r="O2477" s="23"/>
      <c r="P2477" s="23"/>
      <c r="Q2477" s="23"/>
      <c r="R2477" s="23"/>
      <c r="S2477" s="23"/>
      <c r="T2477" s="23"/>
    </row>
    <row r="2478" spans="1:20" x14ac:dyDescent="0.35">
      <c r="A2478" s="23"/>
      <c r="B2478" s="23"/>
      <c r="C2478" s="23"/>
      <c r="D2478" s="23"/>
      <c r="E2478" s="23"/>
      <c r="F2478" s="23"/>
      <c r="G2478" s="23"/>
      <c r="H2478" s="23"/>
      <c r="I2478" s="23"/>
      <c r="J2478" s="23"/>
      <c r="K2478" s="23"/>
      <c r="L2478" s="23"/>
      <c r="M2478" s="23"/>
      <c r="N2478" s="23"/>
      <c r="O2478" s="23"/>
      <c r="P2478" s="23"/>
      <c r="Q2478" s="23"/>
      <c r="R2478" s="23"/>
      <c r="S2478" s="23"/>
      <c r="T2478" s="23"/>
    </row>
    <row r="2479" spans="1:20" x14ac:dyDescent="0.35">
      <c r="A2479" s="23"/>
      <c r="B2479" s="23"/>
      <c r="C2479" s="23"/>
      <c r="D2479" s="23"/>
      <c r="E2479" s="23"/>
      <c r="F2479" s="23"/>
      <c r="G2479" s="23"/>
      <c r="H2479" s="23"/>
      <c r="I2479" s="23"/>
      <c r="J2479" s="23"/>
      <c r="K2479" s="23"/>
      <c r="L2479" s="23"/>
      <c r="M2479" s="23"/>
      <c r="N2479" s="23"/>
      <c r="O2479" s="23"/>
      <c r="P2479" s="23"/>
      <c r="Q2479" s="23"/>
      <c r="R2479" s="23"/>
      <c r="S2479" s="23"/>
      <c r="T2479" s="23"/>
    </row>
    <row r="2480" spans="1:20" x14ac:dyDescent="0.35">
      <c r="A2480" s="23"/>
      <c r="B2480" s="23"/>
      <c r="C2480" s="23"/>
      <c r="D2480" s="23"/>
      <c r="E2480" s="23"/>
      <c r="F2480" s="23"/>
      <c r="G2480" s="23"/>
      <c r="H2480" s="23"/>
      <c r="I2480" s="23"/>
      <c r="J2480" s="23"/>
      <c r="K2480" s="23"/>
      <c r="L2480" s="23"/>
      <c r="M2480" s="23"/>
      <c r="N2480" s="23"/>
      <c r="O2480" s="23"/>
      <c r="P2480" s="23"/>
      <c r="Q2480" s="23"/>
      <c r="R2480" s="23"/>
      <c r="S2480" s="23"/>
      <c r="T2480" s="23"/>
    </row>
    <row r="2481" spans="1:20" x14ac:dyDescent="0.35">
      <c r="A2481" s="23"/>
      <c r="B2481" s="23"/>
      <c r="C2481" s="23"/>
      <c r="D2481" s="23"/>
      <c r="E2481" s="23"/>
      <c r="F2481" s="23"/>
      <c r="G2481" s="23"/>
      <c r="H2481" s="23"/>
      <c r="I2481" s="23"/>
      <c r="J2481" s="23"/>
      <c r="K2481" s="23"/>
      <c r="L2481" s="23"/>
      <c r="M2481" s="23"/>
      <c r="N2481" s="23"/>
      <c r="O2481" s="23"/>
      <c r="P2481" s="23"/>
      <c r="Q2481" s="23"/>
      <c r="R2481" s="23"/>
      <c r="S2481" s="23"/>
      <c r="T2481" s="23"/>
    </row>
    <row r="2482" spans="1:20" x14ac:dyDescent="0.35">
      <c r="A2482" s="23"/>
      <c r="B2482" s="23"/>
      <c r="C2482" s="23"/>
      <c r="D2482" s="23"/>
      <c r="E2482" s="23"/>
      <c r="F2482" s="23"/>
      <c r="G2482" s="23"/>
      <c r="H2482" s="23"/>
      <c r="I2482" s="23"/>
      <c r="J2482" s="23"/>
      <c r="K2482" s="23"/>
      <c r="L2482" s="23"/>
      <c r="M2482" s="23"/>
      <c r="N2482" s="23"/>
      <c r="O2482" s="23"/>
      <c r="P2482" s="23"/>
      <c r="Q2482" s="23"/>
      <c r="R2482" s="23"/>
      <c r="S2482" s="23"/>
      <c r="T2482" s="23"/>
    </row>
    <row r="2483" spans="1:20" x14ac:dyDescent="0.35">
      <c r="A2483" s="23"/>
      <c r="B2483" s="23"/>
      <c r="C2483" s="23"/>
      <c r="D2483" s="23"/>
      <c r="E2483" s="23"/>
      <c r="F2483" s="23"/>
      <c r="G2483" s="23"/>
      <c r="H2483" s="23"/>
      <c r="I2483" s="23"/>
      <c r="J2483" s="23"/>
      <c r="K2483" s="23"/>
      <c r="L2483" s="23"/>
      <c r="M2483" s="23"/>
      <c r="N2483" s="23"/>
      <c r="O2483" s="23"/>
      <c r="P2483" s="23"/>
      <c r="Q2483" s="23"/>
      <c r="R2483" s="23"/>
      <c r="S2483" s="23"/>
      <c r="T2483" s="23"/>
    </row>
    <row r="2484" spans="1:20" x14ac:dyDescent="0.35">
      <c r="A2484" s="23"/>
      <c r="B2484" s="23"/>
      <c r="C2484" s="23"/>
      <c r="D2484" s="23"/>
      <c r="E2484" s="23"/>
      <c r="F2484" s="23"/>
      <c r="G2484" s="23"/>
      <c r="H2484" s="23"/>
      <c r="I2484" s="23"/>
      <c r="J2484" s="23"/>
      <c r="K2484" s="23"/>
      <c r="L2484" s="23"/>
      <c r="M2484" s="23"/>
      <c r="N2484" s="23"/>
      <c r="O2484" s="23"/>
      <c r="P2484" s="23"/>
      <c r="Q2484" s="23"/>
      <c r="R2484" s="23"/>
      <c r="S2484" s="23"/>
      <c r="T2484" s="23"/>
    </row>
    <row r="2485" spans="1:20" x14ac:dyDescent="0.35">
      <c r="A2485" s="23"/>
      <c r="B2485" s="23"/>
      <c r="C2485" s="23"/>
      <c r="D2485" s="23"/>
      <c r="E2485" s="23"/>
      <c r="F2485" s="23"/>
      <c r="G2485" s="23"/>
      <c r="H2485" s="23"/>
      <c r="I2485" s="23"/>
      <c r="J2485" s="23"/>
      <c r="K2485" s="23"/>
      <c r="L2485" s="23"/>
      <c r="M2485" s="23"/>
      <c r="N2485" s="23"/>
      <c r="O2485" s="23"/>
      <c r="P2485" s="23"/>
      <c r="Q2485" s="23"/>
      <c r="R2485" s="23"/>
      <c r="S2485" s="23"/>
      <c r="T2485" s="23"/>
    </row>
    <row r="2486" spans="1:20" x14ac:dyDescent="0.35">
      <c r="A2486" s="23"/>
      <c r="B2486" s="23"/>
      <c r="C2486" s="23"/>
      <c r="D2486" s="23"/>
      <c r="E2486" s="23"/>
      <c r="F2486" s="23"/>
      <c r="G2486" s="23"/>
      <c r="H2486" s="23"/>
      <c r="I2486" s="23"/>
      <c r="J2486" s="23"/>
      <c r="K2486" s="23"/>
      <c r="L2486" s="23"/>
      <c r="M2486" s="23"/>
      <c r="N2486" s="23"/>
      <c r="O2486" s="23"/>
      <c r="P2486" s="23"/>
      <c r="Q2486" s="23"/>
      <c r="R2486" s="23"/>
      <c r="S2486" s="23"/>
      <c r="T2486" s="23"/>
    </row>
    <row r="2487" spans="1:20" x14ac:dyDescent="0.35">
      <c r="A2487" s="23"/>
      <c r="B2487" s="23"/>
      <c r="C2487" s="23"/>
      <c r="D2487" s="23"/>
      <c r="E2487" s="23"/>
      <c r="F2487" s="23"/>
      <c r="G2487" s="23"/>
      <c r="H2487" s="23"/>
      <c r="I2487" s="23"/>
      <c r="J2487" s="23"/>
      <c r="K2487" s="23"/>
      <c r="L2487" s="23"/>
      <c r="M2487" s="23"/>
      <c r="N2487" s="23"/>
      <c r="O2487" s="23"/>
      <c r="P2487" s="23"/>
      <c r="Q2487" s="23"/>
      <c r="R2487" s="23"/>
      <c r="S2487" s="23"/>
      <c r="T2487" s="23"/>
    </row>
    <row r="2488" spans="1:20" x14ac:dyDescent="0.35">
      <c r="A2488" s="23"/>
      <c r="B2488" s="23"/>
      <c r="C2488" s="23"/>
      <c r="D2488" s="23"/>
      <c r="E2488" s="23"/>
      <c r="F2488" s="23"/>
      <c r="G2488" s="23"/>
      <c r="H2488" s="23"/>
      <c r="I2488" s="23"/>
      <c r="J2488" s="23"/>
      <c r="K2488" s="23"/>
      <c r="L2488" s="23"/>
      <c r="M2488" s="23"/>
      <c r="N2488" s="23"/>
      <c r="O2488" s="23"/>
      <c r="P2488" s="23"/>
      <c r="Q2488" s="23"/>
      <c r="R2488" s="23"/>
      <c r="S2488" s="23"/>
      <c r="T2488" s="23"/>
    </row>
    <row r="2489" spans="1:20" x14ac:dyDescent="0.35">
      <c r="A2489" s="23"/>
      <c r="B2489" s="23"/>
      <c r="C2489" s="23"/>
      <c r="D2489" s="23"/>
      <c r="E2489" s="23"/>
      <c r="F2489" s="23"/>
      <c r="G2489" s="23"/>
      <c r="H2489" s="23"/>
      <c r="I2489" s="23"/>
      <c r="J2489" s="23"/>
      <c r="K2489" s="23"/>
      <c r="L2489" s="23"/>
      <c r="M2489" s="23"/>
      <c r="N2489" s="23"/>
      <c r="O2489" s="23"/>
      <c r="P2489" s="23"/>
      <c r="Q2489" s="23"/>
      <c r="R2489" s="23"/>
      <c r="S2489" s="23"/>
      <c r="T2489" s="23"/>
    </row>
    <row r="2490" spans="1:20" x14ac:dyDescent="0.35">
      <c r="A2490" s="23"/>
      <c r="B2490" s="23"/>
      <c r="C2490" s="23"/>
      <c r="D2490" s="23"/>
      <c r="E2490" s="23"/>
      <c r="F2490" s="23"/>
      <c r="G2490" s="23"/>
      <c r="H2490" s="23"/>
      <c r="I2490" s="23"/>
      <c r="J2490" s="23"/>
      <c r="K2490" s="23"/>
      <c r="L2490" s="23"/>
      <c r="M2490" s="23"/>
      <c r="N2490" s="23"/>
      <c r="O2490" s="23"/>
      <c r="P2490" s="23"/>
      <c r="Q2490" s="23"/>
      <c r="R2490" s="23"/>
      <c r="S2490" s="23"/>
      <c r="T2490" s="23"/>
    </row>
    <row r="2491" spans="1:20" x14ac:dyDescent="0.35">
      <c r="A2491" s="23"/>
      <c r="B2491" s="23"/>
      <c r="C2491" s="23"/>
      <c r="D2491" s="23"/>
      <c r="E2491" s="23"/>
      <c r="F2491" s="23"/>
      <c r="G2491" s="23"/>
      <c r="H2491" s="23"/>
      <c r="I2491" s="23"/>
      <c r="J2491" s="23"/>
      <c r="K2491" s="23"/>
      <c r="L2491" s="23"/>
      <c r="M2491" s="23"/>
      <c r="N2491" s="23"/>
      <c r="O2491" s="23"/>
      <c r="P2491" s="23"/>
      <c r="Q2491" s="23"/>
      <c r="R2491" s="23"/>
      <c r="S2491" s="23"/>
      <c r="T2491" s="23"/>
    </row>
    <row r="2492" spans="1:20" x14ac:dyDescent="0.35">
      <c r="A2492" s="23"/>
      <c r="B2492" s="23"/>
      <c r="C2492" s="23"/>
      <c r="D2492" s="23"/>
      <c r="E2492" s="23"/>
      <c r="F2492" s="23"/>
      <c r="G2492" s="23"/>
      <c r="H2492" s="23"/>
      <c r="I2492" s="23"/>
      <c r="J2492" s="23"/>
      <c r="K2492" s="23"/>
      <c r="L2492" s="23"/>
      <c r="M2492" s="23"/>
      <c r="N2492" s="23"/>
      <c r="O2492" s="23"/>
      <c r="P2492" s="23"/>
      <c r="Q2492" s="23"/>
      <c r="R2492" s="23"/>
      <c r="S2492" s="23"/>
      <c r="T2492" s="23"/>
    </row>
    <row r="2493" spans="1:20" x14ac:dyDescent="0.35">
      <c r="A2493" s="23"/>
      <c r="B2493" s="23"/>
      <c r="C2493" s="23"/>
      <c r="D2493" s="23"/>
      <c r="E2493" s="23"/>
      <c r="F2493" s="23"/>
      <c r="G2493" s="23"/>
      <c r="H2493" s="23"/>
      <c r="I2493" s="23"/>
      <c r="J2493" s="23"/>
      <c r="K2493" s="23"/>
      <c r="L2493" s="23"/>
      <c r="M2493" s="23"/>
      <c r="N2493" s="23"/>
      <c r="O2493" s="23"/>
      <c r="P2493" s="23"/>
      <c r="Q2493" s="23"/>
      <c r="R2493" s="23"/>
      <c r="S2493" s="23"/>
      <c r="T2493" s="23"/>
    </row>
    <row r="2494" spans="1:20" x14ac:dyDescent="0.35">
      <c r="A2494" s="23"/>
      <c r="B2494" s="23"/>
      <c r="C2494" s="23"/>
      <c r="D2494" s="23"/>
      <c r="E2494" s="23"/>
      <c r="F2494" s="23"/>
      <c r="G2494" s="23"/>
      <c r="H2494" s="23"/>
      <c r="I2494" s="23"/>
      <c r="J2494" s="23"/>
      <c r="K2494" s="23"/>
      <c r="L2494" s="23"/>
      <c r="M2494" s="23"/>
      <c r="N2494" s="23"/>
      <c r="O2494" s="23"/>
      <c r="P2494" s="23"/>
      <c r="Q2494" s="23"/>
      <c r="R2494" s="23"/>
      <c r="S2494" s="23"/>
      <c r="T2494" s="23"/>
    </row>
    <row r="2495" spans="1:20" x14ac:dyDescent="0.35">
      <c r="A2495" s="23"/>
      <c r="B2495" s="23"/>
      <c r="C2495" s="23"/>
      <c r="D2495" s="23"/>
      <c r="E2495" s="23"/>
      <c r="F2495" s="23"/>
      <c r="G2495" s="23"/>
      <c r="H2495" s="23"/>
      <c r="I2495" s="23"/>
      <c r="J2495" s="23"/>
      <c r="K2495" s="23"/>
      <c r="L2495" s="23"/>
      <c r="M2495" s="23"/>
      <c r="N2495" s="23"/>
      <c r="O2495" s="23"/>
      <c r="P2495" s="23"/>
      <c r="Q2495" s="23"/>
      <c r="R2495" s="23"/>
      <c r="S2495" s="23"/>
      <c r="T2495" s="23"/>
    </row>
    <row r="2496" spans="1:20" x14ac:dyDescent="0.35">
      <c r="A2496" s="23"/>
      <c r="B2496" s="23"/>
      <c r="C2496" s="23"/>
      <c r="D2496" s="23"/>
      <c r="E2496" s="23"/>
      <c r="F2496" s="23"/>
      <c r="G2496" s="23"/>
      <c r="H2496" s="23"/>
      <c r="I2496" s="23"/>
      <c r="J2496" s="23"/>
      <c r="K2496" s="23"/>
      <c r="L2496" s="23"/>
      <c r="M2496" s="23"/>
      <c r="N2496" s="23"/>
      <c r="O2496" s="23"/>
      <c r="P2496" s="23"/>
      <c r="Q2496" s="23"/>
      <c r="R2496" s="23"/>
      <c r="S2496" s="23"/>
      <c r="T2496" s="23"/>
    </row>
    <row r="2497" spans="1:20" x14ac:dyDescent="0.35">
      <c r="A2497" s="23"/>
      <c r="B2497" s="23"/>
      <c r="C2497" s="23"/>
      <c r="D2497" s="23"/>
      <c r="E2497" s="23"/>
      <c r="F2497" s="23"/>
      <c r="G2497" s="23"/>
      <c r="H2497" s="23"/>
      <c r="I2497" s="23"/>
      <c r="J2497" s="23"/>
      <c r="K2497" s="23"/>
      <c r="L2497" s="23"/>
      <c r="M2497" s="23"/>
      <c r="N2497" s="23"/>
      <c r="O2497" s="23"/>
      <c r="P2497" s="23"/>
      <c r="Q2497" s="23"/>
      <c r="R2497" s="23"/>
      <c r="S2497" s="23"/>
      <c r="T2497" s="23"/>
    </row>
    <row r="2498" spans="1:20" x14ac:dyDescent="0.35">
      <c r="A2498" s="23"/>
      <c r="B2498" s="23"/>
      <c r="C2498" s="23"/>
      <c r="D2498" s="23"/>
      <c r="E2498" s="23"/>
      <c r="F2498" s="23"/>
      <c r="G2498" s="23"/>
      <c r="H2498" s="23"/>
      <c r="I2498" s="23"/>
      <c r="J2498" s="23"/>
      <c r="K2498" s="23"/>
      <c r="L2498" s="23"/>
      <c r="M2498" s="23"/>
      <c r="N2498" s="23"/>
      <c r="O2498" s="23"/>
      <c r="P2498" s="23"/>
      <c r="Q2498" s="23"/>
      <c r="R2498" s="23"/>
      <c r="S2498" s="23"/>
      <c r="T2498" s="23"/>
    </row>
    <row r="2499" spans="1:20" x14ac:dyDescent="0.35">
      <c r="A2499" s="23"/>
      <c r="B2499" s="23"/>
      <c r="C2499" s="23"/>
      <c r="D2499" s="23"/>
      <c r="E2499" s="23"/>
      <c r="F2499" s="23"/>
      <c r="G2499" s="23"/>
      <c r="H2499" s="23"/>
      <c r="I2499" s="23"/>
      <c r="J2499" s="23"/>
      <c r="K2499" s="23"/>
      <c r="L2499" s="23"/>
      <c r="M2499" s="23"/>
      <c r="N2499" s="23"/>
      <c r="O2499" s="23"/>
      <c r="P2499" s="23"/>
      <c r="Q2499" s="23"/>
      <c r="R2499" s="23"/>
      <c r="S2499" s="23"/>
      <c r="T2499" s="23"/>
    </row>
    <row r="2500" spans="1:20" x14ac:dyDescent="0.35">
      <c r="A2500" s="23"/>
      <c r="B2500" s="23"/>
      <c r="C2500" s="23"/>
      <c r="D2500" s="23"/>
      <c r="E2500" s="23"/>
      <c r="F2500" s="23"/>
      <c r="G2500" s="23"/>
      <c r="H2500" s="23"/>
      <c r="I2500" s="23"/>
      <c r="J2500" s="23"/>
      <c r="K2500" s="23"/>
      <c r="L2500" s="23"/>
      <c r="M2500" s="23"/>
      <c r="N2500" s="23"/>
      <c r="O2500" s="23"/>
      <c r="P2500" s="23"/>
      <c r="Q2500" s="23"/>
      <c r="R2500" s="23"/>
      <c r="S2500" s="23"/>
      <c r="T2500" s="23"/>
    </row>
    <row r="2501" spans="1:20" x14ac:dyDescent="0.35">
      <c r="A2501" s="23"/>
      <c r="B2501" s="23"/>
      <c r="C2501" s="23"/>
      <c r="D2501" s="23"/>
      <c r="E2501" s="23"/>
      <c r="F2501" s="23"/>
      <c r="G2501" s="23"/>
      <c r="H2501" s="23"/>
      <c r="I2501" s="23"/>
      <c r="J2501" s="23"/>
      <c r="K2501" s="23"/>
      <c r="L2501" s="23"/>
      <c r="M2501" s="23"/>
      <c r="N2501" s="23"/>
      <c r="O2501" s="23"/>
      <c r="P2501" s="23"/>
      <c r="Q2501" s="23"/>
      <c r="R2501" s="23"/>
      <c r="S2501" s="23"/>
      <c r="T2501" s="23"/>
    </row>
    <row r="2502" spans="1:20" x14ac:dyDescent="0.35">
      <c r="A2502" s="23"/>
      <c r="B2502" s="23"/>
      <c r="C2502" s="23"/>
      <c r="D2502" s="23"/>
      <c r="E2502" s="23"/>
      <c r="F2502" s="23"/>
      <c r="G2502" s="23"/>
      <c r="H2502" s="23"/>
      <c r="I2502" s="23"/>
      <c r="J2502" s="23"/>
      <c r="K2502" s="23"/>
      <c r="L2502" s="23"/>
      <c r="M2502" s="23"/>
      <c r="N2502" s="23"/>
      <c r="O2502" s="23"/>
      <c r="P2502" s="23"/>
      <c r="Q2502" s="23"/>
      <c r="R2502" s="23"/>
      <c r="S2502" s="23"/>
      <c r="T2502" s="23"/>
    </row>
    <row r="2503" spans="1:20" x14ac:dyDescent="0.35">
      <c r="A2503" s="23"/>
      <c r="B2503" s="23"/>
      <c r="C2503" s="23"/>
      <c r="D2503" s="23"/>
      <c r="E2503" s="23"/>
      <c r="F2503" s="23"/>
      <c r="G2503" s="23"/>
      <c r="H2503" s="23"/>
      <c r="I2503" s="23"/>
      <c r="J2503" s="23"/>
      <c r="K2503" s="23"/>
      <c r="L2503" s="23"/>
      <c r="M2503" s="23"/>
      <c r="N2503" s="23"/>
      <c r="O2503" s="23"/>
      <c r="P2503" s="23"/>
      <c r="Q2503" s="23"/>
      <c r="R2503" s="23"/>
      <c r="S2503" s="23"/>
      <c r="T2503" s="23"/>
    </row>
    <row r="2504" spans="1:20" x14ac:dyDescent="0.35">
      <c r="A2504" s="23"/>
      <c r="B2504" s="23"/>
      <c r="C2504" s="23"/>
      <c r="D2504" s="23"/>
      <c r="E2504" s="23"/>
      <c r="F2504" s="23"/>
      <c r="G2504" s="23"/>
      <c r="H2504" s="23"/>
      <c r="I2504" s="23"/>
      <c r="J2504" s="23"/>
      <c r="K2504" s="23"/>
      <c r="L2504" s="23"/>
      <c r="M2504" s="23"/>
      <c r="N2504" s="23"/>
      <c r="O2504" s="23"/>
      <c r="P2504" s="23"/>
      <c r="Q2504" s="23"/>
      <c r="R2504" s="23"/>
      <c r="S2504" s="23"/>
      <c r="T2504" s="23"/>
    </row>
    <row r="2505" spans="1:20" x14ac:dyDescent="0.35">
      <c r="A2505" s="23"/>
      <c r="B2505" s="23"/>
      <c r="C2505" s="23"/>
      <c r="D2505" s="23"/>
      <c r="E2505" s="23"/>
      <c r="F2505" s="23"/>
      <c r="G2505" s="23"/>
      <c r="H2505" s="23"/>
      <c r="I2505" s="23"/>
      <c r="J2505" s="23"/>
      <c r="K2505" s="23"/>
      <c r="L2505" s="23"/>
      <c r="M2505" s="23"/>
      <c r="N2505" s="23"/>
      <c r="O2505" s="23"/>
      <c r="P2505" s="23"/>
      <c r="Q2505" s="23"/>
      <c r="R2505" s="23"/>
      <c r="S2505" s="23"/>
      <c r="T2505" s="23"/>
    </row>
    <row r="2506" spans="1:20" x14ac:dyDescent="0.35">
      <c r="A2506" s="23"/>
      <c r="B2506" s="23"/>
      <c r="C2506" s="23"/>
      <c r="D2506" s="23"/>
      <c r="E2506" s="23"/>
      <c r="F2506" s="23"/>
      <c r="G2506" s="23"/>
      <c r="H2506" s="23"/>
      <c r="I2506" s="23"/>
      <c r="J2506" s="23"/>
      <c r="K2506" s="23"/>
      <c r="L2506" s="23"/>
      <c r="M2506" s="23"/>
      <c r="N2506" s="23"/>
      <c r="O2506" s="23"/>
      <c r="P2506" s="23"/>
      <c r="Q2506" s="23"/>
      <c r="R2506" s="23"/>
      <c r="S2506" s="23"/>
      <c r="T2506" s="23"/>
    </row>
    <row r="2507" spans="1:20" x14ac:dyDescent="0.35">
      <c r="A2507" s="23"/>
      <c r="B2507" s="23"/>
      <c r="C2507" s="23"/>
      <c r="D2507" s="23"/>
      <c r="E2507" s="23"/>
      <c r="F2507" s="23"/>
      <c r="G2507" s="23"/>
      <c r="H2507" s="23"/>
      <c r="I2507" s="23"/>
      <c r="J2507" s="23"/>
      <c r="K2507" s="23"/>
      <c r="L2507" s="23"/>
      <c r="M2507" s="23"/>
      <c r="N2507" s="23"/>
      <c r="O2507" s="23"/>
      <c r="P2507" s="23"/>
      <c r="Q2507" s="23"/>
      <c r="R2507" s="23"/>
      <c r="S2507" s="23"/>
      <c r="T2507" s="23"/>
    </row>
    <row r="2508" spans="1:20" x14ac:dyDescent="0.35">
      <c r="A2508" s="23"/>
      <c r="B2508" s="23"/>
      <c r="C2508" s="23"/>
      <c r="D2508" s="23"/>
      <c r="E2508" s="23"/>
      <c r="F2508" s="23"/>
      <c r="G2508" s="23"/>
      <c r="H2508" s="23"/>
      <c r="I2508" s="23"/>
      <c r="J2508" s="23"/>
      <c r="K2508" s="23"/>
      <c r="L2508" s="23"/>
      <c r="M2508" s="23"/>
      <c r="N2508" s="23"/>
      <c r="O2508" s="23"/>
      <c r="P2508" s="23"/>
      <c r="Q2508" s="23"/>
      <c r="R2508" s="23"/>
      <c r="S2508" s="23"/>
      <c r="T2508" s="23"/>
    </row>
    <row r="2509" spans="1:20" x14ac:dyDescent="0.35">
      <c r="A2509" s="23"/>
      <c r="B2509" s="23"/>
      <c r="C2509" s="23"/>
      <c r="D2509" s="23"/>
      <c r="E2509" s="23"/>
      <c r="F2509" s="23"/>
      <c r="G2509" s="23"/>
      <c r="H2509" s="23"/>
      <c r="I2509" s="23"/>
      <c r="J2509" s="23"/>
      <c r="K2509" s="23"/>
      <c r="L2509" s="23"/>
      <c r="M2509" s="23"/>
      <c r="N2509" s="23"/>
      <c r="O2509" s="23"/>
      <c r="P2509" s="23"/>
      <c r="Q2509" s="23"/>
      <c r="R2509" s="23"/>
      <c r="S2509" s="23"/>
      <c r="T2509" s="23"/>
    </row>
    <row r="2510" spans="1:20" x14ac:dyDescent="0.35">
      <c r="A2510" s="23"/>
      <c r="B2510" s="23"/>
      <c r="C2510" s="23"/>
      <c r="D2510" s="23"/>
      <c r="E2510" s="23"/>
      <c r="F2510" s="23"/>
      <c r="G2510" s="23"/>
      <c r="H2510" s="23"/>
      <c r="I2510" s="23"/>
      <c r="J2510" s="23"/>
      <c r="K2510" s="23"/>
      <c r="L2510" s="23"/>
      <c r="M2510" s="23"/>
      <c r="N2510" s="23"/>
      <c r="O2510" s="23"/>
      <c r="P2510" s="23"/>
      <c r="Q2510" s="23"/>
      <c r="R2510" s="23"/>
      <c r="S2510" s="23"/>
      <c r="T2510" s="23"/>
    </row>
    <row r="2511" spans="1:20" x14ac:dyDescent="0.35">
      <c r="A2511" s="23"/>
      <c r="B2511" s="23"/>
      <c r="C2511" s="23"/>
      <c r="D2511" s="23"/>
      <c r="E2511" s="23"/>
      <c r="F2511" s="23"/>
      <c r="G2511" s="23"/>
      <c r="H2511" s="23"/>
      <c r="I2511" s="23"/>
      <c r="J2511" s="23"/>
      <c r="K2511" s="23"/>
      <c r="L2511" s="23"/>
      <c r="M2511" s="23"/>
      <c r="N2511" s="23"/>
      <c r="O2511" s="23"/>
      <c r="P2511" s="23"/>
      <c r="Q2511" s="23"/>
      <c r="R2511" s="23"/>
      <c r="S2511" s="23"/>
      <c r="T2511" s="23"/>
    </row>
    <row r="2512" spans="1:20" x14ac:dyDescent="0.35">
      <c r="A2512" s="23"/>
      <c r="B2512" s="23"/>
      <c r="C2512" s="23"/>
      <c r="D2512" s="23"/>
      <c r="E2512" s="23"/>
      <c r="F2512" s="23"/>
      <c r="G2512" s="23"/>
      <c r="H2512" s="23"/>
      <c r="I2512" s="23"/>
      <c r="J2512" s="23"/>
      <c r="K2512" s="23"/>
      <c r="L2512" s="23"/>
      <c r="M2512" s="23"/>
      <c r="N2512" s="23"/>
      <c r="O2512" s="23"/>
      <c r="P2512" s="23"/>
      <c r="Q2512" s="23"/>
      <c r="R2512" s="23"/>
      <c r="S2512" s="23"/>
      <c r="T2512" s="23"/>
    </row>
    <row r="2513" spans="1:20" x14ac:dyDescent="0.35">
      <c r="A2513" s="23"/>
      <c r="B2513" s="23"/>
      <c r="C2513" s="23"/>
      <c r="D2513" s="23"/>
      <c r="E2513" s="23"/>
      <c r="F2513" s="23"/>
      <c r="G2513" s="23"/>
      <c r="H2513" s="23"/>
      <c r="I2513" s="23"/>
      <c r="J2513" s="23"/>
      <c r="K2513" s="23"/>
      <c r="L2513" s="23"/>
      <c r="M2513" s="23"/>
      <c r="N2513" s="23"/>
      <c r="O2513" s="23"/>
      <c r="P2513" s="23"/>
      <c r="Q2513" s="23"/>
      <c r="R2513" s="23"/>
      <c r="S2513" s="23"/>
      <c r="T2513" s="23"/>
    </row>
    <row r="2514" spans="1:20" x14ac:dyDescent="0.35">
      <c r="A2514" s="23"/>
      <c r="B2514" s="23"/>
      <c r="C2514" s="23"/>
      <c r="D2514" s="23"/>
      <c r="E2514" s="23"/>
      <c r="F2514" s="23"/>
      <c r="G2514" s="23"/>
      <c r="H2514" s="23"/>
      <c r="I2514" s="23"/>
      <c r="J2514" s="23"/>
      <c r="K2514" s="23"/>
      <c r="L2514" s="23"/>
      <c r="M2514" s="23"/>
      <c r="N2514" s="23"/>
      <c r="O2514" s="23"/>
      <c r="P2514" s="23"/>
      <c r="Q2514" s="23"/>
      <c r="R2514" s="23"/>
      <c r="S2514" s="23"/>
      <c r="T2514" s="23"/>
    </row>
    <row r="2515" spans="1:20" x14ac:dyDescent="0.35">
      <c r="A2515" s="23"/>
      <c r="B2515" s="23"/>
      <c r="C2515" s="23"/>
      <c r="D2515" s="23"/>
      <c r="E2515" s="23"/>
      <c r="F2515" s="23"/>
      <c r="G2515" s="23"/>
      <c r="H2515" s="23"/>
      <c r="I2515" s="23"/>
      <c r="J2515" s="23"/>
      <c r="K2515" s="23"/>
      <c r="L2515" s="23"/>
      <c r="M2515" s="23"/>
      <c r="N2515" s="23"/>
      <c r="O2515" s="23"/>
      <c r="P2515" s="23"/>
      <c r="Q2515" s="23"/>
      <c r="R2515" s="23"/>
      <c r="S2515" s="23"/>
      <c r="T2515" s="23"/>
    </row>
    <row r="2516" spans="1:20" x14ac:dyDescent="0.35">
      <c r="A2516" s="23"/>
      <c r="B2516" s="23"/>
      <c r="C2516" s="23"/>
      <c r="D2516" s="23"/>
      <c r="E2516" s="23"/>
      <c r="F2516" s="23"/>
      <c r="G2516" s="23"/>
      <c r="H2516" s="23"/>
      <c r="I2516" s="23"/>
      <c r="J2516" s="23"/>
      <c r="K2516" s="23"/>
      <c r="L2516" s="23"/>
      <c r="M2516" s="23"/>
      <c r="N2516" s="23"/>
      <c r="O2516" s="23"/>
      <c r="P2516" s="23"/>
      <c r="Q2516" s="23"/>
      <c r="R2516" s="23"/>
      <c r="S2516" s="23"/>
      <c r="T2516" s="23"/>
    </row>
    <row r="2517" spans="1:20" x14ac:dyDescent="0.35">
      <c r="A2517" s="23"/>
      <c r="B2517" s="23"/>
      <c r="C2517" s="23"/>
      <c r="D2517" s="23"/>
      <c r="E2517" s="23"/>
      <c r="F2517" s="23"/>
      <c r="G2517" s="23"/>
      <c r="H2517" s="23"/>
      <c r="I2517" s="23"/>
      <c r="J2517" s="23"/>
      <c r="K2517" s="23"/>
      <c r="L2517" s="23"/>
      <c r="M2517" s="23"/>
      <c r="N2517" s="23"/>
      <c r="O2517" s="23"/>
      <c r="P2517" s="23"/>
      <c r="Q2517" s="23"/>
      <c r="R2517" s="23"/>
      <c r="S2517" s="23"/>
      <c r="T2517" s="23"/>
    </row>
    <row r="2518" spans="1:20" x14ac:dyDescent="0.35">
      <c r="A2518" s="23"/>
      <c r="B2518" s="23"/>
      <c r="C2518" s="23"/>
      <c r="D2518" s="23"/>
      <c r="E2518" s="23"/>
      <c r="F2518" s="23"/>
      <c r="G2518" s="23"/>
      <c r="H2518" s="23"/>
      <c r="I2518" s="23"/>
      <c r="J2518" s="23"/>
      <c r="K2518" s="23"/>
      <c r="L2518" s="23"/>
      <c r="M2518" s="23"/>
      <c r="N2518" s="23"/>
      <c r="O2518" s="23"/>
      <c r="P2518" s="23"/>
      <c r="Q2518" s="23"/>
      <c r="R2518" s="23"/>
      <c r="S2518" s="23"/>
      <c r="T2518" s="23"/>
    </row>
    <row r="2519" spans="1:20" x14ac:dyDescent="0.35">
      <c r="A2519" s="23"/>
      <c r="B2519" s="23"/>
      <c r="C2519" s="23"/>
      <c r="D2519" s="23"/>
      <c r="E2519" s="23"/>
      <c r="F2519" s="23"/>
      <c r="G2519" s="23"/>
      <c r="H2519" s="23"/>
      <c r="I2519" s="23"/>
      <c r="J2519" s="23"/>
      <c r="K2519" s="23"/>
      <c r="L2519" s="23"/>
      <c r="M2519" s="23"/>
      <c r="N2519" s="23"/>
      <c r="O2519" s="23"/>
      <c r="P2519" s="23"/>
      <c r="Q2519" s="23"/>
      <c r="R2519" s="23"/>
      <c r="S2519" s="23"/>
      <c r="T2519" s="23"/>
    </row>
    <row r="2520" spans="1:20" x14ac:dyDescent="0.35">
      <c r="A2520" s="23"/>
      <c r="B2520" s="23"/>
      <c r="C2520" s="23"/>
      <c r="D2520" s="23"/>
      <c r="E2520" s="23"/>
      <c r="F2520" s="23"/>
      <c r="G2520" s="23"/>
      <c r="H2520" s="23"/>
      <c r="I2520" s="23"/>
      <c r="J2520" s="23"/>
      <c r="K2520" s="23"/>
      <c r="L2520" s="23"/>
      <c r="M2520" s="23"/>
      <c r="N2520" s="23"/>
      <c r="O2520" s="23"/>
      <c r="P2520" s="23"/>
      <c r="Q2520" s="23"/>
      <c r="R2520" s="23"/>
      <c r="S2520" s="23"/>
      <c r="T2520" s="23"/>
    </row>
    <row r="2521" spans="1:20" x14ac:dyDescent="0.35">
      <c r="A2521" s="23"/>
      <c r="B2521" s="23"/>
      <c r="C2521" s="23"/>
      <c r="D2521" s="23"/>
      <c r="E2521" s="23"/>
      <c r="F2521" s="23"/>
      <c r="G2521" s="23"/>
      <c r="H2521" s="23"/>
      <c r="I2521" s="23"/>
      <c r="J2521" s="23"/>
      <c r="K2521" s="23"/>
      <c r="L2521" s="23"/>
      <c r="M2521" s="23"/>
      <c r="N2521" s="23"/>
      <c r="O2521" s="23"/>
      <c r="P2521" s="23"/>
      <c r="Q2521" s="23"/>
      <c r="R2521" s="23"/>
      <c r="S2521" s="23"/>
      <c r="T2521" s="23"/>
    </row>
    <row r="2522" spans="1:20" x14ac:dyDescent="0.35">
      <c r="A2522" s="23"/>
      <c r="B2522" s="23"/>
      <c r="C2522" s="23"/>
      <c r="D2522" s="23"/>
      <c r="E2522" s="23"/>
      <c r="F2522" s="23"/>
      <c r="G2522" s="23"/>
      <c r="H2522" s="23"/>
      <c r="I2522" s="23"/>
      <c r="J2522" s="23"/>
      <c r="K2522" s="23"/>
      <c r="L2522" s="23"/>
      <c r="M2522" s="23"/>
      <c r="N2522" s="23"/>
      <c r="O2522" s="23"/>
      <c r="P2522" s="23"/>
      <c r="Q2522" s="23"/>
      <c r="R2522" s="23"/>
      <c r="S2522" s="23"/>
      <c r="T2522" s="23"/>
    </row>
    <row r="2523" spans="1:20" x14ac:dyDescent="0.35">
      <c r="A2523" s="23"/>
      <c r="B2523" s="23"/>
      <c r="C2523" s="23"/>
      <c r="D2523" s="23"/>
      <c r="E2523" s="23"/>
      <c r="F2523" s="23"/>
      <c r="G2523" s="23"/>
      <c r="H2523" s="23"/>
      <c r="I2523" s="23"/>
      <c r="J2523" s="23"/>
      <c r="K2523" s="23"/>
      <c r="L2523" s="23"/>
      <c r="M2523" s="23"/>
      <c r="N2523" s="23"/>
      <c r="O2523" s="23"/>
      <c r="P2523" s="23"/>
      <c r="Q2523" s="23"/>
      <c r="R2523" s="23"/>
      <c r="S2523" s="23"/>
      <c r="T2523" s="23"/>
    </row>
    <row r="2524" spans="1:20" x14ac:dyDescent="0.35">
      <c r="A2524" s="23"/>
      <c r="B2524" s="23"/>
      <c r="C2524" s="23"/>
      <c r="D2524" s="23"/>
      <c r="E2524" s="23"/>
      <c r="F2524" s="23"/>
      <c r="G2524" s="23"/>
      <c r="H2524" s="23"/>
      <c r="I2524" s="23"/>
      <c r="J2524" s="23"/>
      <c r="K2524" s="23"/>
      <c r="L2524" s="23"/>
      <c r="M2524" s="23"/>
      <c r="N2524" s="23"/>
      <c r="O2524" s="23"/>
      <c r="P2524" s="23"/>
      <c r="Q2524" s="23"/>
      <c r="R2524" s="23"/>
      <c r="S2524" s="23"/>
      <c r="T2524" s="23"/>
    </row>
    <row r="2525" spans="1:20" x14ac:dyDescent="0.35">
      <c r="A2525" s="23"/>
      <c r="B2525" s="23"/>
      <c r="C2525" s="23"/>
      <c r="D2525" s="23"/>
      <c r="E2525" s="23"/>
      <c r="F2525" s="23"/>
      <c r="G2525" s="23"/>
      <c r="H2525" s="23"/>
      <c r="I2525" s="23"/>
      <c r="J2525" s="23"/>
      <c r="K2525" s="23"/>
      <c r="L2525" s="23"/>
      <c r="M2525" s="23"/>
      <c r="N2525" s="23"/>
      <c r="O2525" s="23"/>
      <c r="P2525" s="23"/>
      <c r="Q2525" s="23"/>
      <c r="R2525" s="23"/>
      <c r="S2525" s="23"/>
      <c r="T2525" s="23"/>
    </row>
    <row r="2526" spans="1:20" x14ac:dyDescent="0.35">
      <c r="A2526" s="23"/>
      <c r="B2526" s="23"/>
      <c r="C2526" s="23"/>
      <c r="D2526" s="23"/>
      <c r="E2526" s="23"/>
      <c r="F2526" s="23"/>
      <c r="G2526" s="23"/>
      <c r="H2526" s="23"/>
      <c r="I2526" s="23"/>
      <c r="J2526" s="23"/>
      <c r="K2526" s="23"/>
      <c r="L2526" s="23"/>
      <c r="M2526" s="23"/>
      <c r="N2526" s="23"/>
      <c r="O2526" s="23"/>
      <c r="P2526" s="23"/>
      <c r="Q2526" s="23"/>
      <c r="R2526" s="23"/>
      <c r="S2526" s="23"/>
      <c r="T2526" s="23"/>
    </row>
    <row r="2527" spans="1:20" x14ac:dyDescent="0.35">
      <c r="A2527" s="23"/>
      <c r="B2527" s="23"/>
      <c r="C2527" s="23"/>
      <c r="D2527" s="23"/>
      <c r="E2527" s="23"/>
      <c r="F2527" s="23"/>
      <c r="G2527" s="23"/>
      <c r="H2527" s="23"/>
      <c r="I2527" s="23"/>
      <c r="J2527" s="23"/>
      <c r="K2527" s="23"/>
      <c r="L2527" s="23"/>
      <c r="M2527" s="23"/>
      <c r="N2527" s="23"/>
      <c r="O2527" s="23"/>
      <c r="P2527" s="23"/>
      <c r="Q2527" s="23"/>
      <c r="R2527" s="23"/>
      <c r="S2527" s="23"/>
      <c r="T2527" s="23"/>
    </row>
    <row r="2528" spans="1:20" x14ac:dyDescent="0.35">
      <c r="A2528" s="23"/>
      <c r="B2528" s="23"/>
      <c r="C2528" s="23"/>
      <c r="D2528" s="23"/>
      <c r="E2528" s="23"/>
      <c r="F2528" s="23"/>
      <c r="G2528" s="23"/>
      <c r="H2528" s="23"/>
      <c r="I2528" s="23"/>
      <c r="J2528" s="23"/>
      <c r="K2528" s="23"/>
      <c r="L2528" s="23"/>
      <c r="M2528" s="23"/>
      <c r="N2528" s="23"/>
      <c r="O2528" s="23"/>
      <c r="P2528" s="23"/>
      <c r="Q2528" s="23"/>
      <c r="R2528" s="23"/>
      <c r="S2528" s="23"/>
      <c r="T2528" s="23"/>
    </row>
    <row r="2529" spans="1:20" x14ac:dyDescent="0.35">
      <c r="A2529" s="23"/>
      <c r="B2529" s="23"/>
      <c r="C2529" s="23"/>
      <c r="D2529" s="23"/>
      <c r="E2529" s="23"/>
      <c r="F2529" s="23"/>
      <c r="G2529" s="23"/>
      <c r="H2529" s="23"/>
      <c r="I2529" s="23"/>
      <c r="J2529" s="23"/>
      <c r="K2529" s="23"/>
      <c r="L2529" s="23"/>
      <c r="M2529" s="23"/>
      <c r="N2529" s="23"/>
      <c r="O2529" s="23"/>
      <c r="P2529" s="23"/>
      <c r="Q2529" s="23"/>
      <c r="R2529" s="23"/>
      <c r="S2529" s="23"/>
      <c r="T2529" s="23"/>
    </row>
    <row r="2530" spans="1:20" x14ac:dyDescent="0.35">
      <c r="A2530" s="23"/>
      <c r="B2530" s="23"/>
      <c r="C2530" s="23"/>
      <c r="D2530" s="23"/>
      <c r="E2530" s="23"/>
      <c r="F2530" s="23"/>
      <c r="G2530" s="23"/>
      <c r="H2530" s="23"/>
      <c r="I2530" s="23"/>
      <c r="J2530" s="23"/>
      <c r="K2530" s="23"/>
      <c r="L2530" s="23"/>
      <c r="M2530" s="23"/>
      <c r="N2530" s="23"/>
      <c r="O2530" s="23"/>
      <c r="P2530" s="23"/>
      <c r="Q2530" s="23"/>
      <c r="R2530" s="23"/>
      <c r="S2530" s="23"/>
      <c r="T2530" s="23"/>
    </row>
    <row r="2531" spans="1:20" x14ac:dyDescent="0.35">
      <c r="A2531" s="23"/>
      <c r="B2531" s="23"/>
      <c r="C2531" s="23"/>
      <c r="D2531" s="23"/>
      <c r="E2531" s="23"/>
      <c r="F2531" s="23"/>
      <c r="G2531" s="23"/>
      <c r="H2531" s="23"/>
      <c r="I2531" s="23"/>
      <c r="J2531" s="23"/>
      <c r="K2531" s="23"/>
      <c r="L2531" s="23"/>
      <c r="M2531" s="23"/>
      <c r="N2531" s="23"/>
      <c r="O2531" s="23"/>
      <c r="P2531" s="23"/>
      <c r="Q2531" s="23"/>
      <c r="R2531" s="23"/>
      <c r="S2531" s="23"/>
      <c r="T2531" s="23"/>
    </row>
    <row r="2532" spans="1:20" x14ac:dyDescent="0.35">
      <c r="A2532" s="23"/>
      <c r="B2532" s="23"/>
      <c r="C2532" s="23"/>
      <c r="D2532" s="23"/>
      <c r="E2532" s="23"/>
      <c r="F2532" s="23"/>
      <c r="G2532" s="23"/>
      <c r="H2532" s="23"/>
      <c r="I2532" s="23"/>
      <c r="J2532" s="23"/>
      <c r="K2532" s="23"/>
      <c r="L2532" s="23"/>
      <c r="M2532" s="23"/>
      <c r="N2532" s="23"/>
      <c r="O2532" s="23"/>
      <c r="P2532" s="23"/>
      <c r="Q2532" s="23"/>
      <c r="R2532" s="23"/>
      <c r="S2532" s="23"/>
      <c r="T2532" s="23"/>
    </row>
    <row r="2533" spans="1:20" x14ac:dyDescent="0.35">
      <c r="A2533" s="23"/>
      <c r="B2533" s="23"/>
      <c r="C2533" s="23"/>
      <c r="D2533" s="23"/>
      <c r="E2533" s="23"/>
      <c r="F2533" s="23"/>
      <c r="G2533" s="23"/>
      <c r="H2533" s="23"/>
      <c r="I2533" s="23"/>
      <c r="J2533" s="23"/>
      <c r="K2533" s="23"/>
      <c r="L2533" s="23"/>
      <c r="M2533" s="23"/>
      <c r="N2533" s="23"/>
      <c r="O2533" s="23"/>
      <c r="P2533" s="23"/>
      <c r="Q2533" s="23"/>
      <c r="R2533" s="23"/>
      <c r="S2533" s="23"/>
      <c r="T2533" s="23"/>
    </row>
    <row r="2534" spans="1:20" x14ac:dyDescent="0.35">
      <c r="A2534" s="23"/>
      <c r="B2534" s="23"/>
      <c r="C2534" s="23"/>
      <c r="D2534" s="23"/>
      <c r="E2534" s="23"/>
      <c r="F2534" s="23"/>
      <c r="G2534" s="23"/>
      <c r="H2534" s="23"/>
      <c r="I2534" s="23"/>
      <c r="J2534" s="23"/>
      <c r="K2534" s="23"/>
      <c r="L2534" s="23"/>
      <c r="M2534" s="23"/>
      <c r="N2534" s="23"/>
      <c r="O2534" s="23"/>
      <c r="P2534" s="23"/>
      <c r="Q2534" s="23"/>
      <c r="R2534" s="23"/>
      <c r="S2534" s="23"/>
      <c r="T2534" s="23"/>
    </row>
    <row r="2535" spans="1:20" x14ac:dyDescent="0.35">
      <c r="A2535" s="23"/>
      <c r="B2535" s="23"/>
      <c r="C2535" s="23"/>
      <c r="D2535" s="23"/>
      <c r="E2535" s="23"/>
      <c r="F2535" s="23"/>
      <c r="G2535" s="23"/>
      <c r="H2535" s="23"/>
      <c r="I2535" s="23"/>
      <c r="J2535" s="23"/>
      <c r="K2535" s="23"/>
      <c r="L2535" s="23"/>
      <c r="M2535" s="23"/>
      <c r="N2535" s="23"/>
      <c r="O2535" s="23"/>
      <c r="P2535" s="23"/>
      <c r="Q2535" s="23"/>
      <c r="R2535" s="23"/>
      <c r="S2535" s="23"/>
      <c r="T2535" s="23"/>
    </row>
    <row r="2536" spans="1:20" x14ac:dyDescent="0.35">
      <c r="A2536" s="23"/>
      <c r="B2536" s="23"/>
      <c r="C2536" s="23"/>
      <c r="D2536" s="23"/>
      <c r="E2536" s="23"/>
      <c r="F2536" s="23"/>
      <c r="G2536" s="23"/>
      <c r="H2536" s="23"/>
      <c r="I2536" s="23"/>
      <c r="J2536" s="23"/>
      <c r="K2536" s="23"/>
      <c r="L2536" s="23"/>
      <c r="M2536" s="23"/>
      <c r="N2536" s="23"/>
      <c r="O2536" s="23"/>
      <c r="P2536" s="23"/>
      <c r="Q2536" s="23"/>
      <c r="R2536" s="23"/>
      <c r="S2536" s="23"/>
      <c r="T2536" s="23"/>
    </row>
    <row r="2537" spans="1:20" x14ac:dyDescent="0.35">
      <c r="A2537" s="23"/>
      <c r="B2537" s="23"/>
      <c r="C2537" s="23"/>
      <c r="D2537" s="23"/>
      <c r="E2537" s="23"/>
      <c r="F2537" s="23"/>
      <c r="G2537" s="23"/>
      <c r="H2537" s="23"/>
      <c r="I2537" s="23"/>
      <c r="J2537" s="23"/>
      <c r="K2537" s="23"/>
      <c r="L2537" s="23"/>
      <c r="M2537" s="23"/>
      <c r="N2537" s="23"/>
      <c r="O2537" s="23"/>
      <c r="P2537" s="23"/>
      <c r="Q2537" s="23"/>
      <c r="R2537" s="23"/>
      <c r="S2537" s="23"/>
      <c r="T2537" s="23"/>
    </row>
    <row r="2538" spans="1:20" x14ac:dyDescent="0.35">
      <c r="A2538" s="23"/>
      <c r="B2538" s="23"/>
      <c r="C2538" s="23"/>
      <c r="D2538" s="23"/>
      <c r="E2538" s="23"/>
      <c r="F2538" s="23"/>
      <c r="G2538" s="23"/>
      <c r="H2538" s="23"/>
      <c r="I2538" s="23"/>
      <c r="J2538" s="23"/>
      <c r="K2538" s="23"/>
      <c r="L2538" s="23"/>
      <c r="M2538" s="23"/>
      <c r="N2538" s="23"/>
      <c r="O2538" s="23"/>
      <c r="P2538" s="23"/>
      <c r="Q2538" s="23"/>
      <c r="R2538" s="23"/>
      <c r="S2538" s="23"/>
      <c r="T2538" s="23"/>
    </row>
    <row r="2539" spans="1:20" x14ac:dyDescent="0.35">
      <c r="A2539" s="23"/>
      <c r="B2539" s="23"/>
      <c r="C2539" s="23"/>
      <c r="D2539" s="23"/>
      <c r="E2539" s="23"/>
      <c r="F2539" s="23"/>
      <c r="G2539" s="23"/>
      <c r="H2539" s="23"/>
      <c r="I2539" s="23"/>
      <c r="J2539" s="23"/>
      <c r="K2539" s="23"/>
      <c r="L2539" s="23"/>
      <c r="M2539" s="23"/>
      <c r="N2539" s="23"/>
      <c r="O2539" s="23"/>
      <c r="P2539" s="23"/>
      <c r="Q2539" s="23"/>
      <c r="R2539" s="23"/>
      <c r="S2539" s="23"/>
      <c r="T2539" s="23"/>
    </row>
    <row r="2540" spans="1:20" x14ac:dyDescent="0.35">
      <c r="A2540" s="23"/>
      <c r="B2540" s="23"/>
      <c r="C2540" s="23"/>
      <c r="D2540" s="23"/>
      <c r="E2540" s="23"/>
      <c r="F2540" s="23"/>
      <c r="G2540" s="23"/>
      <c r="H2540" s="23"/>
      <c r="I2540" s="23"/>
      <c r="J2540" s="23"/>
      <c r="K2540" s="23"/>
      <c r="L2540" s="23"/>
      <c r="M2540" s="23"/>
      <c r="N2540" s="23"/>
      <c r="O2540" s="23"/>
      <c r="P2540" s="23"/>
      <c r="Q2540" s="23"/>
      <c r="R2540" s="23"/>
      <c r="S2540" s="23"/>
      <c r="T2540" s="23"/>
    </row>
    <row r="2541" spans="1:20" x14ac:dyDescent="0.35">
      <c r="A2541" s="23"/>
      <c r="B2541" s="23"/>
      <c r="C2541" s="23"/>
      <c r="D2541" s="23"/>
      <c r="E2541" s="23"/>
      <c r="F2541" s="23"/>
      <c r="G2541" s="23"/>
      <c r="H2541" s="23"/>
      <c r="I2541" s="23"/>
      <c r="J2541" s="23"/>
      <c r="K2541" s="23"/>
      <c r="L2541" s="23"/>
      <c r="M2541" s="23"/>
      <c r="N2541" s="23"/>
      <c r="O2541" s="23"/>
      <c r="P2541" s="23"/>
      <c r="Q2541" s="23"/>
      <c r="R2541" s="23"/>
      <c r="S2541" s="23"/>
      <c r="T2541" s="23"/>
    </row>
    <row r="2542" spans="1:20" x14ac:dyDescent="0.35">
      <c r="A2542" s="23"/>
      <c r="B2542" s="23"/>
      <c r="C2542" s="23"/>
      <c r="D2542" s="23"/>
      <c r="E2542" s="23"/>
      <c r="F2542" s="23"/>
      <c r="G2542" s="23"/>
      <c r="H2542" s="23"/>
      <c r="I2542" s="23"/>
      <c r="J2542" s="23"/>
      <c r="K2542" s="23"/>
      <c r="L2542" s="23"/>
      <c r="M2542" s="23"/>
      <c r="N2542" s="23"/>
      <c r="O2542" s="23"/>
      <c r="P2542" s="23"/>
      <c r="Q2542" s="23"/>
      <c r="R2542" s="23"/>
      <c r="S2542" s="23"/>
      <c r="T2542" s="23"/>
    </row>
    <row r="2543" spans="1:20" x14ac:dyDescent="0.35">
      <c r="A2543" s="23"/>
      <c r="B2543" s="23"/>
      <c r="C2543" s="23"/>
      <c r="D2543" s="23"/>
      <c r="E2543" s="23"/>
      <c r="F2543" s="23"/>
      <c r="G2543" s="23"/>
      <c r="H2543" s="23"/>
      <c r="I2543" s="23"/>
      <c r="J2543" s="23"/>
      <c r="K2543" s="23"/>
      <c r="L2543" s="23"/>
      <c r="M2543" s="23"/>
      <c r="N2543" s="23"/>
      <c r="O2543" s="23"/>
      <c r="P2543" s="23"/>
      <c r="Q2543" s="23"/>
      <c r="R2543" s="23"/>
      <c r="S2543" s="23"/>
      <c r="T2543" s="23"/>
    </row>
    <row r="2544" spans="1:20" x14ac:dyDescent="0.35">
      <c r="A2544" s="23"/>
      <c r="B2544" s="23"/>
      <c r="C2544" s="23"/>
      <c r="D2544" s="23"/>
      <c r="E2544" s="23"/>
      <c r="F2544" s="23"/>
      <c r="G2544" s="23"/>
      <c r="H2544" s="23"/>
      <c r="I2544" s="23"/>
      <c r="J2544" s="23"/>
      <c r="K2544" s="23"/>
      <c r="L2544" s="23"/>
      <c r="M2544" s="23"/>
      <c r="N2544" s="23"/>
      <c r="O2544" s="23"/>
      <c r="P2544" s="23"/>
      <c r="Q2544" s="23"/>
      <c r="R2544" s="23"/>
      <c r="S2544" s="23"/>
      <c r="T2544" s="23"/>
    </row>
    <row r="2545" spans="1:20" x14ac:dyDescent="0.35">
      <c r="A2545" s="23"/>
      <c r="B2545" s="23"/>
      <c r="C2545" s="23"/>
      <c r="D2545" s="23"/>
      <c r="E2545" s="23"/>
      <c r="F2545" s="23"/>
      <c r="G2545" s="23"/>
      <c r="H2545" s="23"/>
      <c r="I2545" s="23"/>
      <c r="J2545" s="23"/>
      <c r="K2545" s="23"/>
      <c r="L2545" s="23"/>
      <c r="M2545" s="23"/>
      <c r="N2545" s="23"/>
      <c r="O2545" s="23"/>
      <c r="P2545" s="23"/>
      <c r="Q2545" s="23"/>
      <c r="R2545" s="23"/>
      <c r="S2545" s="23"/>
      <c r="T2545" s="23"/>
    </row>
    <row r="2546" spans="1:20" x14ac:dyDescent="0.35">
      <c r="A2546" s="23"/>
      <c r="B2546" s="23"/>
      <c r="C2546" s="23"/>
      <c r="D2546" s="23"/>
      <c r="E2546" s="23"/>
      <c r="F2546" s="23"/>
      <c r="G2546" s="23"/>
      <c r="H2546" s="23"/>
      <c r="I2546" s="23"/>
      <c r="J2546" s="23"/>
      <c r="K2546" s="23"/>
      <c r="L2546" s="23"/>
      <c r="M2546" s="23"/>
      <c r="N2546" s="23"/>
      <c r="O2546" s="23"/>
      <c r="P2546" s="23"/>
      <c r="Q2546" s="23"/>
      <c r="R2546" s="23"/>
      <c r="S2546" s="23"/>
      <c r="T2546" s="23"/>
    </row>
    <row r="2547" spans="1:20" x14ac:dyDescent="0.35">
      <c r="A2547" s="23"/>
      <c r="B2547" s="23"/>
      <c r="C2547" s="23"/>
      <c r="D2547" s="23"/>
      <c r="E2547" s="23"/>
      <c r="F2547" s="23"/>
      <c r="G2547" s="23"/>
      <c r="H2547" s="23"/>
      <c r="I2547" s="23"/>
      <c r="J2547" s="23"/>
      <c r="K2547" s="23"/>
      <c r="L2547" s="23"/>
      <c r="M2547" s="23"/>
      <c r="N2547" s="23"/>
      <c r="O2547" s="23"/>
      <c r="P2547" s="23"/>
      <c r="Q2547" s="23"/>
      <c r="R2547" s="23"/>
      <c r="S2547" s="23"/>
      <c r="T2547" s="23"/>
    </row>
    <row r="2548" spans="1:20" x14ac:dyDescent="0.35">
      <c r="A2548" s="23"/>
      <c r="B2548" s="23"/>
      <c r="C2548" s="23"/>
      <c r="D2548" s="23"/>
      <c r="E2548" s="23"/>
      <c r="F2548" s="23"/>
      <c r="G2548" s="23"/>
      <c r="H2548" s="23"/>
      <c r="I2548" s="23"/>
      <c r="J2548" s="23"/>
      <c r="K2548" s="23"/>
      <c r="L2548" s="23"/>
      <c r="M2548" s="23"/>
      <c r="N2548" s="23"/>
      <c r="O2548" s="23"/>
      <c r="P2548" s="23"/>
      <c r="Q2548" s="23"/>
      <c r="R2548" s="23"/>
      <c r="S2548" s="23"/>
      <c r="T2548" s="23"/>
    </row>
    <row r="2549" spans="1:20" x14ac:dyDescent="0.35">
      <c r="A2549" s="23"/>
      <c r="B2549" s="23"/>
      <c r="C2549" s="23"/>
      <c r="D2549" s="23"/>
      <c r="E2549" s="23"/>
      <c r="F2549" s="23"/>
      <c r="G2549" s="23"/>
      <c r="H2549" s="23"/>
      <c r="I2549" s="23"/>
      <c r="J2549" s="23"/>
      <c r="K2549" s="23"/>
      <c r="L2549" s="23"/>
      <c r="M2549" s="23"/>
      <c r="N2549" s="23"/>
      <c r="O2549" s="23"/>
      <c r="P2549" s="23"/>
      <c r="Q2549" s="23"/>
      <c r="R2549" s="23"/>
      <c r="S2549" s="23"/>
      <c r="T2549" s="23"/>
    </row>
    <row r="2550" spans="1:20" x14ac:dyDescent="0.35">
      <c r="A2550" s="23"/>
      <c r="B2550" s="23"/>
      <c r="C2550" s="23"/>
      <c r="D2550" s="23"/>
      <c r="E2550" s="23"/>
      <c r="F2550" s="23"/>
      <c r="G2550" s="23"/>
      <c r="H2550" s="23"/>
      <c r="I2550" s="23"/>
      <c r="J2550" s="23"/>
      <c r="K2550" s="23"/>
      <c r="L2550" s="23"/>
      <c r="M2550" s="23"/>
      <c r="N2550" s="23"/>
      <c r="O2550" s="23"/>
      <c r="P2550" s="23"/>
      <c r="Q2550" s="23"/>
      <c r="R2550" s="23"/>
      <c r="S2550" s="23"/>
      <c r="T2550" s="23"/>
    </row>
    <row r="2551" spans="1:20" x14ac:dyDescent="0.35">
      <c r="A2551" s="23"/>
      <c r="B2551" s="23"/>
      <c r="C2551" s="23"/>
      <c r="D2551" s="23"/>
      <c r="E2551" s="23"/>
      <c r="F2551" s="23"/>
      <c r="G2551" s="23"/>
      <c r="H2551" s="23"/>
      <c r="I2551" s="23"/>
      <c r="J2551" s="23"/>
      <c r="K2551" s="23"/>
      <c r="L2551" s="23"/>
      <c r="M2551" s="23"/>
      <c r="N2551" s="23"/>
      <c r="O2551" s="23"/>
      <c r="P2551" s="23"/>
      <c r="Q2551" s="23"/>
      <c r="R2551" s="23"/>
      <c r="S2551" s="23"/>
      <c r="T2551" s="23"/>
    </row>
    <row r="2552" spans="1:20" x14ac:dyDescent="0.35">
      <c r="A2552" s="23"/>
      <c r="B2552" s="23"/>
      <c r="C2552" s="23"/>
      <c r="D2552" s="23"/>
      <c r="E2552" s="23"/>
      <c r="F2552" s="23"/>
      <c r="G2552" s="23"/>
      <c r="H2552" s="23"/>
      <c r="I2552" s="23"/>
      <c r="J2552" s="23"/>
      <c r="K2552" s="23"/>
      <c r="L2552" s="23"/>
      <c r="M2552" s="23"/>
      <c r="N2552" s="23"/>
      <c r="O2552" s="23"/>
      <c r="P2552" s="23"/>
      <c r="Q2552" s="23"/>
      <c r="R2552" s="23"/>
      <c r="S2552" s="23"/>
      <c r="T2552" s="23"/>
    </row>
    <row r="2553" spans="1:20" x14ac:dyDescent="0.35">
      <c r="A2553" s="23"/>
      <c r="B2553" s="23"/>
      <c r="C2553" s="23"/>
      <c r="D2553" s="23"/>
      <c r="E2553" s="23"/>
      <c r="F2553" s="23"/>
      <c r="G2553" s="23"/>
      <c r="H2553" s="23"/>
      <c r="I2553" s="23"/>
      <c r="J2553" s="23"/>
      <c r="K2553" s="23"/>
      <c r="L2553" s="23"/>
      <c r="M2553" s="23"/>
      <c r="N2553" s="23"/>
      <c r="O2553" s="23"/>
      <c r="P2553" s="23"/>
      <c r="Q2553" s="23"/>
      <c r="R2553" s="23"/>
      <c r="S2553" s="23"/>
      <c r="T2553" s="23"/>
    </row>
    <row r="2554" spans="1:20" x14ac:dyDescent="0.35">
      <c r="A2554" s="23"/>
      <c r="B2554" s="23"/>
      <c r="C2554" s="23"/>
      <c r="D2554" s="23"/>
      <c r="E2554" s="23"/>
      <c r="F2554" s="23"/>
      <c r="G2554" s="23"/>
      <c r="H2554" s="23"/>
      <c r="I2554" s="23"/>
      <c r="J2554" s="23"/>
      <c r="K2554" s="23"/>
      <c r="L2554" s="23"/>
      <c r="M2554" s="23"/>
      <c r="N2554" s="23"/>
      <c r="O2554" s="23"/>
      <c r="P2554" s="23"/>
      <c r="Q2554" s="23"/>
      <c r="R2554" s="23"/>
      <c r="S2554" s="23"/>
      <c r="T2554" s="23"/>
    </row>
    <row r="2555" spans="1:20" x14ac:dyDescent="0.35">
      <c r="A2555" s="23"/>
      <c r="B2555" s="23"/>
      <c r="C2555" s="23"/>
      <c r="D2555" s="23"/>
      <c r="E2555" s="23"/>
      <c r="F2555" s="23"/>
      <c r="G2555" s="23"/>
      <c r="H2555" s="23"/>
      <c r="I2555" s="23"/>
      <c r="J2555" s="23"/>
      <c r="K2555" s="23"/>
      <c r="L2555" s="23"/>
      <c r="M2555" s="23"/>
      <c r="N2555" s="23"/>
      <c r="O2555" s="23"/>
      <c r="P2555" s="23"/>
      <c r="Q2555" s="23"/>
      <c r="R2555" s="23"/>
      <c r="S2555" s="23"/>
      <c r="T2555" s="23"/>
    </row>
    <row r="2556" spans="1:20" x14ac:dyDescent="0.35">
      <c r="A2556" s="23"/>
      <c r="B2556" s="23"/>
      <c r="C2556" s="23"/>
      <c r="D2556" s="23"/>
      <c r="E2556" s="23"/>
      <c r="F2556" s="23"/>
      <c r="G2556" s="23"/>
      <c r="H2556" s="23"/>
      <c r="I2556" s="23"/>
      <c r="J2556" s="23"/>
      <c r="K2556" s="23"/>
      <c r="L2556" s="23"/>
      <c r="M2556" s="23"/>
      <c r="N2556" s="23"/>
      <c r="O2556" s="23"/>
      <c r="P2556" s="23"/>
      <c r="Q2556" s="23"/>
      <c r="R2556" s="23"/>
      <c r="S2556" s="23"/>
      <c r="T2556" s="23"/>
    </row>
    <row r="2557" spans="1:20" x14ac:dyDescent="0.35">
      <c r="A2557" s="23"/>
      <c r="B2557" s="23"/>
      <c r="C2557" s="23"/>
      <c r="D2557" s="23"/>
      <c r="E2557" s="23"/>
      <c r="F2557" s="23"/>
      <c r="G2557" s="23"/>
      <c r="H2557" s="23"/>
      <c r="I2557" s="23"/>
      <c r="J2557" s="23"/>
      <c r="K2557" s="23"/>
      <c r="L2557" s="23"/>
      <c r="M2557" s="23"/>
      <c r="N2557" s="23"/>
      <c r="O2557" s="23"/>
      <c r="P2557" s="23"/>
      <c r="Q2557" s="23"/>
      <c r="R2557" s="23"/>
      <c r="S2557" s="23"/>
      <c r="T2557"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sunny pawar</cp:lastModifiedBy>
  <cp:lastPrinted>2026-06-26T20:24:38Z</cp:lastPrinted>
  <dcterms:created xsi:type="dcterms:W3CDTF">2026-06-26T14:54:29Z</dcterms:created>
  <dcterms:modified xsi:type="dcterms:W3CDTF">2026-10-15T19:34:24Z</dcterms:modified>
</cp:coreProperties>
</file>